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  <sheet name="Sheet4" sheetId="4" r:id="rId4"/>
  </sheets>
  <calcPr calcId="125725"/>
</workbook>
</file>

<file path=xl/calcChain.xml><?xml version="1.0" encoding="utf-8"?>
<calcChain xmlns="http://schemas.openxmlformats.org/spreadsheetml/2006/main">
  <c r="D310" i="1"/>
  <c r="D309"/>
  <c r="D308"/>
  <c r="D307"/>
  <c r="D306"/>
  <c r="D305"/>
  <c r="D304"/>
  <c r="D303"/>
  <c r="D302"/>
  <c r="D301"/>
  <c r="D300"/>
  <c r="D299"/>
  <c r="D298"/>
  <c r="D297"/>
  <c r="D296"/>
  <c r="D295"/>
  <c r="D294"/>
  <c r="D293"/>
  <c r="D292"/>
  <c r="D291"/>
  <c r="D290"/>
  <c r="D289"/>
  <c r="D288"/>
  <c r="D287"/>
  <c r="D286"/>
  <c r="D285"/>
  <c r="D284"/>
  <c r="D283"/>
  <c r="D282"/>
  <c r="D281"/>
  <c r="D280"/>
  <c r="D279"/>
  <c r="D278"/>
  <c r="D277"/>
  <c r="D276"/>
  <c r="D275"/>
  <c r="D274"/>
  <c r="D273"/>
  <c r="D272"/>
  <c r="D271"/>
  <c r="D270"/>
  <c r="D269"/>
  <c r="D268"/>
  <c r="D267"/>
  <c r="D266"/>
  <c r="D265"/>
  <c r="D264"/>
  <c r="D263"/>
  <c r="D262"/>
  <c r="D261"/>
  <c r="D260"/>
  <c r="D259"/>
  <c r="D258"/>
  <c r="D257"/>
  <c r="D256"/>
  <c r="D255"/>
  <c r="D254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228"/>
  <c r="D227"/>
  <c r="H84" i="4"/>
  <c r="H81"/>
  <c r="H76"/>
  <c r="H73"/>
  <c r="H68"/>
  <c r="H65"/>
  <c r="H60"/>
  <c r="H57"/>
  <c r="H52"/>
  <c r="H49"/>
  <c r="H44"/>
  <c r="H41"/>
  <c r="H36"/>
  <c r="H33"/>
  <c r="H32"/>
  <c r="H31"/>
  <c r="H28"/>
  <c r="H27"/>
  <c r="H25"/>
  <c r="H20"/>
  <c r="H19"/>
  <c r="H17"/>
  <c r="H12"/>
  <c r="H11"/>
  <c r="H9"/>
  <c r="H4"/>
  <c r="H3"/>
  <c r="H2"/>
  <c r="H1"/>
  <c r="G33"/>
  <c r="G32"/>
  <c r="G31"/>
  <c r="G84"/>
  <c r="G83"/>
  <c r="H83" s="1"/>
  <c r="G82"/>
  <c r="H82" s="1"/>
  <c r="G81"/>
  <c r="G80"/>
  <c r="H80" s="1"/>
  <c r="G79"/>
  <c r="H79" s="1"/>
  <c r="G78"/>
  <c r="H78" s="1"/>
  <c r="G77"/>
  <c r="H77" s="1"/>
  <c r="G76"/>
  <c r="G75"/>
  <c r="H75" s="1"/>
  <c r="G74"/>
  <c r="H74" s="1"/>
  <c r="G73"/>
  <c r="G72"/>
  <c r="H72" s="1"/>
  <c r="G71"/>
  <c r="H71" s="1"/>
  <c r="G70"/>
  <c r="H70" s="1"/>
  <c r="G69"/>
  <c r="H69" s="1"/>
  <c r="G68"/>
  <c r="G67"/>
  <c r="H67" s="1"/>
  <c r="G66"/>
  <c r="H66" s="1"/>
  <c r="G65"/>
  <c r="G64"/>
  <c r="H64" s="1"/>
  <c r="G63"/>
  <c r="H63" s="1"/>
  <c r="G62"/>
  <c r="H62" s="1"/>
  <c r="G61"/>
  <c r="H61" s="1"/>
  <c r="G60"/>
  <c r="G59"/>
  <c r="H59" s="1"/>
  <c r="G58"/>
  <c r="H58" s="1"/>
  <c r="G57"/>
  <c r="G56"/>
  <c r="H56" s="1"/>
  <c r="G55"/>
  <c r="H55" s="1"/>
  <c r="G54"/>
  <c r="H54" s="1"/>
  <c r="G53"/>
  <c r="H53" s="1"/>
  <c r="G52"/>
  <c r="G51"/>
  <c r="H51" s="1"/>
  <c r="G50"/>
  <c r="H50" s="1"/>
  <c r="G49"/>
  <c r="G48"/>
  <c r="H48" s="1"/>
  <c r="G47"/>
  <c r="H47" s="1"/>
  <c r="G46"/>
  <c r="H46" s="1"/>
  <c r="G45"/>
  <c r="H45" s="1"/>
  <c r="G44"/>
  <c r="G43"/>
  <c r="H43" s="1"/>
  <c r="G42"/>
  <c r="H42" s="1"/>
  <c r="G41"/>
  <c r="G40"/>
  <c r="H40" s="1"/>
  <c r="G39"/>
  <c r="H39" s="1"/>
  <c r="G38"/>
  <c r="H38" s="1"/>
  <c r="G37"/>
  <c r="H37" s="1"/>
  <c r="G36"/>
  <c r="G35"/>
  <c r="H35" s="1"/>
  <c r="G34"/>
  <c r="H34" s="1"/>
  <c r="G30"/>
  <c r="H30" s="1"/>
  <c r="G29"/>
  <c r="H29" s="1"/>
  <c r="G28"/>
  <c r="G27"/>
  <c r="G26"/>
  <c r="H26" s="1"/>
  <c r="G25"/>
  <c r="G24"/>
  <c r="H24" s="1"/>
  <c r="G23"/>
  <c r="H23" s="1"/>
  <c r="G22"/>
  <c r="H22" s="1"/>
  <c r="G21"/>
  <c r="H21" s="1"/>
  <c r="G20"/>
  <c r="G19"/>
  <c r="G18"/>
  <c r="H18" s="1"/>
  <c r="G17"/>
  <c r="G16"/>
  <c r="H16" s="1"/>
  <c r="G15"/>
  <c r="H15" s="1"/>
  <c r="G14"/>
  <c r="H14" s="1"/>
  <c r="G13"/>
  <c r="H13" s="1"/>
  <c r="G12"/>
  <c r="G11"/>
  <c r="G10"/>
  <c r="H10" s="1"/>
  <c r="G9"/>
  <c r="G8"/>
  <c r="H8" s="1"/>
  <c r="G7"/>
  <c r="H7" s="1"/>
  <c r="G6"/>
  <c r="H6" s="1"/>
  <c r="G5"/>
  <c r="H5" s="1"/>
  <c r="G4"/>
  <c r="D159" i="1"/>
  <c r="D158"/>
  <c r="D355"/>
  <c r="D416"/>
  <c r="D412"/>
  <c r="D410"/>
  <c r="D417"/>
  <c r="D413"/>
  <c r="D415"/>
  <c r="D414"/>
  <c r="D411"/>
  <c r="D409"/>
  <c r="D408"/>
  <c r="D407"/>
  <c r="D406"/>
  <c r="D405"/>
  <c r="D404"/>
  <c r="D403"/>
  <c r="D402"/>
  <c r="D199"/>
  <c r="D114"/>
  <c r="D205" i="3"/>
  <c r="D203"/>
  <c r="D202"/>
  <c r="D201"/>
  <c r="D200"/>
  <c r="D199"/>
  <c r="D198"/>
  <c r="D197"/>
  <c r="D196"/>
  <c r="D195"/>
  <c r="D194"/>
  <c r="D192"/>
  <c r="D191"/>
  <c r="D190"/>
  <c r="D189"/>
  <c r="D188"/>
  <c r="D187"/>
  <c r="D186"/>
  <c r="D185"/>
  <c r="D183"/>
  <c r="D182"/>
  <c r="D181"/>
  <c r="D180"/>
  <c r="D179"/>
  <c r="D178"/>
  <c r="D177"/>
  <c r="D176"/>
  <c r="D175"/>
  <c r="D174"/>
  <c r="D173"/>
  <c r="D172"/>
  <c r="D171"/>
  <c r="D170"/>
  <c r="D168"/>
  <c r="D167"/>
  <c r="D166"/>
  <c r="D165"/>
  <c r="D164"/>
  <c r="D163"/>
  <c r="D162"/>
  <c r="D160"/>
  <c r="D159"/>
  <c r="D158"/>
  <c r="D157"/>
  <c r="D156"/>
  <c r="D155"/>
  <c r="D154"/>
  <c r="D153"/>
  <c r="D152"/>
  <c r="D151"/>
  <c r="D150"/>
  <c r="D149"/>
  <c r="D148"/>
  <c r="D147"/>
  <c r="D146"/>
  <c r="D144"/>
  <c r="D143"/>
  <c r="D142"/>
  <c r="D141"/>
  <c r="D140"/>
  <c r="D139"/>
  <c r="D138"/>
  <c r="D137"/>
  <c r="D136"/>
  <c r="D135"/>
  <c r="D134"/>
  <c r="D133"/>
  <c r="D132"/>
  <c r="D130"/>
  <c r="D129"/>
  <c r="D128"/>
  <c r="D127"/>
  <c r="D126"/>
  <c r="D125"/>
  <c r="D124"/>
  <c r="D123"/>
  <c r="D122"/>
  <c r="D121"/>
  <c r="D119"/>
  <c r="D118"/>
  <c r="D117"/>
  <c r="D116"/>
  <c r="D115"/>
  <c r="D114"/>
  <c r="D113"/>
  <c r="D112"/>
  <c r="D111"/>
  <c r="D110"/>
  <c r="D109"/>
  <c r="D108"/>
  <c r="D107"/>
  <c r="D106"/>
  <c r="D105"/>
  <c r="D104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09" i="2" l="1"/>
  <c r="D303"/>
  <c r="D287"/>
  <c r="D298"/>
  <c r="D297"/>
  <c r="D296"/>
  <c r="D295"/>
  <c r="D294"/>
  <c r="D293"/>
  <c r="D292"/>
  <c r="D291"/>
  <c r="D290"/>
  <c r="D289"/>
  <c r="D288"/>
  <c r="D286"/>
  <c r="D264"/>
  <c r="D265"/>
  <c r="D352"/>
  <c r="D351"/>
  <c r="D350"/>
  <c r="D356"/>
  <c r="D355"/>
  <c r="D354"/>
  <c r="D353"/>
  <c r="D349"/>
  <c r="D348"/>
  <c r="D325"/>
  <c r="D324"/>
  <c r="D323"/>
  <c r="D322"/>
  <c r="D321"/>
  <c r="D320"/>
  <c r="D319"/>
  <c r="D318"/>
  <c r="D317"/>
  <c r="D316"/>
  <c r="D315"/>
  <c r="D314"/>
  <c r="D313"/>
  <c r="D347"/>
  <c r="D263"/>
  <c r="D308"/>
  <c r="D339"/>
  <c r="D338"/>
  <c r="D337"/>
  <c r="D336"/>
  <c r="D335"/>
  <c r="D334"/>
  <c r="D346"/>
  <c r="D345"/>
  <c r="D344"/>
  <c r="D343"/>
  <c r="D342"/>
  <c r="D341"/>
  <c r="D332"/>
  <c r="D331"/>
  <c r="D330"/>
  <c r="D329"/>
  <c r="D328"/>
  <c r="D327"/>
  <c r="D311"/>
  <c r="D307"/>
  <c r="D306"/>
  <c r="D305"/>
  <c r="D283"/>
  <c r="D282"/>
  <c r="D281"/>
  <c r="D280"/>
  <c r="D279"/>
  <c r="D278"/>
  <c r="D277"/>
  <c r="D276"/>
  <c r="D302"/>
  <c r="D301"/>
  <c r="D300"/>
  <c r="D285"/>
  <c r="D274"/>
  <c r="D273"/>
  <c r="D272"/>
  <c r="D271"/>
  <c r="D270"/>
  <c r="D268"/>
  <c r="D267"/>
  <c r="D165"/>
  <c r="D164"/>
  <c r="D163"/>
  <c r="D162"/>
  <c r="D161"/>
  <c r="D160"/>
  <c r="D159"/>
  <c r="D158"/>
  <c r="D157"/>
  <c r="D156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7"/>
  <c r="D253"/>
  <c r="D252"/>
  <c r="D251"/>
  <c r="D250"/>
  <c r="D249"/>
  <c r="D248"/>
  <c r="D247"/>
  <c r="D246"/>
  <c r="D245"/>
  <c r="D244"/>
  <c r="D243"/>
  <c r="D242"/>
  <c r="D241"/>
  <c r="D240"/>
  <c r="D239"/>
  <c r="D238"/>
  <c r="D237"/>
  <c r="D236"/>
  <c r="D235"/>
  <c r="D234"/>
  <c r="D233"/>
  <c r="D232"/>
  <c r="D231"/>
  <c r="D230"/>
  <c r="D229"/>
  <c r="D186"/>
  <c r="D227"/>
  <c r="D226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200"/>
  <c r="D199"/>
  <c r="D198"/>
  <c r="D197"/>
  <c r="D196"/>
  <c r="D195"/>
  <c r="D194"/>
  <c r="D193"/>
  <c r="D192"/>
  <c r="D191"/>
  <c r="D190"/>
  <c r="D189"/>
  <c r="D188"/>
  <c r="D187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35"/>
  <c r="D134"/>
  <c r="D133"/>
  <c r="D132"/>
  <c r="D131"/>
  <c r="D130"/>
  <c r="D129"/>
  <c r="D127"/>
  <c r="D126"/>
  <c r="D125"/>
  <c r="D124"/>
  <c r="D123"/>
  <c r="D122"/>
  <c r="D121"/>
  <c r="D120"/>
  <c r="D119"/>
  <c r="D118"/>
  <c r="D117"/>
  <c r="D116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400" i="1"/>
  <c r="D399"/>
  <c r="D398"/>
  <c r="D397"/>
  <c r="D396"/>
  <c r="D395"/>
  <c r="D394"/>
  <c r="D393"/>
  <c r="D392"/>
  <c r="D391"/>
  <c r="D390"/>
  <c r="D389"/>
  <c r="D388"/>
  <c r="D385"/>
  <c r="D384"/>
  <c r="D383"/>
  <c r="D382"/>
  <c r="D381"/>
  <c r="D380"/>
  <c r="D379"/>
  <c r="D378"/>
  <c r="D377"/>
  <c r="D376"/>
  <c r="D375"/>
  <c r="D374"/>
  <c r="D373"/>
  <c r="D372"/>
  <c r="D371"/>
  <c r="D370"/>
  <c r="D369"/>
  <c r="D368"/>
  <c r="D367"/>
  <c r="D366"/>
  <c r="D365"/>
  <c r="D364"/>
  <c r="D362"/>
  <c r="D361"/>
  <c r="D360"/>
  <c r="D359"/>
  <c r="D358"/>
  <c r="D357"/>
  <c r="D353"/>
  <c r="D351"/>
  <c r="D350"/>
  <c r="D349"/>
  <c r="D347"/>
  <c r="D346"/>
  <c r="D345"/>
  <c r="D344"/>
  <c r="D342"/>
  <c r="D341"/>
  <c r="D340"/>
  <c r="D338"/>
  <c r="D337"/>
  <c r="D335"/>
  <c r="D334"/>
  <c r="D333"/>
  <c r="D331"/>
  <c r="D330"/>
  <c r="D329"/>
  <c r="D328"/>
  <c r="D327"/>
  <c r="D326"/>
  <c r="D325"/>
  <c r="D324"/>
  <c r="D323"/>
  <c r="D322"/>
  <c r="D321"/>
  <c r="D319"/>
  <c r="D318"/>
  <c r="D317"/>
  <c r="D316"/>
  <c r="D315"/>
  <c r="D313"/>
  <c r="D312"/>
  <c r="D225"/>
  <c r="D224"/>
  <c r="D223"/>
  <c r="D222"/>
  <c r="D221"/>
  <c r="D220"/>
  <c r="D219"/>
  <c r="D218"/>
  <c r="D217"/>
  <c r="D216"/>
  <c r="D215"/>
  <c r="D214"/>
  <c r="D213"/>
  <c r="D212"/>
  <c r="D211"/>
  <c r="D210"/>
  <c r="D209"/>
  <c r="D208"/>
  <c r="D207"/>
  <c r="D206"/>
  <c r="D205"/>
  <c r="D204"/>
  <c r="D203"/>
  <c r="D202"/>
  <c r="D201"/>
  <c r="D198"/>
  <c r="D197"/>
  <c r="D196"/>
  <c r="D195"/>
  <c r="D194"/>
  <c r="D193"/>
  <c r="D192"/>
  <c r="D191"/>
  <c r="D190"/>
  <c r="D189"/>
  <c r="D188"/>
  <c r="D187"/>
  <c r="D186"/>
  <c r="D185"/>
  <c r="D184"/>
  <c r="D183"/>
  <c r="D182"/>
  <c r="D181"/>
  <c r="D180"/>
  <c r="D179"/>
  <c r="D178"/>
  <c r="D177"/>
  <c r="D176"/>
  <c r="D175"/>
  <c r="D174"/>
  <c r="D173"/>
  <c r="D172"/>
  <c r="D171"/>
  <c r="D170"/>
  <c r="D169"/>
  <c r="D168"/>
  <c r="D167"/>
  <c r="D166"/>
  <c r="D165"/>
  <c r="D164"/>
  <c r="D163"/>
  <c r="D162"/>
  <c r="D161"/>
  <c r="D160"/>
  <c r="D157"/>
  <c r="D155"/>
  <c r="D154"/>
  <c r="D153"/>
  <c r="D152"/>
  <c r="D151"/>
  <c r="D150"/>
  <c r="D149"/>
  <c r="D148"/>
  <c r="D147"/>
  <c r="D146"/>
  <c r="D145"/>
  <c r="D144"/>
  <c r="D143"/>
  <c r="D142"/>
  <c r="D141"/>
  <c r="D140"/>
  <c r="D139"/>
  <c r="D138"/>
  <c r="D136"/>
  <c r="D135"/>
  <c r="D134"/>
  <c r="D133"/>
  <c r="D132"/>
  <c r="D131"/>
  <c r="D130"/>
  <c r="D129"/>
  <c r="D128"/>
  <c r="D127"/>
  <c r="D126"/>
  <c r="D125"/>
  <c r="D123"/>
  <c r="D122"/>
  <c r="D121"/>
  <c r="D120"/>
  <c r="D119"/>
  <c r="D118"/>
  <c r="D117"/>
  <c r="D115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86"/>
  <c r="C343"/>
  <c r="D343" s="1"/>
</calcChain>
</file>

<file path=xl/sharedStrings.xml><?xml version="1.0" encoding="utf-8"?>
<sst xmlns="http://schemas.openxmlformats.org/spreadsheetml/2006/main" count="1887" uniqueCount="1071">
  <si>
    <t>코드</t>
    <phoneticPr fontId="2" type="noConversion"/>
  </si>
  <si>
    <t>제품명</t>
    <phoneticPr fontId="2" type="noConversion"/>
  </si>
  <si>
    <t>판매가</t>
    <phoneticPr fontId="2" type="noConversion"/>
  </si>
  <si>
    <t>#001-Acrylic Leather Paint Brush Black</t>
    <phoneticPr fontId="5" type="noConversion"/>
  </si>
  <si>
    <t>#004-Acrylic Leather Paint Brush Neutral</t>
    <phoneticPr fontId="5" type="noConversion"/>
  </si>
  <si>
    <t>#005-Acrylic Leather Paint Brush White</t>
    <phoneticPr fontId="5" type="noConversion"/>
  </si>
  <si>
    <t>#014-Acrylic Leather Paint Brush Brown</t>
    <phoneticPr fontId="5" type="noConversion"/>
  </si>
  <si>
    <t>#015-Acrylic Leather Paint Brush Chocolate</t>
    <phoneticPr fontId="5" type="noConversion"/>
  </si>
  <si>
    <t>#018-Acrylic Leather Paint Brush DarkBrown</t>
    <phoneticPr fontId="5" type="noConversion"/>
  </si>
  <si>
    <t>#019-Acrylic Leather Paint Brush English Tan</t>
    <phoneticPr fontId="5" type="noConversion"/>
  </si>
  <si>
    <t>#021-Acrylic Leather Paint Brush LightBrown</t>
    <phoneticPr fontId="5" type="noConversion"/>
  </si>
  <si>
    <t>#024-Acrylic Leather Paint Brush Orange</t>
    <phoneticPr fontId="5" type="noConversion"/>
  </si>
  <si>
    <t>#027- Acrylic Leather Paint Brush SADDLE</t>
    <phoneticPr fontId="5" type="noConversion"/>
  </si>
  <si>
    <t>#029- Acrylic Leather Paint Brush Tan</t>
    <phoneticPr fontId="5" type="noConversion"/>
  </si>
  <si>
    <t>#040-Acrylic Leather Paint Brush BLUE</t>
    <phoneticPr fontId="5" type="noConversion"/>
  </si>
  <si>
    <t>#041-Acrylic Leather Paint Brush LightBLUE</t>
    <phoneticPr fontId="5" type="noConversion"/>
  </si>
  <si>
    <t>#042-Acrylic Leather Paint Brush NavyBlue</t>
    <phoneticPr fontId="5" type="noConversion"/>
  </si>
  <si>
    <t>#043-Acrylic Leather Paint Brush Turgouise</t>
    <phoneticPr fontId="5" type="noConversion"/>
  </si>
  <si>
    <t>#045-Acrylic Leather Paint Brush Blue Turquoise</t>
    <phoneticPr fontId="5" type="noConversion"/>
  </si>
  <si>
    <t>#047-Acrylic Leather Paint Brush Purple</t>
    <phoneticPr fontId="5" type="noConversion"/>
  </si>
  <si>
    <t>#050-Acrylic Leather Paint Brush Green</t>
    <phoneticPr fontId="5" type="noConversion"/>
  </si>
  <si>
    <t>#052-Acrylic Leather Paint Brush MidniteGreen</t>
    <phoneticPr fontId="5" type="noConversion"/>
  </si>
  <si>
    <t>#060-Acrylic Leather Paint Brush Burgundy</t>
    <phoneticPr fontId="5" type="noConversion"/>
  </si>
  <si>
    <t>#064-Acrylic Leather Paint Brush Red</t>
    <phoneticPr fontId="5" type="noConversion"/>
  </si>
  <si>
    <t>#070-Acrylic Leather Paint Brush Beige</t>
    <phoneticPr fontId="5" type="noConversion"/>
  </si>
  <si>
    <t>#072-Acrylic Leather Paint Brush Gold</t>
    <phoneticPr fontId="5" type="noConversion"/>
  </si>
  <si>
    <t>#075-Acrylic Leather Paint Brush Yellow</t>
    <phoneticPr fontId="5" type="noConversion"/>
  </si>
  <si>
    <t>#080-Acrylic Leather Paint Brush DarkGrey</t>
    <phoneticPr fontId="5" type="noConversion"/>
  </si>
  <si>
    <t>#081-Acrylic Leather Paint Brush Grey</t>
    <phoneticPr fontId="5" type="noConversion"/>
  </si>
  <si>
    <t>#082-Acrylic Leather Paint Brush LightGrey</t>
    <phoneticPr fontId="5" type="noConversion"/>
  </si>
  <si>
    <t>#093-Acrylic Leather Paint Brush Brick</t>
    <phoneticPr fontId="5" type="noConversion"/>
  </si>
  <si>
    <t>#101-Acrylic Leather Paint Brush Flat Black</t>
    <phoneticPr fontId="5" type="noConversion"/>
  </si>
  <si>
    <t>#105-Acrylic Leather Paint Brush Flat White</t>
    <phoneticPr fontId="5" type="noConversion"/>
  </si>
  <si>
    <t>#141-Acrylic Leather Paint Brush Copper</t>
    <phoneticPr fontId="5" type="noConversion"/>
  </si>
  <si>
    <t>#142-Acrylic Leather Paint Brush Bronze</t>
    <phoneticPr fontId="5" type="noConversion"/>
  </si>
  <si>
    <t>#143-Acrylic Leather Paint Brush Pewter</t>
    <phoneticPr fontId="5" type="noConversion"/>
  </si>
  <si>
    <t>#150-Acrylic Leather Paint Brush SILVER</t>
    <phoneticPr fontId="5" type="noConversion"/>
  </si>
  <si>
    <t>#155-Acrylic Leather Paint Brush Bone</t>
    <phoneticPr fontId="5" type="noConversion"/>
  </si>
  <si>
    <t>#156-Acrylic Leather Paint Brush Champagne</t>
    <phoneticPr fontId="5" type="noConversion"/>
  </si>
  <si>
    <t>#157-Acrylic Leather Paint Brush DarkBone</t>
    <phoneticPr fontId="5" type="noConversion"/>
  </si>
  <si>
    <t>#159-Acrylic Leather Paint Brush Mist</t>
    <phoneticPr fontId="5" type="noConversion"/>
  </si>
  <si>
    <t>#160-Acrylic Leather Paint Brush Vanilla</t>
    <phoneticPr fontId="5" type="noConversion"/>
  </si>
  <si>
    <t>#161-Acrylic Leather Paint Brush Natural</t>
    <phoneticPr fontId="5" type="noConversion"/>
  </si>
  <si>
    <t>#162-Acrylic Leather Paint Brush Cream</t>
    <phoneticPr fontId="5" type="noConversion"/>
  </si>
  <si>
    <t>#163-Acrylic Leather Paint Brush CapazioTan</t>
    <phoneticPr fontId="5" type="noConversion"/>
  </si>
  <si>
    <t>#165-Acrylic Leather Paint Brush BeigeTaupe</t>
    <phoneticPr fontId="5" type="noConversion"/>
  </si>
  <si>
    <t>#166-Acrylic Leather Paint Brush GreyTaupe</t>
    <phoneticPr fontId="5" type="noConversion"/>
  </si>
  <si>
    <t>#167-Acrylic Leather Paint Brush Taupe</t>
    <phoneticPr fontId="5" type="noConversion"/>
  </si>
  <si>
    <t>#168-Acrylic Leather Paint Brush DarkTaupe</t>
    <phoneticPr fontId="5" type="noConversion"/>
  </si>
  <si>
    <t>#169-Acrylic Leather Paint Brush Mauve</t>
    <phoneticPr fontId="5" type="noConversion"/>
  </si>
  <si>
    <t>#170-Acrylic Leather Paint Brush Avocado</t>
    <phoneticPr fontId="5" type="noConversion"/>
  </si>
  <si>
    <t>#171-Acrylic Leather Paint Brush DarkGreen</t>
    <phoneticPr fontId="5" type="noConversion"/>
  </si>
  <si>
    <t>#172-Acrylic Leather Paint Brush Light Green</t>
    <phoneticPr fontId="5" type="noConversion"/>
  </si>
  <si>
    <t>#174-Acrylic Leather Paint Brush GiftBoxBlue</t>
    <phoneticPr fontId="5" type="noConversion"/>
  </si>
  <si>
    <t>#175-Acrylic Leather Paint Brush Lylac</t>
    <phoneticPr fontId="5" type="noConversion"/>
  </si>
  <si>
    <t>#176-Acrylic Leather Paint Brush PaleBlue</t>
    <phoneticPr fontId="5" type="noConversion"/>
  </si>
  <si>
    <t>#177-Acrylic Leather Paint Brush Sapphire</t>
    <phoneticPr fontId="5" type="noConversion"/>
  </si>
  <si>
    <t>#178-Acrylic Leather Paint Brush Violet</t>
    <phoneticPr fontId="5" type="noConversion"/>
  </si>
  <si>
    <t>#179-Acrylic Leather Paint Brush DarkBlue</t>
    <phoneticPr fontId="5" type="noConversion"/>
  </si>
  <si>
    <t>#180-Acrylic Leather Paint Brush Cognac</t>
    <phoneticPr fontId="5" type="noConversion"/>
  </si>
  <si>
    <t>#181-Acrylic Leather Paint Brush RichBrown</t>
    <phoneticPr fontId="5" type="noConversion"/>
  </si>
  <si>
    <t>#182-Acrylic Leather Paint Brush Sand</t>
    <phoneticPr fontId="5" type="noConversion"/>
  </si>
  <si>
    <t>#183-Acrylic Leather Paint Brush TerraCottaRed</t>
    <phoneticPr fontId="5" type="noConversion"/>
  </si>
  <si>
    <t>#184-Acrylic Leather Paint Brush AutumnRed</t>
    <phoneticPr fontId="5" type="noConversion"/>
  </si>
  <si>
    <t>#185-Acrylic Leather Paint Brush FireRed</t>
    <phoneticPr fontId="5" type="noConversion"/>
  </si>
  <si>
    <t>#186-Acrylic Leather Paint Brush HotPink</t>
    <phoneticPr fontId="5" type="noConversion"/>
  </si>
  <si>
    <t>#187-Acrylic Leather Paint Brush Magenta</t>
    <phoneticPr fontId="5" type="noConversion"/>
  </si>
  <si>
    <t>#188-Acrylic Leather Paint Brush Pink</t>
    <phoneticPr fontId="5" type="noConversion"/>
  </si>
  <si>
    <t>#189-Acrylic Leather Paint Brush Petal Pink</t>
    <phoneticPr fontId="5" type="noConversion"/>
  </si>
  <si>
    <t>#190-Acrylic Leather Paint Brush ScaletRed</t>
    <phoneticPr fontId="5" type="noConversion"/>
  </si>
  <si>
    <t>#191-Acrylic Leather Paint Brush Shell Pink</t>
    <phoneticPr fontId="5" type="noConversion"/>
  </si>
  <si>
    <t>#194-Acrylic Leather Paint Brush Caramel</t>
    <phoneticPr fontId="5" type="noConversion"/>
  </si>
  <si>
    <t>#196-Acrylic Leather Paint Brush Mustard</t>
    <phoneticPr fontId="5" type="noConversion"/>
  </si>
  <si>
    <t>#197-Acrylic Leather Paint Brush PaleYellow</t>
    <phoneticPr fontId="5" type="noConversion"/>
  </si>
  <si>
    <t>#198-Acrylic Leather Paint BrushButtercup</t>
    <phoneticPr fontId="5" type="noConversion"/>
  </si>
  <si>
    <t>#260-Acrylic Leather Paint Brush Chili Red</t>
    <phoneticPr fontId="5" type="noConversion"/>
  </si>
  <si>
    <t>#261-Acrylic Leather Paint Brush South Beach</t>
    <phoneticPr fontId="5" type="noConversion"/>
  </si>
  <si>
    <t>#262-Acrylic Leather Paint Brush Play in the Sand</t>
    <phoneticPr fontId="5" type="noConversion"/>
  </si>
  <si>
    <t>#263-Acrylic Leather Paint Brush Grinch Green</t>
    <phoneticPr fontId="5" type="noConversion"/>
  </si>
  <si>
    <t>#264-Acrylic Leather Paint Brush Putty</t>
    <phoneticPr fontId="5" type="noConversion"/>
  </si>
  <si>
    <t>#265-Acrylic Leather Paint Brush Tangerine</t>
    <phoneticPr fontId="5" type="noConversion"/>
  </si>
  <si>
    <t>#266-Acrylic Leather Paint Brush Georgia Peach</t>
    <phoneticPr fontId="5" type="noConversion"/>
  </si>
  <si>
    <t>#267-Acrylic Leather Paint Brush Salmon</t>
    <phoneticPr fontId="5" type="noConversion"/>
  </si>
  <si>
    <t>#268-Acrylic Leather Paint Brush Rasberry</t>
    <phoneticPr fontId="5" type="noConversion"/>
  </si>
  <si>
    <t>#269-Acrylic Leather Paint Brush Mint</t>
    <phoneticPr fontId="5" type="noConversion"/>
  </si>
  <si>
    <t>#270-Acrylic Leather Paint Brush Vachetta</t>
    <phoneticPr fontId="5" type="noConversion"/>
  </si>
  <si>
    <t>#272-Acrylic Leather Paint Brush Olive</t>
    <phoneticPr fontId="5" type="noConversion"/>
  </si>
  <si>
    <t>#310-Collector Edition-aqua</t>
    <phoneticPr fontId="2" type="noConversion"/>
  </si>
  <si>
    <t>#312-Collector Edition-Blaze</t>
    <phoneticPr fontId="2" type="noConversion"/>
  </si>
  <si>
    <t>#313-Collector Edition-Concord</t>
    <phoneticPr fontId="2" type="noConversion"/>
  </si>
  <si>
    <t>#314-Collector Edition  White Cement</t>
  </si>
  <si>
    <t>#315-Collector Edition  Volt</t>
  </si>
  <si>
    <t>#317-Collector Edition-Emerald</t>
    <phoneticPr fontId="2" type="noConversion"/>
  </si>
  <si>
    <t>#319-Collector Edition-Infrared</t>
    <phoneticPr fontId="2" type="noConversion"/>
  </si>
  <si>
    <t>#321-Collector Edition-Maize</t>
    <phoneticPr fontId="2" type="noConversion"/>
  </si>
  <si>
    <t>#323-Collector Edition-Mid Navy 8</t>
    <phoneticPr fontId="2" type="noConversion"/>
  </si>
  <si>
    <t>#324-Collector Edition-Millitary Blue</t>
    <phoneticPr fontId="2" type="noConversion"/>
  </si>
  <si>
    <t>#326-Collector Edition-Royal5</t>
    <phoneticPr fontId="2" type="noConversion"/>
  </si>
  <si>
    <t>#329-Collector Edition-Tru Blue</t>
    <phoneticPr fontId="2" type="noConversion"/>
  </si>
  <si>
    <t>#330-Collector Edition Varsity</t>
  </si>
  <si>
    <t>#331-Collector Edition-Miami Vice</t>
    <phoneticPr fontId="2" type="noConversion"/>
  </si>
  <si>
    <t>#332-Collector Edition-Melo2</t>
    <phoneticPr fontId="2" type="noConversion"/>
  </si>
  <si>
    <t>#333-Collector Edition-DTRT Yellow</t>
    <phoneticPr fontId="2" type="noConversion"/>
  </si>
  <si>
    <t>#334-Collector Edition-Play 8 Grey</t>
    <phoneticPr fontId="2" type="noConversion"/>
  </si>
  <si>
    <t>#335-Collector Edition-Yeezy</t>
    <phoneticPr fontId="2" type="noConversion"/>
  </si>
  <si>
    <t>#336-Collector Edition  Maroon</t>
  </si>
  <si>
    <t>#337-Collector Edition-Grape5</t>
    <phoneticPr fontId="2" type="noConversion"/>
  </si>
  <si>
    <t>#338-Collector Edition  Squadron</t>
  </si>
  <si>
    <t>#339-Collector Edition  French Blue</t>
  </si>
  <si>
    <t>#341-Collector Edition  gamma Blue</t>
  </si>
  <si>
    <t>#342-Collector Edition  Joker Green</t>
  </si>
  <si>
    <t>#343-Collector Edition Tour Yellow</t>
  </si>
  <si>
    <t>#344-Collector Edition  Thunder Yellow</t>
  </si>
  <si>
    <t>#346-Collector Edition  InfraRed 2014</t>
  </si>
  <si>
    <t>#120-Neon Acrylic Leather Paint Rio Red</t>
    <phoneticPr fontId="5" type="noConversion"/>
  </si>
  <si>
    <t>#121-Neon Acrylic Leather Paint TahitianPink</t>
    <phoneticPr fontId="5" type="noConversion"/>
  </si>
  <si>
    <t>#122-Neon Acrylic Leather Paint JamaicanJoyPink</t>
    <phoneticPr fontId="5" type="noConversion"/>
  </si>
  <si>
    <t>#123-Neon Acrylic Leather Paint ParisianPink</t>
    <phoneticPr fontId="5" type="noConversion"/>
  </si>
  <si>
    <t>#124-Neon Acrylic Leather Paint ParadisePurple</t>
    <phoneticPr fontId="5" type="noConversion"/>
  </si>
  <si>
    <t>#125-Neon Acrylic Leather Paint AmazonGreen</t>
    <phoneticPr fontId="5" type="noConversion"/>
  </si>
  <si>
    <t>#126-Neon Acrylic Leather Pain PlposicleGreen</t>
    <phoneticPr fontId="5" type="noConversion"/>
  </si>
  <si>
    <t>#127-Neon Acrylic Leather Paint TropicSunYellow</t>
    <phoneticPr fontId="5" type="noConversion"/>
  </si>
  <si>
    <t>#128-Neon Acrylic Leather Pain SunsetYellow</t>
    <phoneticPr fontId="5" type="noConversion"/>
  </si>
  <si>
    <t>#129-Neon Acrylic Leather Paint FlamingOrange</t>
    <phoneticPr fontId="5" type="noConversion"/>
  </si>
  <si>
    <t>#130-Neon Acrylic Leather Paint LavaOrange</t>
    <phoneticPr fontId="5" type="noConversion"/>
  </si>
  <si>
    <t>#131-Neon Acrylic Leather Paint BahamaBlue</t>
    <phoneticPr fontId="5" type="noConversion"/>
  </si>
  <si>
    <t>#205-Glitterlites White Sugar</t>
    <phoneticPr fontId="2" type="noConversion"/>
  </si>
  <si>
    <t>#220-Glitterlites Sky DesertGold</t>
    <phoneticPr fontId="2" type="noConversion"/>
  </si>
  <si>
    <t>#221-Glitterlites Penny Copper</t>
    <phoneticPr fontId="2" type="noConversion"/>
  </si>
  <si>
    <t>#222-Glitterlites Silver Spark</t>
    <phoneticPr fontId="2" type="noConversion"/>
  </si>
  <si>
    <t>#223-Glitterlites Gummetal</t>
    <phoneticPr fontId="2" type="noConversion"/>
  </si>
  <si>
    <t>#224-Glitterlites Emerald</t>
    <phoneticPr fontId="2" type="noConversion"/>
  </si>
  <si>
    <t>#225-Glitterlites Limelite</t>
    <phoneticPr fontId="2" type="noConversion"/>
  </si>
  <si>
    <t>#226-Glitterlites Sky Blue</t>
    <phoneticPr fontId="2" type="noConversion"/>
  </si>
  <si>
    <t>#227-Glitterlites Starlite Blue</t>
    <phoneticPr fontId="2" type="noConversion"/>
  </si>
  <si>
    <t>#228-Glitterlites Lavender Lace</t>
    <phoneticPr fontId="2" type="noConversion"/>
  </si>
  <si>
    <t>#229-Glitterlites Princess Purple</t>
    <phoneticPr fontId="2" type="noConversion"/>
  </si>
  <si>
    <t>#230-Glitterlites  Cany Pink</t>
    <phoneticPr fontId="2" type="noConversion"/>
  </si>
  <si>
    <t>#231-Glitterlites Ruby Red</t>
    <phoneticPr fontId="2" type="noConversion"/>
  </si>
  <si>
    <t>#233-Glitterlites Razzberry</t>
    <phoneticPr fontId="2" type="noConversion"/>
  </si>
  <si>
    <t>#235-Glitterlites Tuxedo Black</t>
    <phoneticPr fontId="2" type="noConversion"/>
  </si>
  <si>
    <t>#236-Glitterlites Orange Orange</t>
    <phoneticPr fontId="2" type="noConversion"/>
  </si>
  <si>
    <t>#237-Glitterlites Ice Ice Blue</t>
    <phoneticPr fontId="2" type="noConversion"/>
  </si>
  <si>
    <t>#238-Glitterlites Baby Blue</t>
    <phoneticPr fontId="2" type="noConversion"/>
  </si>
  <si>
    <t>Leather Dye-#002-Jet Black</t>
  </si>
  <si>
    <t>Leather Dye-#003-Neutral</t>
    <phoneticPr fontId="5" type="noConversion"/>
  </si>
  <si>
    <t>Leather Dye-#010-ArmyTan</t>
    <phoneticPr fontId="5" type="noConversion"/>
  </si>
  <si>
    <t>Leather Dye-#011-Mahogany</t>
    <phoneticPr fontId="5" type="noConversion"/>
  </si>
  <si>
    <t>Leather Dye-#014-Brown</t>
    <phoneticPr fontId="5" type="noConversion"/>
  </si>
  <si>
    <t>Leather Dye-#015-Chocolate</t>
    <phoneticPr fontId="5" type="noConversion"/>
  </si>
  <si>
    <t>Leather Dye-#017-Cordovan</t>
    <phoneticPr fontId="5" type="noConversion"/>
  </si>
  <si>
    <t>Leather Dye-#018-DarkBrown</t>
    <phoneticPr fontId="5" type="noConversion"/>
  </si>
  <si>
    <t>Leather Dye-#019-EnglishTan</t>
    <phoneticPr fontId="5" type="noConversion"/>
  </si>
  <si>
    <t>Leather Dye-#021-LightBrown</t>
    <phoneticPr fontId="5" type="noConversion"/>
  </si>
  <si>
    <t>Leather Dye-#022-LightBrown A</t>
    <phoneticPr fontId="5" type="noConversion"/>
  </si>
  <si>
    <t>Leather Dye-#023-Med.Brown</t>
    <phoneticPr fontId="5" type="noConversion"/>
  </si>
  <si>
    <t>Leather Dye-#024-Orange</t>
    <phoneticPr fontId="5" type="noConversion"/>
  </si>
  <si>
    <t>Leather Dye-#025-SunTan</t>
    <phoneticPr fontId="5" type="noConversion"/>
  </si>
  <si>
    <t>Leather Dye-#026-Tan</t>
    <phoneticPr fontId="5" type="noConversion"/>
  </si>
  <si>
    <t>Leather Dye-#028-SunTan</t>
    <phoneticPr fontId="5" type="noConversion"/>
  </si>
  <si>
    <t>Leather Dye-#029-Tan</t>
    <phoneticPr fontId="5" type="noConversion"/>
  </si>
  <si>
    <t>Leather Dye-#040-Blue</t>
    <phoneticPr fontId="5" type="noConversion"/>
  </si>
  <si>
    <t>Leather Dye-#041-LightBlue</t>
    <phoneticPr fontId="5" type="noConversion"/>
  </si>
  <si>
    <t>Leather Dye-#042-NavyBlue</t>
    <phoneticPr fontId="5" type="noConversion"/>
  </si>
  <si>
    <t>Leather Dye-#043-Turquoise</t>
    <phoneticPr fontId="5" type="noConversion"/>
  </si>
  <si>
    <t>Leather Dye-#044-BlueJean</t>
    <phoneticPr fontId="5" type="noConversion"/>
  </si>
  <si>
    <t>Leather Dye-#047-Puple</t>
    <phoneticPr fontId="5" type="noConversion"/>
  </si>
  <si>
    <t>Leather Dye-#050-Green</t>
    <phoneticPr fontId="5" type="noConversion"/>
  </si>
  <si>
    <t>Leather Dye-#051-KellyGreen</t>
    <phoneticPr fontId="5" type="noConversion"/>
  </si>
  <si>
    <t>Leather Dye-#060-Burgundy</t>
    <phoneticPr fontId="5" type="noConversion"/>
  </si>
  <si>
    <t>Leather Dye-#062-OxBlood</t>
    <phoneticPr fontId="5" type="noConversion"/>
  </si>
  <si>
    <t>Leather Dye-#064-Red</t>
    <phoneticPr fontId="5" type="noConversion"/>
  </si>
  <si>
    <t>Leather Dye-#065-Wine-Tone</t>
    <phoneticPr fontId="5" type="noConversion"/>
  </si>
  <si>
    <t>Leather Dye-#072-Gold</t>
    <phoneticPr fontId="5" type="noConversion"/>
  </si>
  <si>
    <t>Leather Dye-#075-Yellow</t>
    <phoneticPr fontId="5" type="noConversion"/>
  </si>
  <si>
    <t>Leather Dye-#091-BismarkBrown</t>
    <phoneticPr fontId="5" type="noConversion"/>
  </si>
  <si>
    <t>Leather Dye-#092-Brandy</t>
    <phoneticPr fontId="5" type="noConversion"/>
  </si>
  <si>
    <t>Leather Dye-#093-Brick</t>
    <phoneticPr fontId="5" type="noConversion"/>
  </si>
  <si>
    <t>Leather Dye-#094-Honey</t>
    <phoneticPr fontId="5" type="noConversion"/>
  </si>
  <si>
    <t>Leather Dye-#095-Russet</t>
    <phoneticPr fontId="5" type="noConversion"/>
  </si>
  <si>
    <t>Leather Dye-#096-Spice</t>
    <phoneticPr fontId="5" type="noConversion"/>
  </si>
  <si>
    <t>Leather Dye-#097-Coffee</t>
    <phoneticPr fontId="5" type="noConversion"/>
  </si>
  <si>
    <t>Leather Dye-#173-Jade</t>
    <phoneticPr fontId="5" type="noConversion"/>
  </si>
  <si>
    <t>Leather Dye-#192-Rose</t>
    <phoneticPr fontId="5" type="noConversion"/>
  </si>
  <si>
    <t>Leather Dye-#193-Lt.Rose</t>
    <phoneticPr fontId="5" type="noConversion"/>
  </si>
  <si>
    <t>Leather Dye Special Black</t>
    <phoneticPr fontId="5" type="noConversion"/>
  </si>
  <si>
    <t>Suede Dye &amp; Dressing #001-Black</t>
    <phoneticPr fontId="5" type="noConversion"/>
  </si>
  <si>
    <t>Suede Dye &amp; Dressing #004-Neutral</t>
    <phoneticPr fontId="5" type="noConversion"/>
  </si>
  <si>
    <t>Suede Dye &amp; Dressing #014-Brown</t>
    <phoneticPr fontId="5" type="noConversion"/>
  </si>
  <si>
    <t>Suede Dye &amp; Dressing #018-DarkBrown</t>
    <phoneticPr fontId="5" type="noConversion"/>
  </si>
  <si>
    <t>Suede Dye &amp; Dressing #021-LightBrown</t>
    <phoneticPr fontId="5" type="noConversion"/>
  </si>
  <si>
    <t>Suede Dye &amp; Dressing #026-Rust</t>
    <phoneticPr fontId="5" type="noConversion"/>
  </si>
  <si>
    <t>Suede Dye &amp; Dressing #029-Tan</t>
    <phoneticPr fontId="5" type="noConversion"/>
  </si>
  <si>
    <t>Suede Dye &amp; Dressing #040-Blue</t>
    <phoneticPr fontId="5" type="noConversion"/>
  </si>
  <si>
    <t>Suede Dye &amp; Dressing #041-LightBlue</t>
    <phoneticPr fontId="5" type="noConversion"/>
  </si>
  <si>
    <t>Suede Dye &amp; Dressing #042-NavyBlue</t>
    <phoneticPr fontId="5" type="noConversion"/>
  </si>
  <si>
    <t>Suede Dye &amp; Dressing #047-Puple</t>
    <phoneticPr fontId="5" type="noConversion"/>
  </si>
  <si>
    <t>Suede Dye &amp; Dressing #050-Green</t>
    <phoneticPr fontId="5" type="noConversion"/>
  </si>
  <si>
    <t>Suede Dye &amp; Dressing #051-KellyGreen</t>
    <phoneticPr fontId="5" type="noConversion"/>
  </si>
  <si>
    <t>Suede Dye &amp; Dressing #060-Burgundy</t>
    <phoneticPr fontId="5" type="noConversion"/>
  </si>
  <si>
    <t>Suede Dye &amp; Dressing #061-DarkRed</t>
    <phoneticPr fontId="5" type="noConversion"/>
  </si>
  <si>
    <t>Suede Dye &amp; Dressing #064-Red</t>
    <phoneticPr fontId="5" type="noConversion"/>
  </si>
  <si>
    <t>Suede Dye &amp; Dressing #065-Wine-Tone</t>
    <phoneticPr fontId="5" type="noConversion"/>
  </si>
  <si>
    <t>Suede Dye &amp; Dressing #070-Beige</t>
    <phoneticPr fontId="5" type="noConversion"/>
  </si>
  <si>
    <t>Suede Dye &amp; Dressing #071-Chamois</t>
    <phoneticPr fontId="5" type="noConversion"/>
  </si>
  <si>
    <t>Suede Dye &amp; Dressing #075-Yellow</t>
    <phoneticPr fontId="5" type="noConversion"/>
  </si>
  <si>
    <t>Suede Dye &amp; Dressing #080-DarkGrey</t>
    <phoneticPr fontId="5" type="noConversion"/>
  </si>
  <si>
    <t>Suede Dye &amp; Dressing #081-Grey</t>
    <phoneticPr fontId="5" type="noConversion"/>
  </si>
  <si>
    <t>Suede Dye &amp; Dressing #082-LightGrey</t>
    <phoneticPr fontId="5" type="noConversion"/>
  </si>
  <si>
    <t>Suede Dye &amp; Dressing #175-Lilac</t>
    <phoneticPr fontId="5" type="noConversion"/>
  </si>
  <si>
    <t>Suede Dye &amp; Dressing #188-Pink</t>
    <phoneticPr fontId="5" type="noConversion"/>
  </si>
  <si>
    <t>Leather Paint Black 4oz</t>
    <phoneticPr fontId="5" type="noConversion"/>
  </si>
  <si>
    <t>Leather Paint White 4oz</t>
    <phoneticPr fontId="5" type="noConversion"/>
  </si>
  <si>
    <t>Leather Paint Red 4oz</t>
    <phoneticPr fontId="5" type="noConversion"/>
  </si>
  <si>
    <t>Leather Paint Yellow 4oz</t>
    <phoneticPr fontId="5" type="noConversion"/>
  </si>
  <si>
    <t>Leather Paint Flat Black 4oz</t>
    <phoneticPr fontId="5" type="noConversion"/>
  </si>
  <si>
    <t>Leather Paint Flat White 4oz</t>
    <phoneticPr fontId="5" type="noConversion"/>
  </si>
  <si>
    <t>Leather Preparer &amp; Deglazer 4OZ</t>
    <phoneticPr fontId="5" type="noConversion"/>
  </si>
  <si>
    <t>820PT000</t>
    <phoneticPr fontId="2" type="noConversion"/>
  </si>
  <si>
    <t>Leather Preparer &amp; Deglazer Pints</t>
    <phoneticPr fontId="5" type="noConversion"/>
  </si>
  <si>
    <t>Acrylic Finisher</t>
    <phoneticPr fontId="5" type="noConversion"/>
  </si>
  <si>
    <t>Satin Acrylic Finisher High Gloss</t>
    <phoneticPr fontId="5" type="noConversion"/>
  </si>
  <si>
    <t>Acrylic Finisher Hi-Gloss</t>
    <phoneticPr fontId="5" type="noConversion"/>
  </si>
  <si>
    <t>Satin Acrylic Finisher</t>
    <phoneticPr fontId="5" type="noConversion"/>
  </si>
  <si>
    <t>Matte Acrylic Finisher</t>
    <phoneticPr fontId="5" type="noConversion"/>
  </si>
  <si>
    <t>Easy Cleaner</t>
    <phoneticPr fontId="5" type="noConversion"/>
  </si>
  <si>
    <t>Easy Cleaner Kit</t>
    <phoneticPr fontId="2" type="noConversion"/>
  </si>
  <si>
    <t>845WS000</t>
    <phoneticPr fontId="2" type="noConversion"/>
  </si>
  <si>
    <t>엔젤러스 올퍼포스 클리너</t>
    <phoneticPr fontId="2" type="noConversion"/>
  </si>
  <si>
    <t>Shoe Shampoo</t>
    <phoneticPr fontId="5" type="noConversion"/>
  </si>
  <si>
    <t>Blue Foam Cleaner</t>
    <phoneticPr fontId="5" type="noConversion"/>
  </si>
  <si>
    <t>Foam Powder Cleaner</t>
    <phoneticPr fontId="5" type="noConversion"/>
  </si>
  <si>
    <t>DeSalter</t>
    <phoneticPr fontId="5" type="noConversion"/>
  </si>
  <si>
    <t>Leather Dye Reducer</t>
    <phoneticPr fontId="5" type="noConversion"/>
  </si>
  <si>
    <t>851WS000</t>
  </si>
  <si>
    <t>Water &amp; Stain Repellant Aerosol</t>
    <phoneticPr fontId="5" type="noConversion"/>
  </si>
  <si>
    <t>Boot Spray</t>
    <phoneticPr fontId="5" type="noConversion"/>
  </si>
  <si>
    <t>Silicone Water Repellent</t>
    <phoneticPr fontId="5" type="noConversion"/>
  </si>
  <si>
    <t>Duller 1oz</t>
    <phoneticPr fontId="5" type="noConversion"/>
  </si>
  <si>
    <t>Duller 4oz</t>
    <phoneticPr fontId="5" type="noConversion"/>
  </si>
  <si>
    <t>2-Thin</t>
    <phoneticPr fontId="5" type="noConversion"/>
  </si>
  <si>
    <t>2-Thin 4oz</t>
    <phoneticPr fontId="5" type="noConversion"/>
  </si>
  <si>
    <t>720PT000</t>
    <phoneticPr fontId="2" type="noConversion"/>
  </si>
  <si>
    <t>720QT000</t>
    <phoneticPr fontId="2" type="noConversion"/>
  </si>
  <si>
    <t>2-Thin Quart</t>
    <phoneticPr fontId="5" type="noConversion"/>
  </si>
  <si>
    <t>72201000soft</t>
    <phoneticPr fontId="2" type="noConversion"/>
  </si>
  <si>
    <t>2-Soft Fabric Medium 1온즈</t>
    <phoneticPr fontId="2" type="noConversion"/>
  </si>
  <si>
    <t>72204000soft</t>
    <phoneticPr fontId="2" type="noConversion"/>
  </si>
  <si>
    <t>2-Soft Fabric Medium 4온즈</t>
    <phoneticPr fontId="2" type="noConversion"/>
  </si>
  <si>
    <t>72201000hard</t>
    <phoneticPr fontId="2" type="noConversion"/>
  </si>
  <si>
    <t>2-Hard Film Hardener 1온즈</t>
    <phoneticPr fontId="2" type="noConversion"/>
  </si>
  <si>
    <t>72204000hard</t>
    <phoneticPr fontId="2" type="noConversion"/>
  </si>
  <si>
    <t>2-Hard Film Hardener 4온즈</t>
    <phoneticPr fontId="2" type="noConversion"/>
  </si>
  <si>
    <t>99105MO104</t>
  </si>
  <si>
    <t>Mink Oil Aerosol</t>
    <phoneticPr fontId="5" type="noConversion"/>
  </si>
  <si>
    <t>99103MO107</t>
  </si>
  <si>
    <t>Mink Oil Paste/Tub                    MO107</t>
    <phoneticPr fontId="5" type="noConversion"/>
  </si>
  <si>
    <t xml:space="preserve">Leather Balm </t>
    <phoneticPr fontId="5" type="noConversion"/>
  </si>
  <si>
    <t>White Ace Supreme Applicator Top</t>
    <phoneticPr fontId="5" type="noConversion"/>
  </si>
  <si>
    <t>Instant Shine Brown</t>
    <phoneticPr fontId="5" type="noConversion"/>
  </si>
  <si>
    <t>Instant Shine Neutral</t>
    <phoneticPr fontId="5" type="noConversion"/>
  </si>
  <si>
    <t>Instant Shine Red</t>
    <phoneticPr fontId="5" type="noConversion"/>
  </si>
  <si>
    <t>Instant Shine Cordovan</t>
    <phoneticPr fontId="5" type="noConversion"/>
  </si>
  <si>
    <t>Instant Shine White</t>
    <phoneticPr fontId="5" type="noConversion"/>
  </si>
  <si>
    <t>Instant Shine Black</t>
    <phoneticPr fontId="5" type="noConversion"/>
  </si>
  <si>
    <t>Dry Cleaner &amp; Spot Remover</t>
    <phoneticPr fontId="5" type="noConversion"/>
  </si>
  <si>
    <t>8704P000</t>
  </si>
  <si>
    <t>Shoe Stretch 4oz</t>
    <phoneticPr fontId="5" type="noConversion"/>
  </si>
  <si>
    <t>8702P000</t>
    <phoneticPr fontId="2" type="noConversion"/>
  </si>
  <si>
    <t>Shoe Stretch 2oz</t>
    <phoneticPr fontId="5" type="noConversion"/>
  </si>
  <si>
    <t>Suede and Nubuck Kit</t>
    <phoneticPr fontId="5" type="noConversion"/>
  </si>
  <si>
    <t>876-04-000</t>
    <phoneticPr fontId="2" type="noConversion"/>
  </si>
  <si>
    <t>솔브라이트 4oz</t>
    <phoneticPr fontId="2" type="noConversion"/>
  </si>
  <si>
    <t>Cleaning Brush</t>
    <phoneticPr fontId="2" type="noConversion"/>
  </si>
  <si>
    <t>599BT000</t>
  </si>
  <si>
    <t>Angelus Dyeliner Broad Tip</t>
    <phoneticPr fontId="5" type="noConversion"/>
  </si>
  <si>
    <t>599FT000</t>
  </si>
  <si>
    <t>Angelus Dyeliner Fine Tip</t>
    <phoneticPr fontId="5" type="noConversion"/>
  </si>
  <si>
    <t>마커펜 3mm</t>
    <phoneticPr fontId="2" type="noConversion"/>
  </si>
  <si>
    <t>마커펜 5mm</t>
    <phoneticPr fontId="2" type="noConversion"/>
  </si>
  <si>
    <t>마커펜세트 3mm</t>
    <phoneticPr fontId="2" type="noConversion"/>
  </si>
  <si>
    <t>마커펜세트 5mm</t>
    <phoneticPr fontId="2" type="noConversion"/>
  </si>
  <si>
    <t xml:space="preserve">Angelus Reptile and Exotic Conditioner </t>
    <phoneticPr fontId="5" type="noConversion"/>
  </si>
  <si>
    <t>Angelus Instant Clean</t>
    <phoneticPr fontId="5" type="noConversion"/>
  </si>
  <si>
    <t>100% Pure Neatsfoot Oil dz.</t>
    <phoneticPr fontId="5" type="noConversion"/>
  </si>
  <si>
    <t>Saddle Soap Tan</t>
    <phoneticPr fontId="5" type="noConversion"/>
  </si>
  <si>
    <t>Luster Cream</t>
    <phoneticPr fontId="2" type="noConversion"/>
  </si>
  <si>
    <t>Angelus Luster Cream</t>
    <phoneticPr fontId="5" type="noConversion"/>
  </si>
  <si>
    <t>shoetree</t>
    <phoneticPr fontId="2" type="noConversion"/>
  </si>
  <si>
    <t>엔젤러스 슈트리</t>
    <phoneticPr fontId="5" type="noConversion"/>
  </si>
  <si>
    <t>Angelus Perfect Stain Shoe Wax-Black</t>
    <phoneticPr fontId="5" type="noConversion"/>
  </si>
  <si>
    <t>Angelus Perfect Stain Shoe Wax-Neutral</t>
    <phoneticPr fontId="5" type="noConversion"/>
  </si>
  <si>
    <t>Angelus Perfect Stain Shoe Wax-White</t>
    <phoneticPr fontId="5" type="noConversion"/>
  </si>
  <si>
    <t>Angelus Perfect Stain Shoe Wax-Mahogany</t>
    <phoneticPr fontId="5" type="noConversion"/>
  </si>
  <si>
    <t>Angelus Perfect Stain Shoe Wax-Brown</t>
    <phoneticPr fontId="5" type="noConversion"/>
  </si>
  <si>
    <t>Angelus Perfect Stain Shoe Wax-Cordovan</t>
    <phoneticPr fontId="5" type="noConversion"/>
  </si>
  <si>
    <t>Angelus Perfect Stain Shoe Wax-DarkBrown</t>
    <phoneticPr fontId="5" type="noConversion"/>
  </si>
  <si>
    <t>Angelus Perfect Stain Shoe Wax-Tan</t>
    <phoneticPr fontId="5" type="noConversion"/>
  </si>
  <si>
    <t>Angelus Perfect Stain Shoe Wax-NavyBlue</t>
    <phoneticPr fontId="5" type="noConversion"/>
  </si>
  <si>
    <t>Angelus Perfect Stain Shoe Wax-Green</t>
    <phoneticPr fontId="5" type="noConversion"/>
  </si>
  <si>
    <t>Angelus Perfect Stain Shoe Wax-MidniteGreen</t>
    <phoneticPr fontId="5" type="noConversion"/>
  </si>
  <si>
    <t>Angelus Perfect Stain Shoe Wax-Red/Oxblood</t>
    <phoneticPr fontId="5" type="noConversion"/>
  </si>
  <si>
    <t xml:space="preserve">Angelus Perfect Stain Shoe Wax-Red </t>
    <phoneticPr fontId="5" type="noConversion"/>
  </si>
  <si>
    <t>720-02-201</t>
    <phoneticPr fontId="2" type="noConversion"/>
  </si>
  <si>
    <t>Walk On Black</t>
    <phoneticPr fontId="2" type="noConversion"/>
  </si>
  <si>
    <t>720-02-285</t>
    <phoneticPr fontId="2" type="noConversion"/>
  </si>
  <si>
    <t>Walk On Red</t>
    <phoneticPr fontId="2" type="noConversion"/>
  </si>
  <si>
    <t>8404P000</t>
    <phoneticPr fontId="2" type="noConversion"/>
  </si>
  <si>
    <t>Easy Cleaner 4oz</t>
    <phoneticPr fontId="2" type="noConversion"/>
  </si>
  <si>
    <t>Deep conditoiner</t>
    <phoneticPr fontId="2" type="noConversion"/>
  </si>
  <si>
    <t>foamtex</t>
    <phoneticPr fontId="2" type="noConversion"/>
  </si>
  <si>
    <t>Foam-Tex Cleaner 5oz</t>
    <phoneticPr fontId="2" type="noConversion"/>
  </si>
  <si>
    <t>towel</t>
    <phoneticPr fontId="2" type="noConversion"/>
  </si>
  <si>
    <t>Premium Microfiber Towel</t>
    <phoneticPr fontId="2" type="noConversion"/>
  </si>
  <si>
    <t>foamtex_kit</t>
    <phoneticPr fontId="2" type="noConversion"/>
  </si>
  <si>
    <t>Foam-Tex Cleaning Kit</t>
    <phoneticPr fontId="2" type="noConversion"/>
  </si>
  <si>
    <t>페인트</t>
    <phoneticPr fontId="2" type="noConversion"/>
  </si>
  <si>
    <t>네온페인트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</si>
  <si>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</si>
  <si>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</si>
  <si>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</si>
  <si>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페인트 4온즈</t>
    <phoneticPr fontId="2" type="noConversion"/>
  </si>
  <si>
    <t>디글레이저</t>
    <phoneticPr fontId="2" type="noConversion"/>
  </si>
  <si>
    <t>피니셔</t>
    <phoneticPr fontId="2" type="noConversion"/>
  </si>
  <si>
    <t>클리너</t>
    <phoneticPr fontId="2" type="noConversion"/>
  </si>
  <si>
    <t>방수제</t>
    <phoneticPr fontId="2" type="noConversion"/>
  </si>
  <si>
    <t>둘러</t>
    <phoneticPr fontId="2" type="noConversion"/>
  </si>
  <si>
    <t>2-Thin 외 혼합제</t>
    <phoneticPr fontId="2" type="noConversion"/>
  </si>
  <si>
    <t>가죽크림류</t>
    <phoneticPr fontId="2" type="noConversion"/>
  </si>
  <si>
    <t>백화제</t>
    <phoneticPr fontId="2" type="noConversion"/>
  </si>
  <si>
    <t>액체구두약</t>
    <phoneticPr fontId="2" type="noConversion"/>
  </si>
  <si>
    <t>기타</t>
    <phoneticPr fontId="2" type="noConversion"/>
  </si>
  <si>
    <t>왁스구두약</t>
    <phoneticPr fontId="2" type="noConversion"/>
  </si>
  <si>
    <t>펄레슨트페인트</t>
    <phoneticPr fontId="2" type="noConversion"/>
  </si>
  <si>
    <t>공급가</t>
    <phoneticPr fontId="2" type="noConversion"/>
  </si>
  <si>
    <t>수량</t>
    <phoneticPr fontId="2" type="noConversion"/>
  </si>
  <si>
    <t>Leather Paint Neutral 4oz</t>
    <phoneticPr fontId="5" type="noConversion"/>
  </si>
  <si>
    <t>Leather Paint Brown 4oz</t>
    <phoneticPr fontId="5" type="noConversion"/>
  </si>
  <si>
    <t>Leather Paint Chocolate 4oz</t>
    <phoneticPr fontId="5" type="noConversion"/>
  </si>
  <si>
    <t>Leather Paint DarkBrown 4oz</t>
    <phoneticPr fontId="5" type="noConversion"/>
  </si>
  <si>
    <t>Leather Paint LightBrown 4oz</t>
    <phoneticPr fontId="5" type="noConversion"/>
  </si>
  <si>
    <t>Leather Paint Orange 4oz</t>
    <phoneticPr fontId="5" type="noConversion"/>
  </si>
  <si>
    <t>Leather Paint Tan 4oz</t>
    <phoneticPr fontId="5" type="noConversion"/>
  </si>
  <si>
    <t>Leather Paint BLUE 4oz</t>
    <phoneticPr fontId="5" type="noConversion"/>
  </si>
  <si>
    <t>Leather Paint NavyBlue 4oz</t>
    <phoneticPr fontId="5" type="noConversion"/>
  </si>
  <si>
    <t>Leather Paint Green 4oz</t>
    <phoneticPr fontId="5" type="noConversion"/>
  </si>
  <si>
    <t>Leather Paint Burgundy 4oz</t>
    <phoneticPr fontId="5" type="noConversion"/>
  </si>
  <si>
    <t>Leather Paint Beige 4oz</t>
    <phoneticPr fontId="5" type="noConversion"/>
  </si>
  <si>
    <t>Leather Paint Gold 4oz</t>
    <phoneticPr fontId="5" type="noConversion"/>
  </si>
  <si>
    <t>Leather Paint DarkGrey 4oz</t>
    <phoneticPr fontId="5" type="noConversion"/>
  </si>
  <si>
    <t>Leather Paint Grey 4oz</t>
    <phoneticPr fontId="5" type="noConversion"/>
  </si>
  <si>
    <t>Leather Paint LightGrey 4oz</t>
    <phoneticPr fontId="5" type="noConversion"/>
  </si>
  <si>
    <t>Leather Paint SILVER 4oz</t>
    <phoneticPr fontId="5" type="noConversion"/>
  </si>
  <si>
    <t>Leather Paint Vanilla 4oz</t>
    <phoneticPr fontId="5" type="noConversion"/>
  </si>
  <si>
    <t>Leather Paint Cream 4oz</t>
    <phoneticPr fontId="5" type="noConversion"/>
  </si>
  <si>
    <t>Leather Paint RichBrown 4oz</t>
    <phoneticPr fontId="5" type="noConversion"/>
  </si>
  <si>
    <t>Leather Paint FireRed 4oz</t>
    <phoneticPr fontId="5" type="noConversion"/>
  </si>
  <si>
    <t>Leather Paint Petal Pink 4oz</t>
    <phoneticPr fontId="5" type="noConversion"/>
  </si>
  <si>
    <t>Leather PaintScaletRed 4oz</t>
    <phoneticPr fontId="5" type="noConversion"/>
  </si>
  <si>
    <t>4971671511941</t>
    <phoneticPr fontId="2" type="noConversion"/>
  </si>
  <si>
    <t>8514P000</t>
    <phoneticPr fontId="2" type="noConversion"/>
  </si>
  <si>
    <t>hogbrush</t>
    <phoneticPr fontId="2" type="noConversion"/>
  </si>
  <si>
    <t>Brush Set</t>
  </si>
  <si>
    <t>Angelus Paint Brush Set</t>
    <phoneticPr fontId="5" type="noConversion"/>
  </si>
  <si>
    <t>brush17_black</t>
    <phoneticPr fontId="2" type="noConversion"/>
  </si>
  <si>
    <t>엔젤러스 말털브러시 17cm 블랙</t>
    <phoneticPr fontId="5" type="noConversion"/>
  </si>
  <si>
    <t>brush17_grey</t>
    <phoneticPr fontId="2" type="noConversion"/>
  </si>
  <si>
    <t>엔젤러스 말털브러시 17cm 그레이</t>
    <phoneticPr fontId="5" type="noConversion"/>
  </si>
  <si>
    <t>waxbrush</t>
    <phoneticPr fontId="2" type="noConversion"/>
  </si>
  <si>
    <t>엔제러스 말털 약솔</t>
    <phoneticPr fontId="5" type="noConversion"/>
  </si>
  <si>
    <t>네온페인트</t>
    <phoneticPr fontId="2" type="noConversion"/>
  </si>
  <si>
    <t>펄레슨트페인트</t>
    <phoneticPr fontId="2" type="noConversion"/>
  </si>
  <si>
    <t>글리터라이트</t>
    <phoneticPr fontId="2" type="noConversion"/>
  </si>
  <si>
    <t>레더다이</t>
    <phoneticPr fontId="2" type="noConversion"/>
  </si>
  <si>
    <t>스웨이드다이</t>
    <phoneticPr fontId="2" type="noConversion"/>
  </si>
  <si>
    <t>페인트 118ml(4oz)</t>
    <phoneticPr fontId="2" type="noConversion"/>
  </si>
  <si>
    <t>전처리제</t>
    <phoneticPr fontId="2" type="noConversion"/>
  </si>
  <si>
    <t>아크릴피니셔</t>
    <phoneticPr fontId="2" type="noConversion"/>
  </si>
  <si>
    <t>클리너류</t>
    <phoneticPr fontId="2" type="noConversion"/>
  </si>
  <si>
    <t>방수제</t>
    <phoneticPr fontId="2" type="noConversion"/>
  </si>
  <si>
    <t>페인트 첨가제</t>
    <phoneticPr fontId="2" type="noConversion"/>
  </si>
  <si>
    <t>가죽크림류</t>
    <phoneticPr fontId="2" type="noConversion"/>
  </si>
  <si>
    <t>기타</t>
    <phoneticPr fontId="2" type="noConversion"/>
  </si>
  <si>
    <t>슈왁스</t>
    <phoneticPr fontId="2" type="noConversion"/>
  </si>
  <si>
    <t>샤인앤다이</t>
    <phoneticPr fontId="2" type="noConversion"/>
  </si>
  <si>
    <t>러스터크림</t>
    <phoneticPr fontId="2" type="noConversion"/>
  </si>
  <si>
    <t>Luster Cream Black</t>
    <phoneticPr fontId="5" type="noConversion"/>
  </si>
  <si>
    <t>Luster Cream Brown</t>
    <phoneticPr fontId="5" type="noConversion"/>
  </si>
  <si>
    <t>Luster Cream Neutral</t>
    <phoneticPr fontId="5" type="noConversion"/>
  </si>
  <si>
    <t>백화제</t>
    <phoneticPr fontId="2" type="noConversion"/>
  </si>
  <si>
    <t>액체구두약</t>
    <phoneticPr fontId="2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</si>
  <si>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Black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</si>
  <si>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Brown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</si>
  <si>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Cordovan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</si>
  <si>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Tan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</si>
  <si>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NavyBlue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</si>
  <si>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3"/>
        <charset val="134"/>
        <scheme val="minor"/>
      </rPr>
      <t xml:space="preserve"> OxBlood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</si>
  <si>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r>
      <rPr>
        <sz val="11"/>
        <color rgb="FF000000"/>
        <rFont val="Arial"/>
        <family val="3"/>
        <charset val="134"/>
      </rPr>
      <t>Shine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&amp;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Dye</t>
    </r>
    <r>
      <rPr>
        <sz val="11"/>
        <color theme="1"/>
        <rFont val="맑은 고딕"/>
        <family val="2"/>
        <charset val="129"/>
        <scheme val="minor"/>
      </rPr>
      <t xml:space="preserve"> Red </t>
    </r>
    <r>
      <rPr>
        <sz val="11"/>
        <color rgb="FF000000"/>
        <rFont val="Arial"/>
        <family val="3"/>
        <charset val="134"/>
      </rPr>
      <t>3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</si>
  <si>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t>2-Soft Fabric Medium 1온즈</t>
    <phoneticPr fontId="5" type="noConversion"/>
  </si>
  <si>
    <t>2-Soft Fabric Medium 4온즈</t>
    <phoneticPr fontId="5" type="noConversion"/>
  </si>
  <si>
    <t>2-Hard Film Hardener 1온즈</t>
    <phoneticPr fontId="5" type="noConversion"/>
  </si>
  <si>
    <t>2-Hard Film Hardener 4온즈</t>
    <phoneticPr fontId="5" type="noConversion"/>
  </si>
  <si>
    <t>Easy Cleaner 4oz</t>
    <phoneticPr fontId="5" type="noConversion"/>
  </si>
  <si>
    <t>Easy Cleaner Kit</t>
    <phoneticPr fontId="5" type="noConversion"/>
  </si>
  <si>
    <t>Foam-Tex Cleaning Kit</t>
    <phoneticPr fontId="5" type="noConversion"/>
  </si>
  <si>
    <t>엔젤러스 올퍼포스 클리너</t>
    <phoneticPr fontId="5" type="noConversion"/>
  </si>
  <si>
    <t>Foam-Tex Cleaner 5oz</t>
    <phoneticPr fontId="5" type="noConversion"/>
  </si>
  <si>
    <t>엔젤러스 액상방수제 펌프형</t>
    <phoneticPr fontId="5" type="noConversion"/>
  </si>
  <si>
    <t>Deep conditoiner</t>
    <phoneticPr fontId="5" type="noConversion"/>
  </si>
  <si>
    <t>솔브라이트 4oz</t>
    <phoneticPr fontId="5" type="noConversion"/>
  </si>
  <si>
    <t>콜럼버스 스웨이드 지우개</t>
    <phoneticPr fontId="5" type="noConversion"/>
  </si>
  <si>
    <t>Cleaning Brush</t>
    <phoneticPr fontId="5" type="noConversion"/>
  </si>
  <si>
    <t>마커펜 3mm</t>
    <phoneticPr fontId="5" type="noConversion"/>
  </si>
  <si>
    <t>마커펜 5mm</t>
    <phoneticPr fontId="5" type="noConversion"/>
  </si>
  <si>
    <t>마커펜세트 3mm</t>
    <phoneticPr fontId="5" type="noConversion"/>
  </si>
  <si>
    <t>마커펜세트 5mm</t>
    <phoneticPr fontId="5" type="noConversion"/>
  </si>
  <si>
    <t>Walk On Black</t>
    <phoneticPr fontId="5" type="noConversion"/>
  </si>
  <si>
    <t>Walk On Red</t>
    <phoneticPr fontId="5" type="noConversion"/>
  </si>
  <si>
    <t>Premium Microfiber Towel</t>
    <phoneticPr fontId="5" type="noConversion"/>
  </si>
  <si>
    <t>Hog Bristle Sneaker Cleaning Brush</t>
    <phoneticPr fontId="5" type="noConversion"/>
  </si>
  <si>
    <t>Angelus ShoeTree</t>
    <phoneticPr fontId="5" type="noConversion"/>
  </si>
  <si>
    <t>Clear Shoe Cement</t>
    <phoneticPr fontId="5" type="noConversion"/>
  </si>
  <si>
    <r>
      <rPr>
        <b/>
        <sz val="10"/>
        <rFont val="돋움"/>
        <family val="3"/>
        <charset val="129"/>
      </rPr>
      <t>다이라이너</t>
    </r>
    <r>
      <rPr>
        <b/>
        <sz val="10"/>
        <rFont val="Arial"/>
        <family val="2"/>
      </rPr>
      <t>/</t>
    </r>
    <r>
      <rPr>
        <b/>
        <sz val="10"/>
        <rFont val="돋움"/>
        <family val="3"/>
        <charset val="129"/>
      </rPr>
      <t>마커펜</t>
    </r>
    <phoneticPr fontId="2" type="noConversion"/>
  </si>
  <si>
    <t>#001-Paint Black</t>
  </si>
  <si>
    <t>#004-Paint Neutral</t>
  </si>
  <si>
    <t>#005-Paint White</t>
  </si>
  <si>
    <t>#014-Paint Brown</t>
  </si>
  <si>
    <t>#015-Paint Chocolate</t>
  </si>
  <si>
    <t>#018-Paint DarkBrown</t>
  </si>
  <si>
    <t>#019-Paint English Tan</t>
  </si>
  <si>
    <t>#021-Paint LightBrown</t>
  </si>
  <si>
    <t>#024-Paint Orange</t>
  </si>
  <si>
    <t>#027- Paint SADDLE</t>
  </si>
  <si>
    <t>#029- Paint Tan</t>
  </si>
  <si>
    <t>#040-Paint BLUE</t>
  </si>
  <si>
    <t>#041-Paint LightBLUE</t>
  </si>
  <si>
    <t>#042-Paint NavyBlue</t>
  </si>
  <si>
    <t>#043-Paint Turgouise</t>
  </si>
  <si>
    <t>#045-Paint Blue Turquoise</t>
  </si>
  <si>
    <t>#047-Paint Purple</t>
  </si>
  <si>
    <t>#050-Paint Green</t>
  </si>
  <si>
    <t>#052-Paint MidniteGreen</t>
  </si>
  <si>
    <t>#060-Paint Burgundy</t>
  </si>
  <si>
    <t>#064-Paint Red</t>
  </si>
  <si>
    <t>#070-Paint Beige</t>
  </si>
  <si>
    <t>#072-Paint Gold</t>
  </si>
  <si>
    <t>#075-Paint Yellow</t>
  </si>
  <si>
    <t>#080-Paint DarkGrey</t>
  </si>
  <si>
    <t>#081-Paint Grey</t>
  </si>
  <si>
    <t>#082-Paint LightGrey</t>
  </si>
  <si>
    <t>#093-Paint Brick</t>
  </si>
  <si>
    <t>#101-Paint Flat Black</t>
  </si>
  <si>
    <t>#105-Paint Flat White</t>
  </si>
  <si>
    <t>#141-Paint Copper</t>
  </si>
  <si>
    <t>#142-Paint Bronze</t>
  </si>
  <si>
    <t>#143-Paint Pewter</t>
  </si>
  <si>
    <t>#150-Paint SILVER</t>
  </si>
  <si>
    <t>#155-Paint Bone</t>
  </si>
  <si>
    <t>#156-Paint Champagne</t>
  </si>
  <si>
    <t>#157-Paint DarkBone</t>
  </si>
  <si>
    <t>#159-Paint Mist</t>
  </si>
  <si>
    <t>#160-Paint Vanilla</t>
  </si>
  <si>
    <t>#161-Paint Natural</t>
  </si>
  <si>
    <t>#162-Paint Cream</t>
  </si>
  <si>
    <t>#163-Paint CapazioTan</t>
  </si>
  <si>
    <t>#165-Paint BeigeTaupe</t>
  </si>
  <si>
    <t>#166-Paint GreyTaupe</t>
  </si>
  <si>
    <t>#167-Paint Taupe</t>
  </si>
  <si>
    <t>#168-Paint DarkTaupe</t>
  </si>
  <si>
    <t>#169-Paint Mauve</t>
  </si>
  <si>
    <t>#170-Paint Avocado</t>
  </si>
  <si>
    <t>#171-Paint DarkGreen</t>
  </si>
  <si>
    <t>#172-Paint Light Green</t>
  </si>
  <si>
    <t>#174-Paint GiftBoxBlue</t>
  </si>
  <si>
    <t>#175-Paint Lylac</t>
  </si>
  <si>
    <t>#176-Paint PaleBlue</t>
  </si>
  <si>
    <t>#177-Paint Sapphire</t>
  </si>
  <si>
    <t>#178-Paint Violet</t>
  </si>
  <si>
    <t>#179-Paint DarkBlue</t>
  </si>
  <si>
    <t>#180-Paint Cognac</t>
  </si>
  <si>
    <t>#181-Paint RichBrown</t>
  </si>
  <si>
    <t>#182-Paint Sand</t>
  </si>
  <si>
    <t>#183-Paint TerraCottaRed</t>
  </si>
  <si>
    <t>#184-Paint AutumnRed</t>
  </si>
  <si>
    <t>#185-Paint FireRed</t>
  </si>
  <si>
    <t>#186-Paint HotPink</t>
  </si>
  <si>
    <t>#187-Paint Magenta</t>
  </si>
  <si>
    <t>#188-Paint Pink</t>
  </si>
  <si>
    <t>#189-Paint Petal Pink</t>
  </si>
  <si>
    <t>#190-Paint ScaletRed</t>
  </si>
  <si>
    <t>#191-Paint Shell Pink</t>
  </si>
  <si>
    <t>#194-Paint Caramel</t>
  </si>
  <si>
    <t>#196-Paint Mustard</t>
  </si>
  <si>
    <t>#197-Paint PaleYellow</t>
  </si>
  <si>
    <t>#198-PaintButtercup</t>
  </si>
  <si>
    <t>#260-Paint Chili Red</t>
  </si>
  <si>
    <t>#261-Paint South Beach</t>
  </si>
  <si>
    <t>#262-Paint Play in the Sand</t>
  </si>
  <si>
    <t>#263-Paint Grinch Green</t>
  </si>
  <si>
    <t>#264-Paint Putty</t>
  </si>
  <si>
    <t>#265-Paint Tangerine</t>
  </si>
  <si>
    <t>#266-Paint Georgia Peach</t>
  </si>
  <si>
    <t>#267-Paint Salmon</t>
  </si>
  <si>
    <t>#268-Paint Rasberry</t>
  </si>
  <si>
    <t>#269-Paint Mint</t>
  </si>
  <si>
    <t>#270-Paint Vachetta</t>
  </si>
  <si>
    <t>#272-Paint Olive</t>
  </si>
  <si>
    <t>콜렉터에디션</t>
    <phoneticPr fontId="2" type="noConversion"/>
  </si>
  <si>
    <t>#120-Neon Paint Rio Red</t>
  </si>
  <si>
    <t>#121-Neon Paint TahitianPink</t>
  </si>
  <si>
    <t>#122-Neon Paint JamaicanJoyPink</t>
  </si>
  <si>
    <t>#123-Neon Paint ParisianPink</t>
  </si>
  <si>
    <t>#124-Neon Paint ParadisePurple</t>
  </si>
  <si>
    <t>#125-Neon Paint AmazonGreen</t>
  </si>
  <si>
    <t>#127-Neon Paint TropicSunYellow</t>
  </si>
  <si>
    <t>#129-Neon Paint FlamingOrange</t>
  </si>
  <si>
    <t>#130-Neon Paint LavaOrange</t>
  </si>
  <si>
    <t>#128-Neon Paint SunsetYellow</t>
    <phoneticPr fontId="2" type="noConversion"/>
  </si>
  <si>
    <t>#126-Neon Paint PosicleGreen</t>
    <phoneticPr fontId="2" type="noConversion"/>
  </si>
  <si>
    <t>#131-Neon Paint BahamaBlue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</si>
  <si>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#451-</t>
    </r>
    <r>
      <rPr>
        <sz val="11"/>
        <color theme="1"/>
        <rFont val="맑은 고딕"/>
        <family val="3"/>
        <charset val="134"/>
        <scheme val="minor"/>
      </rPr>
      <t>Pearlescent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Paint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Riot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Red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5" type="noConversion"/>
  </si>
  <si>
    <t>#452-Pearlescent Paint Pacific Blue 1 oz.</t>
    <phoneticPr fontId="2" type="noConversion"/>
  </si>
  <si>
    <t>#453 Pearlescent Paint Prince Purple 1 oz.</t>
    <phoneticPr fontId="2" type="noConversion"/>
  </si>
  <si>
    <t>#454-Pearlescent Paint Sterling Silver 1 oz.</t>
    <phoneticPr fontId="2" type="noConversion"/>
  </si>
  <si>
    <t>#455-Pearlescent Paint 18K Gold 1 oz.</t>
    <phoneticPr fontId="2" type="noConversion"/>
  </si>
  <si>
    <t>#456-Pearlescent Paint Rose Gold 1 oz.</t>
    <phoneticPr fontId="2" type="noConversion"/>
  </si>
  <si>
    <t>#457-Pearlescent Paint Emerald Green 1 oz.</t>
    <phoneticPr fontId="2" type="noConversion"/>
  </si>
  <si>
    <t>모델명</t>
    <phoneticPr fontId="2" type="noConversion"/>
  </si>
  <si>
    <t>R01</t>
    <phoneticPr fontId="2" type="noConversion"/>
  </si>
  <si>
    <t>Black/White Rope Laces</t>
    <phoneticPr fontId="2" type="noConversion"/>
  </si>
  <si>
    <t>R02</t>
  </si>
  <si>
    <t>Grey/Black Rope Laces</t>
  </si>
  <si>
    <t>R03</t>
  </si>
  <si>
    <t>Grey/White Rope Laces</t>
  </si>
  <si>
    <t>R04</t>
  </si>
  <si>
    <t>Black/Red Rope Laces</t>
  </si>
  <si>
    <t>R05</t>
  </si>
  <si>
    <t>Blue/White Rope Laces</t>
  </si>
  <si>
    <t>R06</t>
  </si>
  <si>
    <t>Red/White Rope Laces</t>
  </si>
  <si>
    <t>R07</t>
  </si>
  <si>
    <t>Blue/Black Rope Laces</t>
  </si>
  <si>
    <t>R08</t>
  </si>
  <si>
    <t>Mint/Black Rope Laces</t>
  </si>
  <si>
    <t>R09</t>
  </si>
  <si>
    <t>Oxford Tan Rope Laces</t>
  </si>
  <si>
    <t>R10</t>
  </si>
  <si>
    <t>Metallic Red/Black Rope Laces</t>
    <phoneticPr fontId="2" type="noConversion"/>
  </si>
  <si>
    <t>R11</t>
  </si>
  <si>
    <t>Metallic Gold/White Rope Laces</t>
  </si>
  <si>
    <t>R12</t>
  </si>
  <si>
    <t>Olive/Black Rope Laces</t>
  </si>
  <si>
    <t>R13</t>
  </si>
  <si>
    <t>Pink/White Rope Laces</t>
  </si>
  <si>
    <t>R14</t>
  </si>
  <si>
    <t>Mint Green/White Rope Laces</t>
  </si>
  <si>
    <t>R15</t>
  </si>
  <si>
    <t>Volt/Black Rope Laces</t>
  </si>
  <si>
    <t>R16</t>
  </si>
  <si>
    <t>Green/White Rope Laces</t>
  </si>
  <si>
    <t>R17</t>
  </si>
  <si>
    <t>Black/Metallic Gold Rope Laces</t>
  </si>
  <si>
    <t>R18</t>
  </si>
  <si>
    <t>Columbia Blue/Black Rope Laces</t>
  </si>
  <si>
    <t>R19</t>
  </si>
  <si>
    <t>Red/Orange Rope Laces</t>
  </si>
  <si>
    <t>R20</t>
  </si>
  <si>
    <t>Infrapink/Black Rope Laces</t>
  </si>
  <si>
    <t>R21</t>
  </si>
  <si>
    <t>R22</t>
  </si>
  <si>
    <t>Purple/Black Rope Laces</t>
  </si>
  <si>
    <t>R23</t>
  </si>
  <si>
    <t>Yellow/Black Rope Laces</t>
  </si>
  <si>
    <t>R24</t>
  </si>
  <si>
    <t>Yellow/White Rope Laces</t>
  </si>
  <si>
    <t>R25</t>
  </si>
  <si>
    <t>Black/Tan Rope Laces</t>
  </si>
  <si>
    <t>R26</t>
  </si>
  <si>
    <t>Cream/White Rope Laces</t>
  </si>
  <si>
    <t>R27</t>
  </si>
  <si>
    <t>R28</t>
  </si>
  <si>
    <t>White/Metallic Gold v2.0 Rope Laces</t>
  </si>
  <si>
    <t>R29</t>
  </si>
  <si>
    <t>R30</t>
  </si>
  <si>
    <t>Burgundy/Grey Rope Laces</t>
  </si>
  <si>
    <t>R31</t>
  </si>
  <si>
    <t>Navy Blue/Burgundy Rope Laces</t>
  </si>
  <si>
    <t>R32</t>
  </si>
  <si>
    <t>Sail Blue Rope Laces</t>
  </si>
  <si>
    <t>R33</t>
  </si>
  <si>
    <t>Team Red/White Rope Laces</t>
  </si>
  <si>
    <t>R34</t>
  </si>
  <si>
    <t>Beige Rope Laces</t>
  </si>
  <si>
    <t>R35</t>
  </si>
  <si>
    <t>Black Rope Laces</t>
  </si>
  <si>
    <t>R36</t>
  </si>
  <si>
    <t>White Rope Laces</t>
  </si>
  <si>
    <t>R37</t>
  </si>
  <si>
    <t>Blue Rope Laces</t>
  </si>
  <si>
    <t>R38</t>
  </si>
  <si>
    <t>Red Rope Laces</t>
  </si>
  <si>
    <t>R39</t>
  </si>
  <si>
    <t>Navy Blue Rope Laces</t>
  </si>
  <si>
    <t>3M01</t>
    <phoneticPr fontId="2" type="noConversion"/>
  </si>
  <si>
    <t>3M02</t>
  </si>
  <si>
    <t>Blue 3M Reflective Rope Laces</t>
  </si>
  <si>
    <t>3M03</t>
  </si>
  <si>
    <t>White 3M Reflective Rope Laces</t>
  </si>
  <si>
    <t>3M04</t>
  </si>
  <si>
    <t>Red 3M Reflective Rope Laces</t>
  </si>
  <si>
    <t>3M05</t>
  </si>
  <si>
    <t>3M06</t>
  </si>
  <si>
    <t>Olive 3M Reflective Rope Laces</t>
  </si>
  <si>
    <t>3M07</t>
  </si>
  <si>
    <t>Volt 3M Reflective Rope Laces</t>
  </si>
  <si>
    <t>3M08</t>
  </si>
  <si>
    <t>Mint 3M Reflective Rope Laces</t>
  </si>
  <si>
    <t>3M09</t>
  </si>
  <si>
    <t>Cove Blue 3M Reflective Rope Laces</t>
  </si>
  <si>
    <t>3M10</t>
  </si>
  <si>
    <t>Yellow 3M Reflective Rope Laces</t>
  </si>
  <si>
    <t>3M11</t>
  </si>
  <si>
    <t>Purple 3M Reflective Rope Laces</t>
  </si>
  <si>
    <t>3M12</t>
  </si>
  <si>
    <t>Orange 3M Reflective Rope Laces</t>
  </si>
  <si>
    <t>3M13</t>
  </si>
  <si>
    <t>Pink 3M Reflective Rope Laces</t>
  </si>
  <si>
    <t>3M14</t>
  </si>
  <si>
    <t>Green 3M Reflective Rope Laces</t>
  </si>
  <si>
    <t>3M15</t>
  </si>
  <si>
    <t>Sapphire 3M Reflective Rope Laces</t>
  </si>
  <si>
    <t>I01</t>
    <phoneticPr fontId="2" type="noConversion"/>
  </si>
  <si>
    <t>Black 3M Inverse Rope Laces</t>
  </si>
  <si>
    <t>I02</t>
  </si>
  <si>
    <t>White 3M Inverse Rope Laces</t>
  </si>
  <si>
    <t>I03</t>
  </si>
  <si>
    <t>Blue 3M Inverse Rope Laces</t>
  </si>
  <si>
    <t>I04</t>
  </si>
  <si>
    <t>Red 3M Inverse Rope Laces</t>
  </si>
  <si>
    <t>I05</t>
  </si>
  <si>
    <t>Charcoal 3M Inverse Rope Laces</t>
  </si>
  <si>
    <t>I06</t>
  </si>
  <si>
    <t>Mint 3M Inverse Rope Laces</t>
  </si>
  <si>
    <t>I07</t>
  </si>
  <si>
    <t>Cove Blue 3M Inverse Rope Laces</t>
  </si>
  <si>
    <t>I08</t>
  </si>
  <si>
    <t>Volt 3M Inverse Rope Laces</t>
  </si>
  <si>
    <t>F01</t>
    <phoneticPr fontId="2" type="noConversion"/>
  </si>
  <si>
    <t>White Shoe Laces</t>
  </si>
  <si>
    <t>F02</t>
  </si>
  <si>
    <t>Black Shoe Laces</t>
  </si>
  <si>
    <t>F03</t>
  </si>
  <si>
    <t>Red Shoe Laces</t>
  </si>
  <si>
    <t>F04</t>
  </si>
  <si>
    <t>Royal Blue Shoe Laces</t>
  </si>
  <si>
    <t>F05</t>
  </si>
  <si>
    <t>Mint Shoe Laces</t>
  </si>
  <si>
    <t>F06</t>
  </si>
  <si>
    <t>Bahama Blue Shoe Laces</t>
  </si>
  <si>
    <t>F07</t>
  </si>
  <si>
    <t>Maize Shoe Laces</t>
  </si>
  <si>
    <t>F08</t>
  </si>
  <si>
    <t>Maroon Shoe Laces</t>
  </si>
  <si>
    <t>F09</t>
  </si>
  <si>
    <t>Navy Blue Shoe Laces</t>
  </si>
  <si>
    <t>F10</t>
  </si>
  <si>
    <t>Neon Green Shoe Laces</t>
  </si>
  <si>
    <t>F11</t>
  </si>
  <si>
    <t>Neon Pink Shoe Laces</t>
  </si>
  <si>
    <t>F12</t>
  </si>
  <si>
    <t>Pale Yellow Shoe Laces</t>
  </si>
  <si>
    <t>F13</t>
  </si>
  <si>
    <t>Paradise Purple Shoe Laces</t>
  </si>
  <si>
    <t>F14</t>
  </si>
  <si>
    <t>Pink Shoe Laces</t>
  </si>
  <si>
    <t>F15</t>
  </si>
  <si>
    <t>Purple Shoe Laces</t>
  </si>
  <si>
    <t>F16</t>
  </si>
  <si>
    <t>Silver Shoe Laces</t>
  </si>
  <si>
    <t>F17</t>
  </si>
  <si>
    <t>Teal Shoe Laces</t>
  </si>
  <si>
    <t>F18</t>
  </si>
  <si>
    <t>Volt Shoe Laces</t>
  </si>
  <si>
    <t>F19</t>
  </si>
  <si>
    <t>Olive Shoe Laces</t>
  </si>
  <si>
    <t>F20</t>
  </si>
  <si>
    <t>Lilac Shoe Laces</t>
  </si>
  <si>
    <t>F21</t>
  </si>
  <si>
    <t>Light Grey Shoe Laces</t>
  </si>
  <si>
    <t>F22</t>
  </si>
  <si>
    <t>Beige Shoe Laces</t>
  </si>
  <si>
    <t>F23</t>
  </si>
  <si>
    <t>Brown Shoe Laces</t>
  </si>
  <si>
    <t>F24</t>
  </si>
  <si>
    <t>Carolina Blue Shoe Laces</t>
  </si>
  <si>
    <t>F25</t>
  </si>
  <si>
    <t>Charcoal Grey Shoe Laces</t>
  </si>
  <si>
    <t>F26</t>
  </si>
  <si>
    <t>Columbia Blue Shoe Laces</t>
  </si>
  <si>
    <t>F27</t>
  </si>
  <si>
    <t>Dark Brown Shoe Laces</t>
  </si>
  <si>
    <t>F28</t>
  </si>
  <si>
    <t>Dark Green Shoe Laces</t>
  </si>
  <si>
    <t>F29</t>
  </si>
  <si>
    <t>Dark Grey Shoe Laces</t>
  </si>
  <si>
    <t>F30</t>
  </si>
  <si>
    <t>Dark Orange Shoe Laces</t>
  </si>
  <si>
    <t>F31</t>
  </si>
  <si>
    <t>Flaming Orange Shoe Laces</t>
  </si>
  <si>
    <t>F32</t>
  </si>
  <si>
    <t>Fuchsia Shoe Laces</t>
  </si>
  <si>
    <t>F33</t>
  </si>
  <si>
    <t>Gold Shoe Laces</t>
  </si>
  <si>
    <t>F34</t>
  </si>
  <si>
    <t>Kelly Green Shoe Laces</t>
  </si>
  <si>
    <t>F35</t>
  </si>
  <si>
    <t>Light Beige Shoe Laces</t>
  </si>
  <si>
    <t>RF01</t>
    <phoneticPr fontId="2" type="noConversion"/>
  </si>
  <si>
    <t>White  - ReflectiveFlatLaces1.0</t>
  </si>
  <si>
    <t>RF02</t>
  </si>
  <si>
    <t xml:space="preserve">Black Reflective Flat Laces1.0 </t>
  </si>
  <si>
    <t>RF03</t>
  </si>
  <si>
    <t>Red  - ReflectiveFlatLaces1.0</t>
  </si>
  <si>
    <t>RF04</t>
  </si>
  <si>
    <t>Blue  - ReflectiveFlatLaces1.0</t>
  </si>
  <si>
    <t>RF05</t>
  </si>
  <si>
    <t>White  - ReflectiveFlatLaces2.0</t>
  </si>
  <si>
    <t>RF06</t>
  </si>
  <si>
    <t>Black  - ReflectiveFlatLaces2.0</t>
  </si>
  <si>
    <t>RF07</t>
  </si>
  <si>
    <t>Blue  - ReflectiveFlatLaces2.0</t>
  </si>
  <si>
    <t>RF08</t>
  </si>
  <si>
    <t>Red  - ReflectiveFlatLaces2.0</t>
  </si>
  <si>
    <t>RF09</t>
  </si>
  <si>
    <t>Cove Blue  - ReflectiveFlatLaces2.0</t>
  </si>
  <si>
    <t>RF10</t>
  </si>
  <si>
    <t>Mint  - ReflectiveFlatLaces2.0</t>
  </si>
  <si>
    <t>RF11</t>
  </si>
  <si>
    <t>Volt  - ReflectiveFlatLaces2.0</t>
  </si>
  <si>
    <t>RF12</t>
  </si>
  <si>
    <t>Black Reflective Flat Laces</t>
  </si>
  <si>
    <t>RF13</t>
  </si>
  <si>
    <t>Silver Reflective Flat Laces</t>
  </si>
  <si>
    <t>RF14</t>
  </si>
  <si>
    <t>White Reflective Flat Laces</t>
  </si>
  <si>
    <t>RF15</t>
  </si>
  <si>
    <t>Navy Blue  - ReflectiveFlatLaces1.0</t>
  </si>
  <si>
    <t>RF16</t>
  </si>
  <si>
    <t>Sapphire  - ReflectiveFlatLaces1.0</t>
  </si>
  <si>
    <t>X01</t>
    <phoneticPr fontId="2" type="noConversion"/>
  </si>
  <si>
    <t>Black  - XIRopeLaces</t>
  </si>
  <si>
    <t>X02</t>
  </si>
  <si>
    <t>Cool Grey  - XIRopeLaces</t>
  </si>
  <si>
    <t>X03</t>
  </si>
  <si>
    <t>Gamma Blue  - XIRopeLaces</t>
  </si>
  <si>
    <t>X04</t>
  </si>
  <si>
    <t>Grape  - XIRopeLaces</t>
  </si>
  <si>
    <t>X05</t>
  </si>
  <si>
    <t>Legend Blue  - XIRopeLaces</t>
  </si>
  <si>
    <t>X06</t>
  </si>
  <si>
    <t>Light Grey  - XIRopeLaces</t>
  </si>
  <si>
    <t>X07</t>
  </si>
  <si>
    <t>Navy Blue  - XIRopeLaces</t>
  </si>
  <si>
    <t>X08</t>
  </si>
  <si>
    <t>Red  - XILaces</t>
  </si>
  <si>
    <t>X09</t>
  </si>
  <si>
    <t>Royal Blue  - XIRopeLaces</t>
  </si>
  <si>
    <t>X10</t>
  </si>
  <si>
    <t>White  - XIRopeLaces</t>
  </si>
  <si>
    <t>RO01</t>
    <phoneticPr fontId="2" type="noConversion"/>
  </si>
  <si>
    <t>Beige Roshe - StyleLaces</t>
  </si>
  <si>
    <t>RO02</t>
  </si>
  <si>
    <t>Black Roshe - StyleLaces</t>
  </si>
  <si>
    <t>RO03</t>
  </si>
  <si>
    <t>Bone Roshe - StyleLaces</t>
  </si>
  <si>
    <t>RO04</t>
  </si>
  <si>
    <t>Cappuccino Roshe - StyleLaces</t>
  </si>
  <si>
    <t>RO05</t>
  </si>
  <si>
    <t>Chocolate Roshe - StyleLaces</t>
  </si>
  <si>
    <t>RO06</t>
  </si>
  <si>
    <t>Dark Brown Roshe - StyleLaces</t>
  </si>
  <si>
    <t>RO07</t>
  </si>
  <si>
    <t>Hunter Green Roshe - StyleLaces</t>
  </si>
  <si>
    <t>RO08</t>
  </si>
  <si>
    <t>Navy Blue Roshe - StyleLaces</t>
  </si>
  <si>
    <t>RO09</t>
  </si>
  <si>
    <t>Neon Green Roshe - StyleLaces</t>
  </si>
  <si>
    <t>RO10</t>
  </si>
  <si>
    <t>Neon Pink Roshe - StyleLaces</t>
  </si>
  <si>
    <t>RO11</t>
  </si>
  <si>
    <t>Red Roshe - StyleLaces</t>
  </si>
  <si>
    <t>RO12</t>
  </si>
  <si>
    <t>White Roshe - StyleLaces</t>
  </si>
  <si>
    <t>RO13</t>
  </si>
  <si>
    <t>Yellow Roshe - StyleLaces</t>
  </si>
  <si>
    <t>L01</t>
    <phoneticPr fontId="2" type="noConversion"/>
  </si>
  <si>
    <t>Black Luxury Leather Laces - GoldPlated</t>
  </si>
  <si>
    <t>L02</t>
  </si>
  <si>
    <t>Black Luxury Leather Laces - GunmetalPlated</t>
  </si>
  <si>
    <t>L03</t>
  </si>
  <si>
    <t>Black Luxury Leather Laces - SilverPlated</t>
  </si>
  <si>
    <t>L04</t>
  </si>
  <si>
    <t>White Luxury Leather Laces - GoldPlated</t>
  </si>
  <si>
    <t>L05</t>
  </si>
  <si>
    <t>White Luxury Leather Laces - GunmetalPlated</t>
  </si>
  <si>
    <t>L06</t>
  </si>
  <si>
    <t>White Luxury Leather Laces - SilverPlated</t>
  </si>
  <si>
    <t>L07</t>
  </si>
  <si>
    <t>Gold Luxury Leather Laces - GoldPlated</t>
  </si>
  <si>
    <t>L08</t>
  </si>
  <si>
    <t>Gold Luxury Leather Laces - GunmetalPlated</t>
  </si>
  <si>
    <t>L09</t>
  </si>
  <si>
    <t>Gold Luxury Leather Laces - SilverPlated</t>
  </si>
  <si>
    <t>L10</t>
  </si>
  <si>
    <t>Red Luxury Leather Laces - GoldPlated</t>
  </si>
  <si>
    <t>L11</t>
  </si>
  <si>
    <t>Red Luxury Leather Laces - GunmetalPlated</t>
  </si>
  <si>
    <t>L12</t>
  </si>
  <si>
    <t>Red Luxury Leather Laces - SilverPlated</t>
  </si>
  <si>
    <t>L13</t>
  </si>
  <si>
    <t>Royal Blue Luxury Leather Laces - GoldPlated</t>
  </si>
  <si>
    <t>L14</t>
  </si>
  <si>
    <t>Royal Blue Luxury Leather Laces - GunmetalPlated</t>
  </si>
  <si>
    <t>L15</t>
  </si>
  <si>
    <t>Royal Blue Luxury Leather Laces - SilverPlated</t>
  </si>
  <si>
    <t>M01</t>
    <phoneticPr fontId="2" type="noConversion"/>
  </si>
  <si>
    <t>Black/Red Multi - ColorRopeLaces</t>
  </si>
  <si>
    <t>M02</t>
  </si>
  <si>
    <t>Black/White Multi - ColorRopeLaces</t>
  </si>
  <si>
    <t>M03</t>
  </si>
  <si>
    <t>Blue Multi - ColorRopeLaces</t>
  </si>
  <si>
    <t>M04</t>
  </si>
  <si>
    <t>Green Multi - ColorRopeLaces</t>
  </si>
  <si>
    <t>M05</t>
  </si>
  <si>
    <t>Orange Multi - ColorRopeLaces</t>
  </si>
  <si>
    <t>M06</t>
  </si>
  <si>
    <t>Pink Multi - ColorRopeLaces</t>
  </si>
  <si>
    <t>M07</t>
  </si>
  <si>
    <t>Volt Multi - ColorRopeLaces</t>
  </si>
  <si>
    <t>O01</t>
    <phoneticPr fontId="2" type="noConversion"/>
  </si>
  <si>
    <t>Black  - OvalSBLaces</t>
  </si>
  <si>
    <t>O02</t>
  </si>
  <si>
    <t>Blue  - OvalSBLaces</t>
  </si>
  <si>
    <t>O03</t>
  </si>
  <si>
    <t>Carolina Blue  - OvalSBLaces</t>
  </si>
  <si>
    <t>O04</t>
  </si>
  <si>
    <t>Green  - OvalSBLaces</t>
  </si>
  <si>
    <t>O05</t>
  </si>
  <si>
    <t>Grey  - OvalSBLaces</t>
  </si>
  <si>
    <t>O06</t>
  </si>
  <si>
    <t>Light Grey  - OvalSBLaces</t>
  </si>
  <si>
    <t>O07</t>
  </si>
  <si>
    <t>Orange  - OvalSBLaces</t>
  </si>
  <si>
    <t>O08</t>
  </si>
  <si>
    <t>Pink  - OvalSBLaces</t>
  </si>
  <si>
    <t>O09</t>
  </si>
  <si>
    <t>Purple  - OvalSBLaces</t>
  </si>
  <si>
    <t>O10</t>
  </si>
  <si>
    <t>Red  - OvalSBLaces</t>
  </si>
  <si>
    <t>O11</t>
  </si>
  <si>
    <t>Royal Blue  - OvalSBLaces</t>
  </si>
  <si>
    <t>O12</t>
  </si>
  <si>
    <t>Tiffany/Mint  - OvalSBLaces</t>
  </si>
  <si>
    <t>O13</t>
  </si>
  <si>
    <t>Volt  - OvalSBLaces</t>
  </si>
  <si>
    <t>O14</t>
  </si>
  <si>
    <t>Yellow  - OvalSBLaces</t>
  </si>
  <si>
    <t>B01</t>
    <phoneticPr fontId="2" type="noConversion"/>
  </si>
  <si>
    <t>Black Boot Laces</t>
  </si>
  <si>
    <t>B02</t>
  </si>
  <si>
    <t>Black/Brown Boot Laces</t>
  </si>
  <si>
    <t>B03</t>
  </si>
  <si>
    <t>Black/Grey Boot Laces</t>
  </si>
  <si>
    <t>B04</t>
  </si>
  <si>
    <t>Black/Hunter Green Boot Laces</t>
  </si>
  <si>
    <t>B05</t>
  </si>
  <si>
    <t>Black/Tan Boot Laces</t>
  </si>
  <si>
    <t>B06</t>
  </si>
  <si>
    <t>Brown Boot Laces</t>
  </si>
  <si>
    <t>B07</t>
  </si>
  <si>
    <t>Brown/Beige Boot Laces</t>
  </si>
  <si>
    <t>B08</t>
  </si>
  <si>
    <t>Rawhide Boot Laces</t>
  </si>
  <si>
    <t>T01</t>
    <phoneticPr fontId="2" type="noConversion"/>
  </si>
  <si>
    <t>Black  - ThinOvalLaces</t>
  </si>
  <si>
    <t>T02</t>
  </si>
  <si>
    <t>Black/Red  - ThinOvalLaces</t>
  </si>
  <si>
    <t>T03</t>
  </si>
  <si>
    <t>Flaming Orange  - ThinOvalLaces</t>
  </si>
  <si>
    <t>T04</t>
  </si>
  <si>
    <t>Kelly Green  - ThinOvalLaces</t>
  </si>
  <si>
    <t>T05</t>
  </si>
  <si>
    <t>Light Grey  - ThinOvalLaces</t>
  </si>
  <si>
    <t>T06</t>
  </si>
  <si>
    <t>Navy Blue  - ThinOvalLaces</t>
  </si>
  <si>
    <t>T07</t>
  </si>
  <si>
    <t>Red  - ThinOvalLaces</t>
  </si>
  <si>
    <t>T08</t>
  </si>
  <si>
    <t>Royal Blue  - ThinOvalLaces</t>
  </si>
  <si>
    <t>T09</t>
  </si>
  <si>
    <t>Volt  - ThinOvalLaces</t>
  </si>
  <si>
    <t>T10</t>
  </si>
  <si>
    <t>White  - ThinOvalLaces</t>
  </si>
  <si>
    <t>W01</t>
    <phoneticPr fontId="2" type="noConversion"/>
  </si>
  <si>
    <t>Black Waxed Shoe Laces</t>
  </si>
  <si>
    <t>도매가</t>
    <phoneticPr fontId="2" type="noConversion"/>
  </si>
  <si>
    <t>수량</t>
    <phoneticPr fontId="2" type="noConversion"/>
  </si>
  <si>
    <t>Rope Laces</t>
    <phoneticPr fontId="2" type="noConversion"/>
  </si>
  <si>
    <t>Reflective Rope Laces</t>
    <phoneticPr fontId="2" type="noConversion"/>
  </si>
  <si>
    <t>Flat Laces</t>
    <phoneticPr fontId="2" type="noConversion"/>
  </si>
  <si>
    <t>XI Rope Laces</t>
    <phoneticPr fontId="2" type="noConversion"/>
  </si>
  <si>
    <t>Roshe-Style Laces</t>
    <phoneticPr fontId="2" type="noConversion"/>
  </si>
  <si>
    <t>Luxury Leather Laces</t>
    <phoneticPr fontId="2" type="noConversion"/>
  </si>
  <si>
    <t>Multi-Color Rope Laces</t>
    <phoneticPr fontId="2" type="noConversion"/>
  </si>
  <si>
    <t>Boot Laces</t>
    <phoneticPr fontId="2" type="noConversion"/>
  </si>
  <si>
    <t>SB Dunk Laces</t>
    <phoneticPr fontId="2" type="noConversion"/>
  </si>
  <si>
    <t>Thin Oval Laces</t>
    <phoneticPr fontId="2" type="noConversion"/>
  </si>
  <si>
    <t>30"</t>
  </si>
  <si>
    <t>36"</t>
  </si>
  <si>
    <t>41"</t>
    <phoneticPr fontId="2" type="noConversion"/>
  </si>
  <si>
    <t>45"</t>
    <phoneticPr fontId="2" type="noConversion"/>
  </si>
  <si>
    <t>54"</t>
    <phoneticPr fontId="2" type="noConversion"/>
  </si>
  <si>
    <t>30"</t>
    <phoneticPr fontId="2" type="noConversion"/>
  </si>
  <si>
    <t>36"</t>
    <phoneticPr fontId="2" type="noConversion"/>
  </si>
  <si>
    <t>Hot Pink/Black Rope Laces</t>
    <phoneticPr fontId="2" type="noConversion"/>
  </si>
  <si>
    <t>Black/Metallic Gold v2.0 Rope Laces</t>
    <phoneticPr fontId="2" type="noConversion"/>
  </si>
  <si>
    <t>Green/Black Rope Laces</t>
    <phoneticPr fontId="2" type="noConversion"/>
  </si>
  <si>
    <t>Grey 3M/3M Reflective Rope Laces</t>
    <phoneticPr fontId="2" type="noConversion"/>
  </si>
  <si>
    <t>63"</t>
    <phoneticPr fontId="2" type="noConversion"/>
  </si>
  <si>
    <t>Waxed Laces</t>
    <phoneticPr fontId="2" type="noConversion"/>
  </si>
  <si>
    <t>Grey/White Multi-Color Flat Laces</t>
  </si>
  <si>
    <t>Grey/Black Multi-Color Flat Laces</t>
    <phoneticPr fontId="2" type="noConversion"/>
  </si>
  <si>
    <t>Beige/White Multi-Color Flat Laces</t>
    <phoneticPr fontId="2" type="noConversion"/>
  </si>
  <si>
    <t>Flat Reflective Laces</t>
    <phoneticPr fontId="2" type="noConversion"/>
  </si>
  <si>
    <t>Sapphire - Reflective Flat Laces 2.0</t>
    <phoneticPr fontId="2" type="noConversion"/>
  </si>
  <si>
    <t>Navy Blue - Reflective Flat Laces 2.0</t>
    <phoneticPr fontId="2" type="noConversion"/>
  </si>
  <si>
    <t>Olive - Reflective Flat Laces 1.0</t>
    <phoneticPr fontId="2" type="noConversion"/>
  </si>
  <si>
    <t>Olive - Reflective Flat Laces 2.0</t>
    <phoneticPr fontId="2" type="noConversion"/>
  </si>
  <si>
    <t>Grey/White Multi-Color Flat Laces</t>
    <phoneticPr fontId="2" type="noConversion"/>
  </si>
  <si>
    <t>Black/White Multi-Color Flat Laces</t>
    <phoneticPr fontId="2" type="noConversion"/>
  </si>
  <si>
    <t>"72</t>
    <phoneticPr fontId="2" type="noConversion"/>
  </si>
  <si>
    <t>사이즈</t>
    <phoneticPr fontId="2" type="noConversion"/>
  </si>
  <si>
    <t>제품명</t>
    <phoneticPr fontId="2" type="noConversion"/>
  </si>
  <si>
    <t>판매가</t>
    <phoneticPr fontId="14" type="noConversion"/>
  </si>
  <si>
    <t>45"</t>
    <phoneticPr fontId="2" type="noConversion"/>
  </si>
  <si>
    <t>boost</t>
    <phoneticPr fontId="2" type="noConversion"/>
  </si>
  <si>
    <t>Charcoal Grey Rope Laces</t>
    <phoneticPr fontId="2" type="noConversion"/>
  </si>
  <si>
    <t>Black 3M Reflective Rope Laces</t>
    <phoneticPr fontId="2" type="noConversion"/>
  </si>
  <si>
    <t>NMD</t>
    <phoneticPr fontId="2" type="noConversion"/>
  </si>
  <si>
    <t>Boost</t>
  </si>
  <si>
    <t>: Boost</t>
    <phoneticPr fontId="2" type="noConversion"/>
  </si>
  <si>
    <t>: NMD</t>
    <phoneticPr fontId="2" type="noConversion"/>
  </si>
  <si>
    <t>#345-Collector Edition  InfraRed 2014</t>
    <phoneticPr fontId="2" type="noConversion"/>
  </si>
  <si>
    <t>#452-Pearlescent Paint Pacific Blue 1 oz.</t>
    <phoneticPr fontId="2" type="noConversion"/>
  </si>
  <si>
    <t>#453-Pearlescent Paint Prince Purple 1 oz.</t>
    <phoneticPr fontId="2" type="noConversion"/>
  </si>
  <si>
    <t>#454-Pearlescent Paint Sterling Silver 1 oz.</t>
    <phoneticPr fontId="2" type="noConversion"/>
  </si>
  <si>
    <t>#455-Pearlescent Paint 18K Gold 1 oz.</t>
    <phoneticPr fontId="2" type="noConversion"/>
  </si>
  <si>
    <t>#456-Pearlescent Paint Rose Gold 1 oz.</t>
    <phoneticPr fontId="2" type="noConversion"/>
  </si>
  <si>
    <t>#457-Pearlescent Paint Emerald Green 1 oz.</t>
    <phoneticPr fontId="2" type="noConversion"/>
  </si>
  <si>
    <r>
      <rPr>
        <sz val="11"/>
        <color theme="1"/>
        <rFont val="맑은 고딕"/>
        <family val="2"/>
        <charset val="129"/>
        <scheme val="minor"/>
      </rPr>
      <t>#451-</t>
    </r>
    <r>
      <rPr>
        <sz val="11"/>
        <color theme="1"/>
        <rFont val="맑은 고딕"/>
        <family val="3"/>
        <charset val="134"/>
        <scheme val="minor"/>
      </rPr>
      <t>Pearlescent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Paint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Riot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Red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1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rgb="FF000000"/>
        <rFont val="Arial"/>
        <family val="3"/>
        <charset val="134"/>
      </rPr>
      <t>oz.</t>
    </r>
    <phoneticPr fontId="2" type="noConversion"/>
  </si>
  <si>
    <t>Leather Dye Pro Black</t>
    <phoneticPr fontId="5" type="noConversion"/>
  </si>
  <si>
    <t>Leather Finish Brown</t>
    <phoneticPr fontId="2" type="noConversion"/>
  </si>
  <si>
    <t>Edge finish Black</t>
    <phoneticPr fontId="2" type="noConversion"/>
  </si>
  <si>
    <t>Edge finish White</t>
    <phoneticPr fontId="2" type="noConversion"/>
  </si>
  <si>
    <t>Edge finish Brown</t>
    <phoneticPr fontId="2" type="noConversion"/>
  </si>
  <si>
    <t>Edge finish DarkBrown</t>
    <phoneticPr fontId="2" type="noConversion"/>
  </si>
  <si>
    <t>Edge finish LightBrown</t>
    <phoneticPr fontId="2" type="noConversion"/>
  </si>
  <si>
    <t>Acrylic Antique Finish Black</t>
    <phoneticPr fontId="2" type="noConversion"/>
  </si>
  <si>
    <t>Acrylic Antique Finish Brown</t>
    <phoneticPr fontId="2" type="noConversion"/>
  </si>
  <si>
    <t>Acrylic Antique Finish LightBrown</t>
    <phoneticPr fontId="2" type="noConversion"/>
  </si>
  <si>
    <t>Acrylic Antique Finish MediumBrown</t>
    <phoneticPr fontId="2" type="noConversion"/>
  </si>
  <si>
    <t>Acrylic Antique Finish DarkBrown</t>
    <phoneticPr fontId="2" type="noConversion"/>
  </si>
  <si>
    <t>Acrylic Antique Finish BismarkBrown</t>
    <phoneticPr fontId="2" type="noConversion"/>
  </si>
  <si>
    <t>Acrylic Antique Finish Tan</t>
    <phoneticPr fontId="2" type="noConversion"/>
  </si>
  <si>
    <t>Acrylic Antique Finish Mahogany</t>
    <phoneticPr fontId="2" type="noConversion"/>
  </si>
  <si>
    <t>Acrylic Antique Finish Cordovan</t>
    <phoneticPr fontId="2" type="noConversion"/>
  </si>
  <si>
    <t>Leather Finish Black</t>
    <phoneticPr fontId="2" type="noConversion"/>
  </si>
  <si>
    <t>냄새제거제</t>
    <phoneticPr fontId="2" type="noConversion"/>
  </si>
  <si>
    <t>Deodorizer 냄새제거제</t>
    <phoneticPr fontId="5" type="noConversion"/>
  </si>
  <si>
    <t>전문가용제품</t>
    <phoneticPr fontId="2" type="noConversion"/>
  </si>
  <si>
    <t/>
  </si>
  <si>
    <t>142</t>
    <phoneticPr fontId="2" type="noConversion"/>
  </si>
  <si>
    <t>143</t>
    <phoneticPr fontId="2" type="noConversion"/>
  </si>
  <si>
    <t>141</t>
    <phoneticPr fontId="2" type="noConversion"/>
  </si>
  <si>
    <t>#001</t>
    <phoneticPr fontId="2" type="noConversion"/>
  </si>
  <si>
    <t>#004</t>
    <phoneticPr fontId="2" type="noConversion"/>
  </si>
  <si>
    <t>#005</t>
    <phoneticPr fontId="2" type="noConversion"/>
  </si>
  <si>
    <t>#001-Leather Paint Black 4oz</t>
  </si>
  <si>
    <t>#004-Leather Paint Neutral 4oz</t>
  </si>
  <si>
    <t>#005-Leather Paint White 4oz</t>
  </si>
  <si>
    <t>#014-Leather Paint Brown 4oz</t>
  </si>
  <si>
    <t>#015-Leather Paint Chocolate 4oz</t>
  </si>
  <si>
    <t>#018-Leather Paint DarkBrown 4oz</t>
  </si>
  <si>
    <t>#019-Leather Paint English Tan 4oz</t>
  </si>
  <si>
    <t>#021-Leather Paint LightBrown 4oz</t>
  </si>
  <si>
    <t>#024-Leather Paint Orange 4oz</t>
  </si>
  <si>
    <t>#027-Leather Paint SADDLE 4oz</t>
  </si>
  <si>
    <t>#029-Leather Paint Tan 4oz</t>
  </si>
  <si>
    <t>#040-Leather Paint BLUE 4oz</t>
  </si>
  <si>
    <t>#041-Leather Paint LightBLUE 4oz</t>
  </si>
  <si>
    <t>#042-Leather Paint NavyBlue 4oz</t>
  </si>
  <si>
    <t>#043-Leather Paint Turgouise 4oz</t>
  </si>
  <si>
    <t>#045-Leather Paint Blue Turquoise 4oz</t>
  </si>
  <si>
    <t>#047-Leather Paint Purple 4oz</t>
  </si>
  <si>
    <t>#050-Leather Paint Green 4oz</t>
  </si>
  <si>
    <t>#052-Leather Paint MidniteGreen 4oz</t>
  </si>
  <si>
    <t>#060-Leather Paint Burgundy 4oz</t>
  </si>
  <si>
    <t>#064-Leather Paint Red 4oz</t>
  </si>
  <si>
    <t>#070-Leather Paint Beige 4oz</t>
  </si>
  <si>
    <t>#072-Leather Paint Gold 4oz</t>
  </si>
  <si>
    <t>#075-Leather Paint Yellow 4oz</t>
  </si>
  <si>
    <t>#080-Leather Paint DarkGrey 4oz</t>
  </si>
  <si>
    <t>#081-Leather Paint Grey 4oz</t>
  </si>
  <si>
    <t>#082-Leather Paint LightGrey 4oz</t>
  </si>
  <si>
    <t>#093-Leather Paint Brick 4oz</t>
  </si>
  <si>
    <t>#101-Leather Paint Flat Black 4oz</t>
  </si>
  <si>
    <t>#105-Leather Paint Flat White 4oz</t>
  </si>
  <si>
    <t>#141-Leather Paint Copper 4oz</t>
  </si>
  <si>
    <t>#142-Leather Paint Bronze 4oz</t>
  </si>
  <si>
    <t>#143-Leather Paint Pewter 4oz</t>
  </si>
  <si>
    <t>#150-Leather Paint SILVER 4oz</t>
  </si>
  <si>
    <t>#155-Leather Paint Bone 4oz</t>
  </si>
  <si>
    <t>#156-Leather Paint Champagne 4oz</t>
  </si>
  <si>
    <t>#157-Leather Paint DarkBone 4oz</t>
  </si>
  <si>
    <t>#159-Leather Paint Mist 4oz</t>
  </si>
  <si>
    <t>#160-Leather Paint Vanilla 4oz</t>
  </si>
  <si>
    <t>#161-Leather Paint Natural 4oz</t>
  </si>
  <si>
    <t>#162-Leather Paint Cream 4oz</t>
  </si>
  <si>
    <t>#163-Leather Paint CapazioTan 4oz</t>
  </si>
  <si>
    <t>#165-Leather Paint BeigeTaupe 4oz</t>
  </si>
  <si>
    <t>#166-Leather Paint GreyTaupe 4oz</t>
  </si>
  <si>
    <t>#167-Leather Paint Taupe 4oz</t>
  </si>
  <si>
    <t>#168-Leather Paint DarkTaupe 4oz</t>
  </si>
  <si>
    <t>#169-Leather Paint Mauve 4oz</t>
  </si>
  <si>
    <t>#170-Leather Paint Avocado 4oz</t>
  </si>
  <si>
    <t>#171-Leather Paint DarkGreen 4oz</t>
  </si>
  <si>
    <t>#172-Leather Paint Light Green 4oz</t>
  </si>
  <si>
    <t>#174-Leather Paint GiftBoxBlue 4oz</t>
  </si>
  <si>
    <t>#175-Leather Paint Lylac 4oz</t>
  </si>
  <si>
    <t>#176-Leather Paint PaleBlue 4oz</t>
  </si>
  <si>
    <t>#177-Leather Paint Sapphire 4oz</t>
  </si>
  <si>
    <t>#178-Leather Paint Violet 4oz</t>
  </si>
  <si>
    <t>#179-Leather Paint DarkBlue 4oz</t>
  </si>
  <si>
    <t>#180-Leather Paint Cognac 4oz</t>
  </si>
  <si>
    <t>#181-Leather Paint RichBrown 4oz</t>
  </si>
  <si>
    <t>#182-Leather Paint Sand 4oz</t>
  </si>
  <si>
    <t>#183-Leather Paint TerraCottaRed 4oz</t>
  </si>
  <si>
    <t>#184-Leather Paint AutumnRed 4oz</t>
  </si>
  <si>
    <t>#185-Leather Paint FireRed 4oz</t>
  </si>
  <si>
    <t>#186-Leather Paint HotPink 4oz</t>
  </si>
  <si>
    <t>#187-Leather Paint Magenta 4oz</t>
  </si>
  <si>
    <t>#188-Leather Paint Pink 4oz</t>
  </si>
  <si>
    <t>#189-Leather Paint Petal Pink 4oz</t>
  </si>
  <si>
    <t>#190-Leather PaintScaletRed 4oz</t>
  </si>
  <si>
    <t>#191-Leather Paint Shell Pink 4oz</t>
  </si>
  <si>
    <t>#194-Leather Paint Caramel 4oz</t>
  </si>
  <si>
    <t>#196-Leather Paint Mustard 4oz</t>
  </si>
  <si>
    <t>#197-Leather Paint PaleYellow 4oz</t>
  </si>
  <si>
    <t>#198-Leather Paint BrushButtercup 4oz</t>
  </si>
  <si>
    <t>#260-Leather Paint Chili Red 4oz</t>
  </si>
  <si>
    <t>#261-Leather Paint South Beach 4oz</t>
  </si>
  <si>
    <t>#262-Leather Paint Play in the Sand 4oz</t>
  </si>
  <si>
    <t>#263-Leather Paint Grinch Green 4oz</t>
  </si>
  <si>
    <t>#264-Leather Paint Putty 4oz</t>
  </si>
  <si>
    <t>#265-Leather Paint Tangerine 4oz</t>
  </si>
  <si>
    <t>#266-Leather Paint Georgia Peach 4oz</t>
  </si>
  <si>
    <t>#267-Leather Paint Salmon 4oz</t>
  </si>
  <si>
    <t>#268-Leather Paint Rasberry 4oz</t>
  </si>
  <si>
    <t>#269-Leather Paint Mint 4oz</t>
  </si>
  <si>
    <t>#270-Leather Paint Vachetta 4oz</t>
  </si>
  <si>
    <t>#272-Leather Paint Olive 4oz</t>
  </si>
</sst>
</file>

<file path=xl/styles.xml><?xml version="1.0" encoding="utf-8"?>
<styleSheet xmlns="http://schemas.openxmlformats.org/spreadsheetml/2006/main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b/>
      <sz val="9"/>
      <color theme="1"/>
      <name val="굴림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theme="1"/>
      <name val="굴림"/>
      <family val="3"/>
      <charset val="129"/>
    </font>
    <font>
      <sz val="11"/>
      <color theme="1"/>
      <name val="맑은 고딕"/>
      <family val="3"/>
      <charset val="134"/>
      <scheme val="minor"/>
    </font>
    <font>
      <sz val="11"/>
      <color rgb="FF000000"/>
      <name val="Arial"/>
      <family val="3"/>
      <charset val="134"/>
    </font>
    <font>
      <b/>
      <sz val="10"/>
      <name val="돋움"/>
      <family val="3"/>
      <charset val="129"/>
    </font>
    <font>
      <sz val="10"/>
      <color rgb="FF000000"/>
      <name val="Calibri"/>
      <family val="3"/>
      <charset val="134"/>
    </font>
    <font>
      <sz val="11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Calibri"/>
      <family val="3"/>
      <charset val="134"/>
    </font>
    <font>
      <sz val="11"/>
      <color rgb="FF212B35"/>
      <name val="돋움"/>
      <family val="3"/>
      <charset val="129"/>
    </font>
    <font>
      <u/>
      <sz val="11"/>
      <color theme="1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>
      <alignment vertical="center"/>
    </xf>
    <xf numFmtId="41" fontId="0" fillId="0" borderId="1" xfId="1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0" borderId="1" xfId="1" quotePrefix="1" applyNumberFormat="1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1" xfId="0" applyNumberFormat="1" applyFont="1" applyFill="1" applyBorder="1">
      <alignment vertical="center"/>
    </xf>
    <xf numFmtId="0" fontId="3" fillId="0" borderId="2" xfId="1" applyNumberFormat="1" applyFont="1" applyBorder="1" applyAlignment="1">
      <alignment horizontal="center"/>
    </xf>
    <xf numFmtId="0" fontId="3" fillId="0" borderId="1" xfId="1" applyNumberFormat="1" applyFont="1" applyBorder="1" applyAlignment="1">
      <alignment horizontal="left"/>
    </xf>
    <xf numFmtId="0" fontId="3" fillId="0" borderId="3" xfId="1" applyNumberFormat="1" applyFont="1" applyBorder="1" applyAlignment="1">
      <alignment horizontal="center"/>
    </xf>
    <xf numFmtId="0" fontId="4" fillId="0" borderId="3" xfId="0" applyFont="1" applyBorder="1" applyAlignment="1">
      <alignment vertical="center"/>
    </xf>
    <xf numFmtId="41" fontId="0" fillId="2" borderId="3" xfId="1" applyFont="1" applyFill="1" applyBorder="1">
      <alignment vertical="center"/>
    </xf>
    <xf numFmtId="0" fontId="0" fillId="0" borderId="0" xfId="0" applyBorder="1">
      <alignment vertical="center"/>
    </xf>
    <xf numFmtId="41" fontId="0" fillId="0" borderId="0" xfId="1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8" fillId="0" borderId="1" xfId="0" applyFont="1" applyBorder="1">
      <alignment vertical="center"/>
    </xf>
    <xf numFmtId="0" fontId="8" fillId="0" borderId="1" xfId="0" applyFont="1" applyFill="1" applyBorder="1">
      <alignment vertical="center"/>
    </xf>
    <xf numFmtId="0" fontId="10" fillId="0" borderId="1" xfId="0" applyFont="1" applyBorder="1" applyAlignment="1">
      <alignment vertical="center"/>
    </xf>
    <xf numFmtId="41" fontId="0" fillId="0" borderId="0" xfId="0" applyNumberFormat="1">
      <alignment vertical="center"/>
    </xf>
    <xf numFmtId="41" fontId="0" fillId="0" borderId="2" xfId="1" applyFont="1" applyBorder="1" applyAlignment="1">
      <alignment horizontal="center" vertical="center"/>
    </xf>
    <xf numFmtId="2" fontId="0" fillId="0" borderId="1" xfId="0" applyNumberFormat="1" applyBorder="1">
      <alignment vertical="center"/>
    </xf>
    <xf numFmtId="2" fontId="0" fillId="0" borderId="1" xfId="0" applyNumberFormat="1" applyFill="1" applyBorder="1">
      <alignment vertical="center"/>
    </xf>
    <xf numFmtId="0" fontId="12" fillId="0" borderId="0" xfId="0" applyFont="1" applyFill="1" applyBorder="1" applyAlignment="1">
      <alignment horizontal="left" vertical="top"/>
    </xf>
    <xf numFmtId="0" fontId="14" fillId="0" borderId="0" xfId="0" applyFont="1" applyFill="1" applyBorder="1" applyAlignment="1">
      <alignment horizontal="left" vertical="top"/>
    </xf>
    <xf numFmtId="0" fontId="3" fillId="0" borderId="1" xfId="3" applyNumberFormat="1" applyFont="1" applyBorder="1" applyAlignment="1">
      <alignment horizontal="center"/>
    </xf>
    <xf numFmtId="41" fontId="0" fillId="0" borderId="0" xfId="1" applyFont="1">
      <alignment vertical="center"/>
    </xf>
    <xf numFmtId="41" fontId="0" fillId="0" borderId="1" xfId="1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top"/>
    </xf>
    <xf numFmtId="0" fontId="17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3" fillId="0" borderId="1" xfId="1" applyNumberFormat="1" applyFont="1" applyBorder="1" applyAlignment="1"/>
    <xf numFmtId="0" fontId="3" fillId="0" borderId="2" xfId="1" applyNumberFormat="1" applyFont="1" applyBorder="1" applyAlignment="1">
      <alignment horizontal="center"/>
    </xf>
    <xf numFmtId="0" fontId="0" fillId="0" borderId="0" xfId="0" applyAlignment="1">
      <alignment horizontal="left" vertical="top"/>
    </xf>
    <xf numFmtId="41" fontId="0" fillId="0" borderId="0" xfId="1" applyFont="1" applyAlignment="1">
      <alignment horizontal="left" vertical="top"/>
    </xf>
    <xf numFmtId="41" fontId="12" fillId="0" borderId="1" xfId="1" applyFont="1" applyFill="1" applyBorder="1" applyAlignment="1">
      <alignment horizontal="left" vertical="top"/>
    </xf>
    <xf numFmtId="41" fontId="18" fillId="0" borderId="1" xfId="1" applyFont="1" applyFill="1" applyBorder="1" applyAlignment="1">
      <alignment horizontal="center" vertical="top"/>
    </xf>
    <xf numFmtId="0" fontId="19" fillId="0" borderId="0" xfId="4" applyAlignment="1" applyProtection="1">
      <alignment vertical="center"/>
    </xf>
    <xf numFmtId="41" fontId="0" fillId="0" borderId="8" xfId="1" applyFont="1" applyFill="1" applyBorder="1">
      <alignment vertical="center"/>
    </xf>
    <xf numFmtId="0" fontId="0" fillId="2" borderId="1" xfId="0" applyFill="1" applyBorder="1">
      <alignment vertical="center"/>
    </xf>
    <xf numFmtId="41" fontId="0" fillId="2" borderId="0" xfId="1" applyFont="1" applyFill="1">
      <alignment vertical="center"/>
    </xf>
    <xf numFmtId="0" fontId="18" fillId="0" borderId="1" xfId="0" applyFont="1" applyFill="1" applyBorder="1" applyAlignment="1">
      <alignment horizontal="center" vertical="top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41" fontId="0" fillId="3" borderId="0" xfId="1" applyFont="1" applyFill="1">
      <alignment vertical="center"/>
    </xf>
    <xf numFmtId="41" fontId="0" fillId="4" borderId="0" xfId="1" applyFont="1" applyFill="1">
      <alignment vertical="center"/>
    </xf>
    <xf numFmtId="0" fontId="3" fillId="5" borderId="1" xfId="1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vertical="center"/>
    </xf>
    <xf numFmtId="41" fontId="0" fillId="5" borderId="1" xfId="1" applyFont="1" applyFill="1" applyBorder="1">
      <alignment vertical="center"/>
    </xf>
    <xf numFmtId="0" fontId="0" fillId="5" borderId="1" xfId="0" applyFill="1" applyBorder="1">
      <alignment vertical="center"/>
    </xf>
    <xf numFmtId="0" fontId="6" fillId="5" borderId="1" xfId="0" applyFont="1" applyFill="1" applyBorder="1" applyAlignment="1">
      <alignment vertical="center" wrapText="1"/>
    </xf>
    <xf numFmtId="0" fontId="3" fillId="5" borderId="2" xfId="1" applyNumberFormat="1" applyFont="1" applyFill="1" applyBorder="1" applyAlignment="1">
      <alignment horizontal="center"/>
    </xf>
    <xf numFmtId="0" fontId="0" fillId="0" borderId="0" xfId="0" quotePrefix="1">
      <alignment vertical="center"/>
    </xf>
    <xf numFmtId="49" fontId="3" fillId="0" borderId="1" xfId="1" applyNumberFormat="1" applyFont="1" applyBorder="1" applyAlignment="1">
      <alignment horizontal="center"/>
    </xf>
    <xf numFmtId="49" fontId="0" fillId="0" borderId="0" xfId="0" applyNumberFormat="1">
      <alignment vertical="center"/>
    </xf>
    <xf numFmtId="0" fontId="0" fillId="6" borderId="1" xfId="0" applyFill="1" applyBorder="1">
      <alignment vertical="center"/>
    </xf>
    <xf numFmtId="0" fontId="8" fillId="6" borderId="1" xfId="0" applyNumberFormat="1" applyFont="1" applyFill="1" applyBorder="1">
      <alignment vertical="center"/>
    </xf>
    <xf numFmtId="41" fontId="0" fillId="6" borderId="1" xfId="1" applyFont="1" applyFill="1" applyBorder="1">
      <alignment vertical="center"/>
    </xf>
    <xf numFmtId="0" fontId="3" fillId="6" borderId="1" xfId="1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vertical="center"/>
    </xf>
    <xf numFmtId="0" fontId="0" fillId="6" borderId="0" xfId="0" applyNumberFormat="1" applyFill="1">
      <alignment vertical="center"/>
    </xf>
    <xf numFmtId="0" fontId="0" fillId="6" borderId="1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41" fontId="0" fillId="0" borderId="7" xfId="1" applyFont="1" applyBorder="1" applyAlignment="1">
      <alignment horizontal="center" vertical="center"/>
    </xf>
    <xf numFmtId="0" fontId="13" fillId="0" borderId="4" xfId="1" applyNumberFormat="1" applyFont="1" applyBorder="1" applyAlignment="1">
      <alignment horizontal="center"/>
    </xf>
    <xf numFmtId="0" fontId="13" fillId="0" borderId="2" xfId="1" applyNumberFormat="1" applyFont="1" applyBorder="1" applyAlignment="1">
      <alignment horizontal="center"/>
    </xf>
    <xf numFmtId="0" fontId="13" fillId="0" borderId="5" xfId="1" applyNumberFormat="1" applyFont="1" applyBorder="1" applyAlignment="1">
      <alignment horizontal="center"/>
    </xf>
    <xf numFmtId="0" fontId="0" fillId="0" borderId="4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0" fontId="13" fillId="0" borderId="9" xfId="1" applyNumberFormat="1" applyFont="1" applyBorder="1" applyAlignment="1">
      <alignment horizontal="center"/>
    </xf>
    <xf numFmtId="0" fontId="16" fillId="0" borderId="10" xfId="0" applyFont="1" applyFill="1" applyBorder="1" applyAlignment="1">
      <alignment horizontal="center" vertical="top"/>
    </xf>
    <xf numFmtId="0" fontId="16" fillId="0" borderId="9" xfId="0" applyFont="1" applyFill="1" applyBorder="1" applyAlignment="1">
      <alignment horizontal="center" vertical="top"/>
    </xf>
    <xf numFmtId="0" fontId="0" fillId="0" borderId="7" xfId="0" applyBorder="1" applyAlignment="1">
      <alignment horizontal="center" vertical="center"/>
    </xf>
    <xf numFmtId="0" fontId="3" fillId="0" borderId="2" xfId="1" applyNumberFormat="1" applyFont="1" applyBorder="1" applyAlignment="1">
      <alignment horizontal="center"/>
    </xf>
    <xf numFmtId="0" fontId="3" fillId="0" borderId="5" xfId="1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</cellXfs>
  <cellStyles count="5">
    <cellStyle name="쉼표 [0]" xfId="1" builtinId="6"/>
    <cellStyle name="쉼표 [0] 2" xfId="3"/>
    <cellStyle name="표준" xfId="0" builtinId="0"/>
    <cellStyle name="표준 2" xfId="2"/>
    <cellStyle name="하이퍼링크" xfId="4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lacelab.com/collections/flat-laces/products/grey-white-multi-color-flat-la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17"/>
  <sheetViews>
    <sheetView tabSelected="1" topLeftCell="A13" workbookViewId="0">
      <selection activeCell="D17" sqref="D17"/>
    </sheetView>
  </sheetViews>
  <sheetFormatPr defaultRowHeight="16.5"/>
  <cols>
    <col min="1" max="1" width="11.875" style="18" bestFit="1" customWidth="1"/>
    <col min="2" max="2" width="40" style="18" bestFit="1" customWidth="1"/>
    <col min="3" max="3" width="9" style="18"/>
    <col min="4" max="4" width="9.25" style="19" customWidth="1"/>
  </cols>
  <sheetData>
    <row r="1" spans="1:5">
      <c r="A1"/>
      <c r="B1"/>
      <c r="C1"/>
      <c r="D1" s="1"/>
    </row>
    <row r="2" spans="1:5">
      <c r="A2" s="2" t="s">
        <v>0</v>
      </c>
      <c r="B2" s="3" t="s">
        <v>1</v>
      </c>
      <c r="C2" s="4" t="s">
        <v>2</v>
      </c>
      <c r="D2" s="1" t="s">
        <v>334</v>
      </c>
      <c r="E2" s="3" t="s">
        <v>335</v>
      </c>
    </row>
    <row r="3" spans="1:5">
      <c r="A3" s="76" t="s">
        <v>316</v>
      </c>
      <c r="B3" s="77"/>
      <c r="C3" s="77"/>
      <c r="D3" s="78"/>
      <c r="E3" s="3"/>
    </row>
    <row r="4" spans="1:5">
      <c r="A4" s="5">
        <v>72001001</v>
      </c>
      <c r="B4" s="6" t="s">
        <v>3</v>
      </c>
      <c r="C4" s="4">
        <v>7800</v>
      </c>
      <c r="D4" s="1">
        <f>C4*0.55</f>
        <v>4290</v>
      </c>
      <c r="E4" s="3"/>
    </row>
    <row r="5" spans="1:5">
      <c r="A5" s="5">
        <v>72001004</v>
      </c>
      <c r="B5" s="6" t="s">
        <v>4</v>
      </c>
      <c r="C5" s="4">
        <v>7800</v>
      </c>
      <c r="D5" s="1">
        <f t="shared" ref="D5:D68" si="0">C5*0.55</f>
        <v>4290</v>
      </c>
      <c r="E5" s="3"/>
    </row>
    <row r="6" spans="1:5">
      <c r="A6" s="5">
        <v>72001005</v>
      </c>
      <c r="B6" s="6" t="s">
        <v>5</v>
      </c>
      <c r="C6" s="4">
        <v>7800</v>
      </c>
      <c r="D6" s="1">
        <f t="shared" si="0"/>
        <v>4290</v>
      </c>
      <c r="E6" s="3"/>
    </row>
    <row r="7" spans="1:5">
      <c r="A7" s="5">
        <v>72001014</v>
      </c>
      <c r="B7" s="6" t="s">
        <v>6</v>
      </c>
      <c r="C7" s="4">
        <v>7800</v>
      </c>
      <c r="D7" s="1">
        <f t="shared" si="0"/>
        <v>4290</v>
      </c>
      <c r="E7" s="3"/>
    </row>
    <row r="8" spans="1:5">
      <c r="A8" s="5">
        <v>72001015</v>
      </c>
      <c r="B8" s="6" t="s">
        <v>7</v>
      </c>
      <c r="C8" s="4">
        <v>7800</v>
      </c>
      <c r="D8" s="1">
        <f t="shared" si="0"/>
        <v>4290</v>
      </c>
      <c r="E8" s="3"/>
    </row>
    <row r="9" spans="1:5">
      <c r="A9" s="5">
        <v>72001018</v>
      </c>
      <c r="B9" s="6" t="s">
        <v>8</v>
      </c>
      <c r="C9" s="4">
        <v>7800</v>
      </c>
      <c r="D9" s="1">
        <f t="shared" si="0"/>
        <v>4290</v>
      </c>
      <c r="E9" s="3"/>
    </row>
    <row r="10" spans="1:5">
      <c r="A10" s="5">
        <v>72001019</v>
      </c>
      <c r="B10" s="6" t="s">
        <v>9</v>
      </c>
      <c r="C10" s="4">
        <v>7800</v>
      </c>
      <c r="D10" s="1">
        <f t="shared" si="0"/>
        <v>4290</v>
      </c>
      <c r="E10" s="3"/>
    </row>
    <row r="11" spans="1:5">
      <c r="A11" s="5">
        <v>72001021</v>
      </c>
      <c r="B11" s="6" t="s">
        <v>10</v>
      </c>
      <c r="C11" s="4">
        <v>7800</v>
      </c>
      <c r="D11" s="1">
        <f t="shared" si="0"/>
        <v>4290</v>
      </c>
      <c r="E11" s="3"/>
    </row>
    <row r="12" spans="1:5">
      <c r="A12" s="5">
        <v>72001024</v>
      </c>
      <c r="B12" s="6" t="s">
        <v>11</v>
      </c>
      <c r="C12" s="4">
        <v>7800</v>
      </c>
      <c r="D12" s="1">
        <f t="shared" si="0"/>
        <v>4290</v>
      </c>
      <c r="E12" s="3"/>
    </row>
    <row r="13" spans="1:5">
      <c r="A13" s="5">
        <v>72001027</v>
      </c>
      <c r="B13" s="6" t="s">
        <v>12</v>
      </c>
      <c r="C13" s="4">
        <v>7800</v>
      </c>
      <c r="D13" s="1">
        <f t="shared" si="0"/>
        <v>4290</v>
      </c>
      <c r="E13" s="3"/>
    </row>
    <row r="14" spans="1:5">
      <c r="A14" s="5">
        <v>72001029</v>
      </c>
      <c r="B14" s="6" t="s">
        <v>13</v>
      </c>
      <c r="C14" s="4">
        <v>7800</v>
      </c>
      <c r="D14" s="1">
        <f t="shared" si="0"/>
        <v>4290</v>
      </c>
      <c r="E14" s="3"/>
    </row>
    <row r="15" spans="1:5">
      <c r="A15" s="5">
        <v>72001040</v>
      </c>
      <c r="B15" s="6" t="s">
        <v>14</v>
      </c>
      <c r="C15" s="4">
        <v>7800</v>
      </c>
      <c r="D15" s="1">
        <f t="shared" si="0"/>
        <v>4290</v>
      </c>
      <c r="E15" s="3"/>
    </row>
    <row r="16" spans="1:5">
      <c r="A16" s="5">
        <v>72001041</v>
      </c>
      <c r="B16" s="6" t="s">
        <v>15</v>
      </c>
      <c r="C16" s="4">
        <v>7800</v>
      </c>
      <c r="D16" s="1">
        <f t="shared" si="0"/>
        <v>4290</v>
      </c>
      <c r="E16" s="3"/>
    </row>
    <row r="17" spans="1:5">
      <c r="A17" s="5">
        <v>72001042</v>
      </c>
      <c r="B17" s="6" t="s">
        <v>16</v>
      </c>
      <c r="C17" s="4">
        <v>7800</v>
      </c>
      <c r="D17" s="1">
        <f t="shared" si="0"/>
        <v>4290</v>
      </c>
      <c r="E17" s="3"/>
    </row>
    <row r="18" spans="1:5">
      <c r="A18" s="5">
        <v>72001043</v>
      </c>
      <c r="B18" s="6" t="s">
        <v>17</v>
      </c>
      <c r="C18" s="4">
        <v>7800</v>
      </c>
      <c r="D18" s="1">
        <f t="shared" si="0"/>
        <v>4290</v>
      </c>
      <c r="E18" s="3"/>
    </row>
    <row r="19" spans="1:5">
      <c r="A19" s="5">
        <v>72001045</v>
      </c>
      <c r="B19" s="6" t="s">
        <v>18</v>
      </c>
      <c r="C19" s="4">
        <v>7800</v>
      </c>
      <c r="D19" s="1">
        <f t="shared" si="0"/>
        <v>4290</v>
      </c>
      <c r="E19" s="3"/>
    </row>
    <row r="20" spans="1:5">
      <c r="A20" s="5">
        <v>72001047</v>
      </c>
      <c r="B20" s="6" t="s">
        <v>19</v>
      </c>
      <c r="C20" s="4">
        <v>7800</v>
      </c>
      <c r="D20" s="1">
        <f t="shared" si="0"/>
        <v>4290</v>
      </c>
      <c r="E20" s="3"/>
    </row>
    <row r="21" spans="1:5">
      <c r="A21" s="5">
        <v>72001050</v>
      </c>
      <c r="B21" s="6" t="s">
        <v>20</v>
      </c>
      <c r="C21" s="4">
        <v>7800</v>
      </c>
      <c r="D21" s="1">
        <f t="shared" si="0"/>
        <v>4290</v>
      </c>
      <c r="E21" s="3"/>
    </row>
    <row r="22" spans="1:5">
      <c r="A22" s="5">
        <v>72001052</v>
      </c>
      <c r="B22" s="6" t="s">
        <v>21</v>
      </c>
      <c r="C22" s="4">
        <v>7800</v>
      </c>
      <c r="D22" s="1">
        <f t="shared" si="0"/>
        <v>4290</v>
      </c>
      <c r="E22" s="3"/>
    </row>
    <row r="23" spans="1:5">
      <c r="A23" s="5">
        <v>72001060</v>
      </c>
      <c r="B23" s="6" t="s">
        <v>22</v>
      </c>
      <c r="C23" s="4">
        <v>7800</v>
      </c>
      <c r="D23" s="1">
        <f t="shared" si="0"/>
        <v>4290</v>
      </c>
      <c r="E23" s="3"/>
    </row>
    <row r="24" spans="1:5">
      <c r="A24" s="5">
        <v>72001064</v>
      </c>
      <c r="B24" s="6" t="s">
        <v>23</v>
      </c>
      <c r="C24" s="4">
        <v>7800</v>
      </c>
      <c r="D24" s="1">
        <f t="shared" si="0"/>
        <v>4290</v>
      </c>
      <c r="E24" s="3"/>
    </row>
    <row r="25" spans="1:5">
      <c r="A25" s="5">
        <v>72001070</v>
      </c>
      <c r="B25" s="6" t="s">
        <v>24</v>
      </c>
      <c r="C25" s="4">
        <v>7800</v>
      </c>
      <c r="D25" s="1">
        <f t="shared" si="0"/>
        <v>4290</v>
      </c>
      <c r="E25" s="3"/>
    </row>
    <row r="26" spans="1:5">
      <c r="A26" s="5">
        <v>72001072</v>
      </c>
      <c r="B26" s="6" t="s">
        <v>25</v>
      </c>
      <c r="C26" s="4">
        <v>7800</v>
      </c>
      <c r="D26" s="1">
        <f t="shared" si="0"/>
        <v>4290</v>
      </c>
      <c r="E26" s="3"/>
    </row>
    <row r="27" spans="1:5">
      <c r="A27" s="5">
        <v>72001075</v>
      </c>
      <c r="B27" s="6" t="s">
        <v>26</v>
      </c>
      <c r="C27" s="4">
        <v>7800</v>
      </c>
      <c r="D27" s="1">
        <f t="shared" si="0"/>
        <v>4290</v>
      </c>
      <c r="E27" s="3"/>
    </row>
    <row r="28" spans="1:5">
      <c r="A28" s="5">
        <v>72001080</v>
      </c>
      <c r="B28" s="6" t="s">
        <v>27</v>
      </c>
      <c r="C28" s="4">
        <v>7800</v>
      </c>
      <c r="D28" s="1">
        <f t="shared" si="0"/>
        <v>4290</v>
      </c>
      <c r="E28" s="3"/>
    </row>
    <row r="29" spans="1:5">
      <c r="A29" s="5">
        <v>72001081</v>
      </c>
      <c r="B29" s="6" t="s">
        <v>28</v>
      </c>
      <c r="C29" s="4">
        <v>7800</v>
      </c>
      <c r="D29" s="1">
        <f t="shared" si="0"/>
        <v>4290</v>
      </c>
      <c r="E29" s="3"/>
    </row>
    <row r="30" spans="1:5">
      <c r="A30" s="5">
        <v>72001082</v>
      </c>
      <c r="B30" s="6" t="s">
        <v>29</v>
      </c>
      <c r="C30" s="4">
        <v>7800</v>
      </c>
      <c r="D30" s="1">
        <f t="shared" si="0"/>
        <v>4290</v>
      </c>
      <c r="E30" s="3"/>
    </row>
    <row r="31" spans="1:5">
      <c r="A31" s="5">
        <v>72001093</v>
      </c>
      <c r="B31" s="6" t="s">
        <v>30</v>
      </c>
      <c r="C31" s="4">
        <v>7800</v>
      </c>
      <c r="D31" s="1">
        <f t="shared" si="0"/>
        <v>4290</v>
      </c>
      <c r="E31" s="3"/>
    </row>
    <row r="32" spans="1:5">
      <c r="A32" s="5">
        <v>72001101</v>
      </c>
      <c r="B32" s="6" t="s">
        <v>31</v>
      </c>
      <c r="C32" s="4">
        <v>7800</v>
      </c>
      <c r="D32" s="1">
        <f t="shared" si="0"/>
        <v>4290</v>
      </c>
      <c r="E32" s="3"/>
    </row>
    <row r="33" spans="1:5">
      <c r="A33" s="5">
        <v>72001105</v>
      </c>
      <c r="B33" s="6" t="s">
        <v>32</v>
      </c>
      <c r="C33" s="4">
        <v>7800</v>
      </c>
      <c r="D33" s="1">
        <f t="shared" si="0"/>
        <v>4290</v>
      </c>
      <c r="E33" s="3"/>
    </row>
    <row r="34" spans="1:5">
      <c r="A34" s="5">
        <v>72001141</v>
      </c>
      <c r="B34" s="6" t="s">
        <v>33</v>
      </c>
      <c r="C34" s="4">
        <v>7800</v>
      </c>
      <c r="D34" s="1">
        <f t="shared" si="0"/>
        <v>4290</v>
      </c>
      <c r="E34" s="3"/>
    </row>
    <row r="35" spans="1:5">
      <c r="A35" s="5">
        <v>72001142</v>
      </c>
      <c r="B35" s="6" t="s">
        <v>34</v>
      </c>
      <c r="C35" s="4">
        <v>7800</v>
      </c>
      <c r="D35" s="1">
        <f t="shared" si="0"/>
        <v>4290</v>
      </c>
      <c r="E35" s="3"/>
    </row>
    <row r="36" spans="1:5">
      <c r="A36" s="5">
        <v>72001143</v>
      </c>
      <c r="B36" s="6" t="s">
        <v>35</v>
      </c>
      <c r="C36" s="4">
        <v>7800</v>
      </c>
      <c r="D36" s="1">
        <f t="shared" si="0"/>
        <v>4290</v>
      </c>
      <c r="E36" s="3"/>
    </row>
    <row r="37" spans="1:5">
      <c r="A37" s="5">
        <v>72001150</v>
      </c>
      <c r="B37" s="6" t="s">
        <v>36</v>
      </c>
      <c r="C37" s="4">
        <v>7800</v>
      </c>
      <c r="D37" s="1">
        <f t="shared" si="0"/>
        <v>4290</v>
      </c>
      <c r="E37" s="3"/>
    </row>
    <row r="38" spans="1:5">
      <c r="A38" s="5">
        <v>72001155</v>
      </c>
      <c r="B38" s="6" t="s">
        <v>37</v>
      </c>
      <c r="C38" s="4">
        <v>7800</v>
      </c>
      <c r="D38" s="1">
        <f t="shared" si="0"/>
        <v>4290</v>
      </c>
      <c r="E38" s="3"/>
    </row>
    <row r="39" spans="1:5">
      <c r="A39" s="5">
        <v>72001156</v>
      </c>
      <c r="B39" s="6" t="s">
        <v>38</v>
      </c>
      <c r="C39" s="4">
        <v>7800</v>
      </c>
      <c r="D39" s="1">
        <f t="shared" si="0"/>
        <v>4290</v>
      </c>
      <c r="E39" s="3"/>
    </row>
    <row r="40" spans="1:5">
      <c r="A40" s="5">
        <v>72001157</v>
      </c>
      <c r="B40" s="6" t="s">
        <v>39</v>
      </c>
      <c r="C40" s="4">
        <v>7800</v>
      </c>
      <c r="D40" s="1">
        <f t="shared" si="0"/>
        <v>4290</v>
      </c>
      <c r="E40" s="3"/>
    </row>
    <row r="41" spans="1:5">
      <c r="A41" s="5">
        <v>72001159</v>
      </c>
      <c r="B41" s="6" t="s">
        <v>40</v>
      </c>
      <c r="C41" s="4">
        <v>7800</v>
      </c>
      <c r="D41" s="1">
        <f t="shared" si="0"/>
        <v>4290</v>
      </c>
      <c r="E41" s="3"/>
    </row>
    <row r="42" spans="1:5">
      <c r="A42" s="5">
        <v>72001160</v>
      </c>
      <c r="B42" s="6" t="s">
        <v>41</v>
      </c>
      <c r="C42" s="4">
        <v>7800</v>
      </c>
      <c r="D42" s="1">
        <f t="shared" si="0"/>
        <v>4290</v>
      </c>
      <c r="E42" s="3"/>
    </row>
    <row r="43" spans="1:5">
      <c r="A43" s="5">
        <v>72001161</v>
      </c>
      <c r="B43" s="6" t="s">
        <v>42</v>
      </c>
      <c r="C43" s="4">
        <v>7800</v>
      </c>
      <c r="D43" s="1">
        <f t="shared" si="0"/>
        <v>4290</v>
      </c>
      <c r="E43" s="3"/>
    </row>
    <row r="44" spans="1:5">
      <c r="A44" s="5">
        <v>72001162</v>
      </c>
      <c r="B44" s="6" t="s">
        <v>43</v>
      </c>
      <c r="C44" s="4">
        <v>7800</v>
      </c>
      <c r="D44" s="1">
        <f t="shared" si="0"/>
        <v>4290</v>
      </c>
      <c r="E44" s="3"/>
    </row>
    <row r="45" spans="1:5">
      <c r="A45" s="5">
        <v>72001163</v>
      </c>
      <c r="B45" s="6" t="s">
        <v>44</v>
      </c>
      <c r="C45" s="4">
        <v>7800</v>
      </c>
      <c r="D45" s="1">
        <f t="shared" si="0"/>
        <v>4290</v>
      </c>
      <c r="E45" s="3"/>
    </row>
    <row r="46" spans="1:5">
      <c r="A46" s="5">
        <v>72001165</v>
      </c>
      <c r="B46" s="6" t="s">
        <v>45</v>
      </c>
      <c r="C46" s="4">
        <v>7800</v>
      </c>
      <c r="D46" s="1">
        <f t="shared" si="0"/>
        <v>4290</v>
      </c>
      <c r="E46" s="3"/>
    </row>
    <row r="47" spans="1:5">
      <c r="A47" s="5">
        <v>72001166</v>
      </c>
      <c r="B47" s="6" t="s">
        <v>46</v>
      </c>
      <c r="C47" s="4">
        <v>7800</v>
      </c>
      <c r="D47" s="1">
        <f t="shared" si="0"/>
        <v>4290</v>
      </c>
      <c r="E47" s="3"/>
    </row>
    <row r="48" spans="1:5">
      <c r="A48" s="5">
        <v>72001167</v>
      </c>
      <c r="B48" s="6" t="s">
        <v>47</v>
      </c>
      <c r="C48" s="4">
        <v>7800</v>
      </c>
      <c r="D48" s="1">
        <f t="shared" si="0"/>
        <v>4290</v>
      </c>
      <c r="E48" s="3"/>
    </row>
    <row r="49" spans="1:5">
      <c r="A49" s="5">
        <v>72001168</v>
      </c>
      <c r="B49" s="6" t="s">
        <v>48</v>
      </c>
      <c r="C49" s="4">
        <v>7800</v>
      </c>
      <c r="D49" s="1">
        <f t="shared" si="0"/>
        <v>4290</v>
      </c>
      <c r="E49" s="3"/>
    </row>
    <row r="50" spans="1:5">
      <c r="A50" s="5">
        <v>72001169</v>
      </c>
      <c r="B50" s="6" t="s">
        <v>49</v>
      </c>
      <c r="C50" s="4">
        <v>7800</v>
      </c>
      <c r="D50" s="1">
        <f t="shared" si="0"/>
        <v>4290</v>
      </c>
      <c r="E50" s="3"/>
    </row>
    <row r="51" spans="1:5">
      <c r="A51" s="5">
        <v>72001170</v>
      </c>
      <c r="B51" s="6" t="s">
        <v>50</v>
      </c>
      <c r="C51" s="4">
        <v>7800</v>
      </c>
      <c r="D51" s="1">
        <f t="shared" si="0"/>
        <v>4290</v>
      </c>
      <c r="E51" s="3"/>
    </row>
    <row r="52" spans="1:5">
      <c r="A52" s="5">
        <v>72001171</v>
      </c>
      <c r="B52" s="6" t="s">
        <v>51</v>
      </c>
      <c r="C52" s="4">
        <v>7800</v>
      </c>
      <c r="D52" s="1">
        <f t="shared" si="0"/>
        <v>4290</v>
      </c>
      <c r="E52" s="3"/>
    </row>
    <row r="53" spans="1:5">
      <c r="A53" s="5">
        <v>72001172</v>
      </c>
      <c r="B53" s="6" t="s">
        <v>52</v>
      </c>
      <c r="C53" s="4">
        <v>7800</v>
      </c>
      <c r="D53" s="1">
        <f t="shared" si="0"/>
        <v>4290</v>
      </c>
      <c r="E53" s="3"/>
    </row>
    <row r="54" spans="1:5">
      <c r="A54" s="5">
        <v>72001174</v>
      </c>
      <c r="B54" s="6" t="s">
        <v>53</v>
      </c>
      <c r="C54" s="4">
        <v>7800</v>
      </c>
      <c r="D54" s="1">
        <f t="shared" si="0"/>
        <v>4290</v>
      </c>
      <c r="E54" s="3"/>
    </row>
    <row r="55" spans="1:5">
      <c r="A55" s="5">
        <v>72001175</v>
      </c>
      <c r="B55" s="6" t="s">
        <v>54</v>
      </c>
      <c r="C55" s="4">
        <v>7800</v>
      </c>
      <c r="D55" s="1">
        <f t="shared" si="0"/>
        <v>4290</v>
      </c>
      <c r="E55" s="3"/>
    </row>
    <row r="56" spans="1:5">
      <c r="A56" s="5">
        <v>72001176</v>
      </c>
      <c r="B56" s="6" t="s">
        <v>55</v>
      </c>
      <c r="C56" s="4">
        <v>7800</v>
      </c>
      <c r="D56" s="1">
        <f t="shared" si="0"/>
        <v>4290</v>
      </c>
      <c r="E56" s="3"/>
    </row>
    <row r="57" spans="1:5">
      <c r="A57" s="5">
        <v>72001177</v>
      </c>
      <c r="B57" s="6" t="s">
        <v>56</v>
      </c>
      <c r="C57" s="4">
        <v>7800</v>
      </c>
      <c r="D57" s="1">
        <f t="shared" si="0"/>
        <v>4290</v>
      </c>
      <c r="E57" s="3"/>
    </row>
    <row r="58" spans="1:5">
      <c r="A58" s="5">
        <v>72001178</v>
      </c>
      <c r="B58" s="6" t="s">
        <v>57</v>
      </c>
      <c r="C58" s="4">
        <v>7800</v>
      </c>
      <c r="D58" s="1">
        <f t="shared" si="0"/>
        <v>4290</v>
      </c>
      <c r="E58" s="3"/>
    </row>
    <row r="59" spans="1:5">
      <c r="A59" s="5">
        <v>72001179</v>
      </c>
      <c r="B59" s="6" t="s">
        <v>58</v>
      </c>
      <c r="C59" s="4">
        <v>7800</v>
      </c>
      <c r="D59" s="1">
        <f t="shared" si="0"/>
        <v>4290</v>
      </c>
      <c r="E59" s="3"/>
    </row>
    <row r="60" spans="1:5">
      <c r="A60" s="5">
        <v>72001180</v>
      </c>
      <c r="B60" s="6" t="s">
        <v>59</v>
      </c>
      <c r="C60" s="4">
        <v>7800</v>
      </c>
      <c r="D60" s="1">
        <f t="shared" si="0"/>
        <v>4290</v>
      </c>
      <c r="E60" s="3"/>
    </row>
    <row r="61" spans="1:5">
      <c r="A61" s="5">
        <v>72001181</v>
      </c>
      <c r="B61" s="6" t="s">
        <v>60</v>
      </c>
      <c r="C61" s="4">
        <v>7800</v>
      </c>
      <c r="D61" s="1">
        <f t="shared" si="0"/>
        <v>4290</v>
      </c>
      <c r="E61" s="3"/>
    </row>
    <row r="62" spans="1:5">
      <c r="A62" s="5">
        <v>72001182</v>
      </c>
      <c r="B62" s="6" t="s">
        <v>61</v>
      </c>
      <c r="C62" s="4">
        <v>7800</v>
      </c>
      <c r="D62" s="1">
        <f t="shared" si="0"/>
        <v>4290</v>
      </c>
      <c r="E62" s="3"/>
    </row>
    <row r="63" spans="1:5">
      <c r="A63" s="5">
        <v>72001183</v>
      </c>
      <c r="B63" s="6" t="s">
        <v>62</v>
      </c>
      <c r="C63" s="4">
        <v>7800</v>
      </c>
      <c r="D63" s="1">
        <f t="shared" si="0"/>
        <v>4290</v>
      </c>
      <c r="E63" s="3"/>
    </row>
    <row r="64" spans="1:5">
      <c r="A64" s="5">
        <v>72001184</v>
      </c>
      <c r="B64" s="6" t="s">
        <v>63</v>
      </c>
      <c r="C64" s="4">
        <v>7800</v>
      </c>
      <c r="D64" s="1">
        <f t="shared" si="0"/>
        <v>4290</v>
      </c>
      <c r="E64" s="3"/>
    </row>
    <row r="65" spans="1:5">
      <c r="A65" s="5">
        <v>72001185</v>
      </c>
      <c r="B65" s="6" t="s">
        <v>64</v>
      </c>
      <c r="C65" s="4">
        <v>7800</v>
      </c>
      <c r="D65" s="1">
        <f t="shared" si="0"/>
        <v>4290</v>
      </c>
      <c r="E65" s="3"/>
    </row>
    <row r="66" spans="1:5">
      <c r="A66" s="5">
        <v>72001186</v>
      </c>
      <c r="B66" s="6" t="s">
        <v>65</v>
      </c>
      <c r="C66" s="4">
        <v>7800</v>
      </c>
      <c r="D66" s="1">
        <f t="shared" si="0"/>
        <v>4290</v>
      </c>
      <c r="E66" s="3"/>
    </row>
    <row r="67" spans="1:5">
      <c r="A67" s="5">
        <v>72001187</v>
      </c>
      <c r="B67" s="6" t="s">
        <v>66</v>
      </c>
      <c r="C67" s="4">
        <v>7800</v>
      </c>
      <c r="D67" s="1">
        <f t="shared" si="0"/>
        <v>4290</v>
      </c>
      <c r="E67" s="3"/>
    </row>
    <row r="68" spans="1:5">
      <c r="A68" s="5">
        <v>72001188</v>
      </c>
      <c r="B68" s="6" t="s">
        <v>67</v>
      </c>
      <c r="C68" s="4">
        <v>7800</v>
      </c>
      <c r="D68" s="1">
        <f t="shared" si="0"/>
        <v>4290</v>
      </c>
      <c r="E68" s="3"/>
    </row>
    <row r="69" spans="1:5">
      <c r="A69" s="5">
        <v>72001189</v>
      </c>
      <c r="B69" s="6" t="s">
        <v>68</v>
      </c>
      <c r="C69" s="4">
        <v>7800</v>
      </c>
      <c r="D69" s="1">
        <f t="shared" ref="D69:D133" si="1">C69*0.55</f>
        <v>4290</v>
      </c>
      <c r="E69" s="3"/>
    </row>
    <row r="70" spans="1:5">
      <c r="A70" s="5">
        <v>72001190</v>
      </c>
      <c r="B70" s="6" t="s">
        <v>69</v>
      </c>
      <c r="C70" s="4">
        <v>7800</v>
      </c>
      <c r="D70" s="1">
        <f t="shared" si="1"/>
        <v>4290</v>
      </c>
      <c r="E70" s="3"/>
    </row>
    <row r="71" spans="1:5">
      <c r="A71" s="5">
        <v>72001191</v>
      </c>
      <c r="B71" s="6" t="s">
        <v>70</v>
      </c>
      <c r="C71" s="4">
        <v>7800</v>
      </c>
      <c r="D71" s="1">
        <f t="shared" si="1"/>
        <v>4290</v>
      </c>
      <c r="E71" s="3"/>
    </row>
    <row r="72" spans="1:5">
      <c r="A72" s="5">
        <v>72001194</v>
      </c>
      <c r="B72" s="6" t="s">
        <v>71</v>
      </c>
      <c r="C72" s="4">
        <v>7800</v>
      </c>
      <c r="D72" s="1">
        <f t="shared" si="1"/>
        <v>4290</v>
      </c>
      <c r="E72" s="3"/>
    </row>
    <row r="73" spans="1:5">
      <c r="A73" s="5">
        <v>72001196</v>
      </c>
      <c r="B73" s="6" t="s">
        <v>72</v>
      </c>
      <c r="C73" s="4">
        <v>7800</v>
      </c>
      <c r="D73" s="1">
        <f t="shared" si="1"/>
        <v>4290</v>
      </c>
      <c r="E73" s="3"/>
    </row>
    <row r="74" spans="1:5">
      <c r="A74" s="5">
        <v>72001197</v>
      </c>
      <c r="B74" s="6" t="s">
        <v>73</v>
      </c>
      <c r="C74" s="4">
        <v>7800</v>
      </c>
      <c r="D74" s="1">
        <f t="shared" si="1"/>
        <v>4290</v>
      </c>
      <c r="E74" s="3"/>
    </row>
    <row r="75" spans="1:5">
      <c r="A75" s="5">
        <v>72001198</v>
      </c>
      <c r="B75" s="6" t="s">
        <v>74</v>
      </c>
      <c r="C75" s="4">
        <v>7800</v>
      </c>
      <c r="D75" s="1">
        <f t="shared" si="1"/>
        <v>4290</v>
      </c>
      <c r="E75" s="3"/>
    </row>
    <row r="76" spans="1:5">
      <c r="A76" s="5">
        <v>72001260</v>
      </c>
      <c r="B76" s="6" t="s">
        <v>75</v>
      </c>
      <c r="C76" s="4">
        <v>7800</v>
      </c>
      <c r="D76" s="1">
        <f t="shared" si="1"/>
        <v>4290</v>
      </c>
      <c r="E76" s="3"/>
    </row>
    <row r="77" spans="1:5">
      <c r="A77" s="5">
        <v>72001261</v>
      </c>
      <c r="B77" s="6" t="s">
        <v>76</v>
      </c>
      <c r="C77" s="4">
        <v>7800</v>
      </c>
      <c r="D77" s="1">
        <f t="shared" si="1"/>
        <v>4290</v>
      </c>
      <c r="E77" s="3"/>
    </row>
    <row r="78" spans="1:5">
      <c r="A78" s="5">
        <v>72001262</v>
      </c>
      <c r="B78" s="6" t="s">
        <v>77</v>
      </c>
      <c r="C78" s="4">
        <v>7800</v>
      </c>
      <c r="D78" s="1">
        <f t="shared" si="1"/>
        <v>4290</v>
      </c>
      <c r="E78" s="3"/>
    </row>
    <row r="79" spans="1:5">
      <c r="A79" s="5">
        <v>72001263</v>
      </c>
      <c r="B79" s="6" t="s">
        <v>78</v>
      </c>
      <c r="C79" s="4">
        <v>7800</v>
      </c>
      <c r="D79" s="1">
        <f t="shared" si="1"/>
        <v>4290</v>
      </c>
      <c r="E79" s="3"/>
    </row>
    <row r="80" spans="1:5">
      <c r="A80" s="5">
        <v>72001264</v>
      </c>
      <c r="B80" s="6" t="s">
        <v>79</v>
      </c>
      <c r="C80" s="4">
        <v>7800</v>
      </c>
      <c r="D80" s="1">
        <f t="shared" si="1"/>
        <v>4290</v>
      </c>
      <c r="E80" s="3"/>
    </row>
    <row r="81" spans="1:5">
      <c r="A81" s="5">
        <v>72001265</v>
      </c>
      <c r="B81" s="6" t="s">
        <v>80</v>
      </c>
      <c r="C81" s="4">
        <v>7800</v>
      </c>
      <c r="D81" s="1">
        <f t="shared" si="1"/>
        <v>4290</v>
      </c>
      <c r="E81" s="3"/>
    </row>
    <row r="82" spans="1:5">
      <c r="A82" s="5">
        <v>72001266</v>
      </c>
      <c r="B82" s="6" t="s">
        <v>81</v>
      </c>
      <c r="C82" s="4">
        <v>7800</v>
      </c>
      <c r="D82" s="1">
        <f t="shared" si="1"/>
        <v>4290</v>
      </c>
      <c r="E82" s="3"/>
    </row>
    <row r="83" spans="1:5">
      <c r="A83" s="5">
        <v>72001267</v>
      </c>
      <c r="B83" s="6" t="s">
        <v>82</v>
      </c>
      <c r="C83" s="4">
        <v>7800</v>
      </c>
      <c r="D83" s="1">
        <f t="shared" si="1"/>
        <v>4290</v>
      </c>
      <c r="E83" s="3"/>
    </row>
    <row r="84" spans="1:5">
      <c r="A84" s="5">
        <v>72001268</v>
      </c>
      <c r="B84" s="6" t="s">
        <v>83</v>
      </c>
      <c r="C84" s="4">
        <v>7800</v>
      </c>
      <c r="D84" s="1">
        <f t="shared" si="1"/>
        <v>4290</v>
      </c>
      <c r="E84" s="3"/>
    </row>
    <row r="85" spans="1:5">
      <c r="A85" s="5">
        <v>72001269</v>
      </c>
      <c r="B85" s="6" t="s">
        <v>84</v>
      </c>
      <c r="C85" s="4">
        <v>7800</v>
      </c>
      <c r="D85" s="1">
        <f t="shared" si="1"/>
        <v>4290</v>
      </c>
      <c r="E85" s="3"/>
    </row>
    <row r="86" spans="1:5">
      <c r="A86" s="5">
        <v>72001270</v>
      </c>
      <c r="B86" s="6" t="s">
        <v>85</v>
      </c>
      <c r="C86" s="4">
        <v>7800</v>
      </c>
      <c r="D86" s="1">
        <f t="shared" si="1"/>
        <v>4290</v>
      </c>
      <c r="E86" s="3"/>
    </row>
    <row r="87" spans="1:5">
      <c r="A87" s="5">
        <v>72001272</v>
      </c>
      <c r="B87" s="6" t="s">
        <v>86</v>
      </c>
      <c r="C87" s="4">
        <v>7800</v>
      </c>
      <c r="D87" s="1">
        <f t="shared" si="1"/>
        <v>4290</v>
      </c>
      <c r="E87" s="3"/>
    </row>
    <row r="88" spans="1:5">
      <c r="A88" s="5">
        <v>72701310</v>
      </c>
      <c r="B88" s="6" t="s">
        <v>87</v>
      </c>
      <c r="C88" s="4">
        <v>8800</v>
      </c>
      <c r="D88" s="1">
        <f t="shared" si="1"/>
        <v>4840</v>
      </c>
      <c r="E88" s="3"/>
    </row>
    <row r="89" spans="1:5">
      <c r="A89" s="5">
        <v>72701312</v>
      </c>
      <c r="B89" s="6" t="s">
        <v>88</v>
      </c>
      <c r="C89" s="4">
        <v>8800</v>
      </c>
      <c r="D89" s="1">
        <f t="shared" si="1"/>
        <v>4840</v>
      </c>
      <c r="E89" s="3"/>
    </row>
    <row r="90" spans="1:5">
      <c r="A90" s="5">
        <v>72701313</v>
      </c>
      <c r="B90" s="6" t="s">
        <v>89</v>
      </c>
      <c r="C90" s="4">
        <v>8800</v>
      </c>
      <c r="D90" s="1">
        <f t="shared" si="1"/>
        <v>4840</v>
      </c>
      <c r="E90" s="3"/>
    </row>
    <row r="91" spans="1:5">
      <c r="A91" s="5">
        <v>72701314</v>
      </c>
      <c r="B91" s="6" t="s">
        <v>90</v>
      </c>
      <c r="C91" s="4">
        <v>8800</v>
      </c>
      <c r="D91" s="1">
        <f t="shared" si="1"/>
        <v>4840</v>
      </c>
      <c r="E91" s="3"/>
    </row>
    <row r="92" spans="1:5">
      <c r="A92" s="5">
        <v>72701315</v>
      </c>
      <c r="B92" s="6" t="s">
        <v>91</v>
      </c>
      <c r="C92" s="4">
        <v>8800</v>
      </c>
      <c r="D92" s="1">
        <f t="shared" si="1"/>
        <v>4840</v>
      </c>
      <c r="E92" s="3"/>
    </row>
    <row r="93" spans="1:5">
      <c r="A93" s="5">
        <v>72701317</v>
      </c>
      <c r="B93" s="6" t="s">
        <v>92</v>
      </c>
      <c r="C93" s="4">
        <v>8800</v>
      </c>
      <c r="D93" s="1">
        <f t="shared" si="1"/>
        <v>4840</v>
      </c>
      <c r="E93" s="3"/>
    </row>
    <row r="94" spans="1:5">
      <c r="A94" s="5">
        <v>72701319</v>
      </c>
      <c r="B94" s="6" t="s">
        <v>93</v>
      </c>
      <c r="C94" s="4">
        <v>8800</v>
      </c>
      <c r="D94" s="1">
        <f t="shared" si="1"/>
        <v>4840</v>
      </c>
      <c r="E94" s="3"/>
    </row>
    <row r="95" spans="1:5">
      <c r="A95" s="5">
        <v>72701321</v>
      </c>
      <c r="B95" s="6" t="s">
        <v>94</v>
      </c>
      <c r="C95" s="4">
        <v>8800</v>
      </c>
      <c r="D95" s="1">
        <f t="shared" si="1"/>
        <v>4840</v>
      </c>
      <c r="E95" s="3"/>
    </row>
    <row r="96" spans="1:5">
      <c r="A96" s="5">
        <v>72701323</v>
      </c>
      <c r="B96" s="6" t="s">
        <v>95</v>
      </c>
      <c r="C96" s="4">
        <v>8800</v>
      </c>
      <c r="D96" s="1">
        <f t="shared" si="1"/>
        <v>4840</v>
      </c>
      <c r="E96" s="3"/>
    </row>
    <row r="97" spans="1:5">
      <c r="A97" s="5">
        <v>72701324</v>
      </c>
      <c r="B97" s="6" t="s">
        <v>96</v>
      </c>
      <c r="C97" s="4">
        <v>8800</v>
      </c>
      <c r="D97" s="1">
        <f t="shared" si="1"/>
        <v>4840</v>
      </c>
      <c r="E97" s="3"/>
    </row>
    <row r="98" spans="1:5">
      <c r="A98" s="5">
        <v>72701326</v>
      </c>
      <c r="B98" s="6" t="s">
        <v>97</v>
      </c>
      <c r="C98" s="4">
        <v>8800</v>
      </c>
      <c r="D98" s="1">
        <f t="shared" si="1"/>
        <v>4840</v>
      </c>
      <c r="E98" s="3"/>
    </row>
    <row r="99" spans="1:5">
      <c r="A99" s="5">
        <v>72701329</v>
      </c>
      <c r="B99" s="6" t="s">
        <v>98</v>
      </c>
      <c r="C99" s="4">
        <v>8800</v>
      </c>
      <c r="D99" s="1">
        <f t="shared" si="1"/>
        <v>4840</v>
      </c>
      <c r="E99" s="3"/>
    </row>
    <row r="100" spans="1:5">
      <c r="A100" s="5">
        <v>72701330</v>
      </c>
      <c r="B100" s="6" t="s">
        <v>99</v>
      </c>
      <c r="C100" s="4">
        <v>8800</v>
      </c>
      <c r="D100" s="1">
        <f t="shared" si="1"/>
        <v>4840</v>
      </c>
      <c r="E100" s="3"/>
    </row>
    <row r="101" spans="1:5">
      <c r="A101" s="5">
        <v>72701331</v>
      </c>
      <c r="B101" s="6" t="s">
        <v>100</v>
      </c>
      <c r="C101" s="4">
        <v>8800</v>
      </c>
      <c r="D101" s="1">
        <f t="shared" si="1"/>
        <v>4840</v>
      </c>
      <c r="E101" s="3"/>
    </row>
    <row r="102" spans="1:5">
      <c r="A102" s="5">
        <v>72701332</v>
      </c>
      <c r="B102" s="6" t="s">
        <v>101</v>
      </c>
      <c r="C102" s="4">
        <v>8800</v>
      </c>
      <c r="D102" s="1">
        <f t="shared" si="1"/>
        <v>4840</v>
      </c>
      <c r="E102" s="3"/>
    </row>
    <row r="103" spans="1:5">
      <c r="A103" s="5">
        <v>72701333</v>
      </c>
      <c r="B103" s="6" t="s">
        <v>102</v>
      </c>
      <c r="C103" s="4">
        <v>8800</v>
      </c>
      <c r="D103" s="1">
        <f t="shared" si="1"/>
        <v>4840</v>
      </c>
      <c r="E103" s="3"/>
    </row>
    <row r="104" spans="1:5">
      <c r="A104" s="5">
        <v>72701334</v>
      </c>
      <c r="B104" s="6" t="s">
        <v>103</v>
      </c>
      <c r="C104" s="4">
        <v>8800</v>
      </c>
      <c r="D104" s="1">
        <f t="shared" si="1"/>
        <v>4840</v>
      </c>
      <c r="E104" s="3"/>
    </row>
    <row r="105" spans="1:5">
      <c r="A105" s="5">
        <v>72701335</v>
      </c>
      <c r="B105" s="6" t="s">
        <v>104</v>
      </c>
      <c r="C105" s="4">
        <v>8800</v>
      </c>
      <c r="D105" s="1">
        <f t="shared" si="1"/>
        <v>4840</v>
      </c>
      <c r="E105" s="3"/>
    </row>
    <row r="106" spans="1:5">
      <c r="A106" s="5">
        <v>72701336</v>
      </c>
      <c r="B106" s="6" t="s">
        <v>105</v>
      </c>
      <c r="C106" s="4">
        <v>8800</v>
      </c>
      <c r="D106" s="1">
        <f t="shared" si="1"/>
        <v>4840</v>
      </c>
      <c r="E106" s="3"/>
    </row>
    <row r="107" spans="1:5">
      <c r="A107" s="5">
        <v>72701337</v>
      </c>
      <c r="B107" s="6" t="s">
        <v>106</v>
      </c>
      <c r="C107" s="4">
        <v>8800</v>
      </c>
      <c r="D107" s="1">
        <f t="shared" si="1"/>
        <v>4840</v>
      </c>
      <c r="E107" s="3"/>
    </row>
    <row r="108" spans="1:5">
      <c r="A108" s="5">
        <v>72701338</v>
      </c>
      <c r="B108" s="6" t="s">
        <v>107</v>
      </c>
      <c r="C108" s="4">
        <v>8800</v>
      </c>
      <c r="D108" s="1">
        <f t="shared" si="1"/>
        <v>4840</v>
      </c>
      <c r="E108" s="3"/>
    </row>
    <row r="109" spans="1:5">
      <c r="A109" s="5">
        <v>72701339</v>
      </c>
      <c r="B109" s="6" t="s">
        <v>108</v>
      </c>
      <c r="C109" s="4">
        <v>8800</v>
      </c>
      <c r="D109" s="1">
        <f t="shared" si="1"/>
        <v>4840</v>
      </c>
      <c r="E109" s="3"/>
    </row>
    <row r="110" spans="1:5">
      <c r="A110" s="5">
        <v>72701341</v>
      </c>
      <c r="B110" s="6" t="s">
        <v>109</v>
      </c>
      <c r="C110" s="4">
        <v>8800</v>
      </c>
      <c r="D110" s="1">
        <f t="shared" si="1"/>
        <v>4840</v>
      </c>
      <c r="E110" s="3"/>
    </row>
    <row r="111" spans="1:5">
      <c r="A111" s="5">
        <v>72701342</v>
      </c>
      <c r="B111" s="6" t="s">
        <v>110</v>
      </c>
      <c r="C111" s="4">
        <v>8800</v>
      </c>
      <c r="D111" s="1">
        <f t="shared" si="1"/>
        <v>4840</v>
      </c>
      <c r="E111" s="3"/>
    </row>
    <row r="112" spans="1:5">
      <c r="A112" s="5">
        <v>72701343</v>
      </c>
      <c r="B112" s="6" t="s">
        <v>111</v>
      </c>
      <c r="C112" s="4">
        <v>8800</v>
      </c>
      <c r="D112" s="1">
        <f t="shared" si="1"/>
        <v>4840</v>
      </c>
      <c r="E112" s="3"/>
    </row>
    <row r="113" spans="1:6">
      <c r="A113" s="5">
        <v>72701344</v>
      </c>
      <c r="B113" s="6" t="s">
        <v>112</v>
      </c>
      <c r="C113" s="4">
        <v>8800</v>
      </c>
      <c r="D113" s="1">
        <f t="shared" si="1"/>
        <v>4840</v>
      </c>
      <c r="E113" s="3"/>
    </row>
    <row r="114" spans="1:6">
      <c r="A114" s="5">
        <v>72701345</v>
      </c>
      <c r="B114" s="6" t="s">
        <v>952</v>
      </c>
      <c r="C114" s="4">
        <v>8800</v>
      </c>
      <c r="D114" s="1">
        <f t="shared" ref="D114" si="2">C114*0.55</f>
        <v>4840</v>
      </c>
      <c r="E114" s="3"/>
    </row>
    <row r="115" spans="1:6">
      <c r="A115" s="5">
        <v>72701346</v>
      </c>
      <c r="B115" s="6" t="s">
        <v>113</v>
      </c>
      <c r="C115" s="4">
        <v>8800</v>
      </c>
      <c r="D115" s="1">
        <f t="shared" si="1"/>
        <v>4840</v>
      </c>
      <c r="E115" s="3"/>
    </row>
    <row r="116" spans="1:6">
      <c r="A116" s="73" t="s">
        <v>333</v>
      </c>
      <c r="B116" s="74"/>
      <c r="C116" s="74"/>
      <c r="D116" s="75"/>
      <c r="E116" s="3"/>
    </row>
    <row r="117" spans="1:6">
      <c r="A117" s="5">
        <v>73301451</v>
      </c>
      <c r="B117" s="6" t="s">
        <v>959</v>
      </c>
      <c r="C117" s="4">
        <v>7800</v>
      </c>
      <c r="D117" s="1">
        <f t="shared" si="1"/>
        <v>4290</v>
      </c>
      <c r="E117" s="3"/>
      <c r="F117" s="24"/>
    </row>
    <row r="118" spans="1:6">
      <c r="A118" s="5">
        <v>73301452</v>
      </c>
      <c r="B118" s="6" t="s">
        <v>953</v>
      </c>
      <c r="C118" s="4">
        <v>7800</v>
      </c>
      <c r="D118" s="1">
        <f t="shared" si="1"/>
        <v>4290</v>
      </c>
      <c r="E118" s="3"/>
      <c r="F118" s="24"/>
    </row>
    <row r="119" spans="1:6">
      <c r="A119" s="5">
        <v>73301453</v>
      </c>
      <c r="B119" s="6" t="s">
        <v>954</v>
      </c>
      <c r="C119" s="4">
        <v>7800</v>
      </c>
      <c r="D119" s="1">
        <f t="shared" si="1"/>
        <v>4290</v>
      </c>
      <c r="E119" s="3"/>
      <c r="F119" s="24"/>
    </row>
    <row r="120" spans="1:6">
      <c r="A120" s="5">
        <v>73301454</v>
      </c>
      <c r="B120" s="6" t="s">
        <v>955</v>
      </c>
      <c r="C120" s="4">
        <v>7800</v>
      </c>
      <c r="D120" s="1">
        <f t="shared" si="1"/>
        <v>4290</v>
      </c>
      <c r="E120" s="3"/>
      <c r="F120" s="24"/>
    </row>
    <row r="121" spans="1:6">
      <c r="A121" s="5">
        <v>73301455</v>
      </c>
      <c r="B121" s="6" t="s">
        <v>956</v>
      </c>
      <c r="C121" s="4">
        <v>7800</v>
      </c>
      <c r="D121" s="1">
        <f t="shared" si="1"/>
        <v>4290</v>
      </c>
      <c r="E121" s="3"/>
      <c r="F121" s="24"/>
    </row>
    <row r="122" spans="1:6">
      <c r="A122" s="5">
        <v>73301456</v>
      </c>
      <c r="B122" s="6" t="s">
        <v>957</v>
      </c>
      <c r="C122" s="4">
        <v>7800</v>
      </c>
      <c r="D122" s="1">
        <f t="shared" si="1"/>
        <v>4290</v>
      </c>
      <c r="E122" s="3"/>
      <c r="F122" s="24"/>
    </row>
    <row r="123" spans="1:6">
      <c r="A123" s="5">
        <v>73301457</v>
      </c>
      <c r="B123" s="6" t="s">
        <v>958</v>
      </c>
      <c r="C123" s="4">
        <v>7800</v>
      </c>
      <c r="D123" s="1">
        <f t="shared" si="1"/>
        <v>4290</v>
      </c>
      <c r="E123" s="3"/>
      <c r="F123" s="24"/>
    </row>
    <row r="124" spans="1:6">
      <c r="A124" s="69" t="s">
        <v>317</v>
      </c>
      <c r="B124" s="69"/>
      <c r="C124" s="69"/>
      <c r="D124" s="70"/>
      <c r="E124" s="3"/>
    </row>
    <row r="125" spans="1:6">
      <c r="A125" s="5">
        <v>72501120</v>
      </c>
      <c r="B125" s="6" t="s">
        <v>114</v>
      </c>
      <c r="C125" s="4">
        <v>8800</v>
      </c>
      <c r="D125" s="1">
        <f t="shared" si="1"/>
        <v>4840</v>
      </c>
      <c r="E125" s="3"/>
    </row>
    <row r="126" spans="1:6">
      <c r="A126" s="5">
        <v>72501121</v>
      </c>
      <c r="B126" s="6" t="s">
        <v>115</v>
      </c>
      <c r="C126" s="4">
        <v>8800</v>
      </c>
      <c r="D126" s="1">
        <f t="shared" si="1"/>
        <v>4840</v>
      </c>
      <c r="E126" s="3"/>
    </row>
    <row r="127" spans="1:6">
      <c r="A127" s="5">
        <v>72501122</v>
      </c>
      <c r="B127" s="6" t="s">
        <v>116</v>
      </c>
      <c r="C127" s="4">
        <v>8800</v>
      </c>
      <c r="D127" s="1">
        <f t="shared" si="1"/>
        <v>4840</v>
      </c>
      <c r="E127" s="3"/>
    </row>
    <row r="128" spans="1:6">
      <c r="A128" s="5">
        <v>72501123</v>
      </c>
      <c r="B128" s="6" t="s">
        <v>117</v>
      </c>
      <c r="C128" s="4">
        <v>8800</v>
      </c>
      <c r="D128" s="1">
        <f t="shared" si="1"/>
        <v>4840</v>
      </c>
      <c r="E128" s="3"/>
    </row>
    <row r="129" spans="1:5">
      <c r="A129" s="5">
        <v>72501124</v>
      </c>
      <c r="B129" s="6" t="s">
        <v>118</v>
      </c>
      <c r="C129" s="4">
        <v>8800</v>
      </c>
      <c r="D129" s="1">
        <f t="shared" si="1"/>
        <v>4840</v>
      </c>
      <c r="E129" s="3"/>
    </row>
    <row r="130" spans="1:5">
      <c r="A130" s="5">
        <v>72501125</v>
      </c>
      <c r="B130" s="6" t="s">
        <v>119</v>
      </c>
      <c r="C130" s="4">
        <v>8800</v>
      </c>
      <c r="D130" s="1">
        <f t="shared" si="1"/>
        <v>4840</v>
      </c>
      <c r="E130" s="3"/>
    </row>
    <row r="131" spans="1:5">
      <c r="A131" s="5">
        <v>72501126</v>
      </c>
      <c r="B131" s="6" t="s">
        <v>120</v>
      </c>
      <c r="C131" s="4">
        <v>8800</v>
      </c>
      <c r="D131" s="1">
        <f t="shared" si="1"/>
        <v>4840</v>
      </c>
      <c r="E131" s="3"/>
    </row>
    <row r="132" spans="1:5">
      <c r="A132" s="5">
        <v>72501127</v>
      </c>
      <c r="B132" s="6" t="s">
        <v>121</v>
      </c>
      <c r="C132" s="4">
        <v>8800</v>
      </c>
      <c r="D132" s="1">
        <f t="shared" si="1"/>
        <v>4840</v>
      </c>
      <c r="E132" s="3"/>
    </row>
    <row r="133" spans="1:5">
      <c r="A133" s="5">
        <v>72501128</v>
      </c>
      <c r="B133" s="6" t="s">
        <v>122</v>
      </c>
      <c r="C133" s="4">
        <v>8800</v>
      </c>
      <c r="D133" s="1">
        <f t="shared" si="1"/>
        <v>4840</v>
      </c>
      <c r="E133" s="3"/>
    </row>
    <row r="134" spans="1:5">
      <c r="A134" s="5">
        <v>72501129</v>
      </c>
      <c r="B134" s="6" t="s">
        <v>123</v>
      </c>
      <c r="C134" s="4">
        <v>8800</v>
      </c>
      <c r="D134" s="1">
        <f t="shared" ref="D134:D136" si="3">C134*0.55</f>
        <v>4840</v>
      </c>
      <c r="E134" s="3"/>
    </row>
    <row r="135" spans="1:5">
      <c r="A135" s="5">
        <v>72501130</v>
      </c>
      <c r="B135" s="6" t="s">
        <v>124</v>
      </c>
      <c r="C135" s="4">
        <v>8800</v>
      </c>
      <c r="D135" s="1">
        <f t="shared" si="3"/>
        <v>4840</v>
      </c>
      <c r="E135" s="3"/>
    </row>
    <row r="136" spans="1:5">
      <c r="A136" s="5">
        <v>72501131</v>
      </c>
      <c r="B136" s="6" t="s">
        <v>125</v>
      </c>
      <c r="C136" s="4">
        <v>8800</v>
      </c>
      <c r="D136" s="1">
        <f t="shared" si="3"/>
        <v>4840</v>
      </c>
      <c r="E136" s="3"/>
    </row>
    <row r="137" spans="1:5">
      <c r="A137" s="69" t="s">
        <v>318</v>
      </c>
      <c r="B137" s="69"/>
      <c r="C137" s="69"/>
      <c r="D137" s="70"/>
      <c r="E137" s="3"/>
    </row>
    <row r="138" spans="1:5">
      <c r="A138" s="5">
        <v>73001205</v>
      </c>
      <c r="B138" s="6" t="s">
        <v>126</v>
      </c>
      <c r="C138" s="4">
        <v>10000</v>
      </c>
      <c r="D138" s="1">
        <f t="shared" ref="D138:D155" si="4">C138*0.55</f>
        <v>5500</v>
      </c>
      <c r="E138" s="3"/>
    </row>
    <row r="139" spans="1:5">
      <c r="A139" s="5">
        <v>73001220</v>
      </c>
      <c r="B139" s="6" t="s">
        <v>127</v>
      </c>
      <c r="C139" s="4">
        <v>10000</v>
      </c>
      <c r="D139" s="1">
        <f t="shared" si="4"/>
        <v>5500</v>
      </c>
      <c r="E139" s="3"/>
    </row>
    <row r="140" spans="1:5">
      <c r="A140" s="5">
        <v>73001221</v>
      </c>
      <c r="B140" s="6" t="s">
        <v>128</v>
      </c>
      <c r="C140" s="4">
        <v>10000</v>
      </c>
      <c r="D140" s="1">
        <f t="shared" si="4"/>
        <v>5500</v>
      </c>
      <c r="E140" s="3"/>
    </row>
    <row r="141" spans="1:5">
      <c r="A141" s="5">
        <v>73001222</v>
      </c>
      <c r="B141" s="6" t="s">
        <v>129</v>
      </c>
      <c r="C141" s="4">
        <v>10000</v>
      </c>
      <c r="D141" s="1">
        <f t="shared" si="4"/>
        <v>5500</v>
      </c>
      <c r="E141" s="3"/>
    </row>
    <row r="142" spans="1:5">
      <c r="A142" s="5">
        <v>73001223</v>
      </c>
      <c r="B142" s="6" t="s">
        <v>130</v>
      </c>
      <c r="C142" s="4">
        <v>10000</v>
      </c>
      <c r="D142" s="1">
        <f t="shared" si="4"/>
        <v>5500</v>
      </c>
      <c r="E142" s="3"/>
    </row>
    <row r="143" spans="1:5">
      <c r="A143" s="5">
        <v>73001224</v>
      </c>
      <c r="B143" s="6" t="s">
        <v>131</v>
      </c>
      <c r="C143" s="4">
        <v>10000</v>
      </c>
      <c r="D143" s="1">
        <f t="shared" si="4"/>
        <v>5500</v>
      </c>
      <c r="E143" s="3"/>
    </row>
    <row r="144" spans="1:5">
      <c r="A144" s="5">
        <v>73001225</v>
      </c>
      <c r="B144" s="6" t="s">
        <v>132</v>
      </c>
      <c r="C144" s="4">
        <v>10000</v>
      </c>
      <c r="D144" s="1">
        <f t="shared" si="4"/>
        <v>5500</v>
      </c>
      <c r="E144" s="3"/>
    </row>
    <row r="145" spans="1:5">
      <c r="A145" s="5">
        <v>73001226</v>
      </c>
      <c r="B145" s="6" t="s">
        <v>133</v>
      </c>
      <c r="C145" s="4">
        <v>10000</v>
      </c>
      <c r="D145" s="1">
        <f t="shared" si="4"/>
        <v>5500</v>
      </c>
      <c r="E145" s="3"/>
    </row>
    <row r="146" spans="1:5">
      <c r="A146" s="5">
        <v>73001227</v>
      </c>
      <c r="B146" s="6" t="s">
        <v>134</v>
      </c>
      <c r="C146" s="4">
        <v>10000</v>
      </c>
      <c r="D146" s="1">
        <f t="shared" si="4"/>
        <v>5500</v>
      </c>
      <c r="E146" s="3"/>
    </row>
    <row r="147" spans="1:5">
      <c r="A147" s="5">
        <v>73001228</v>
      </c>
      <c r="B147" s="6" t="s">
        <v>135</v>
      </c>
      <c r="C147" s="4">
        <v>10000</v>
      </c>
      <c r="D147" s="1">
        <f t="shared" si="4"/>
        <v>5500</v>
      </c>
      <c r="E147" s="3"/>
    </row>
    <row r="148" spans="1:5">
      <c r="A148" s="5">
        <v>73001229</v>
      </c>
      <c r="B148" s="6" t="s">
        <v>136</v>
      </c>
      <c r="C148" s="4">
        <v>10000</v>
      </c>
      <c r="D148" s="1">
        <f t="shared" si="4"/>
        <v>5500</v>
      </c>
      <c r="E148" s="3"/>
    </row>
    <row r="149" spans="1:5">
      <c r="A149" s="5">
        <v>73001230</v>
      </c>
      <c r="B149" s="6" t="s">
        <v>137</v>
      </c>
      <c r="C149" s="4">
        <v>10000</v>
      </c>
      <c r="D149" s="1">
        <f t="shared" si="4"/>
        <v>5500</v>
      </c>
      <c r="E149" s="3"/>
    </row>
    <row r="150" spans="1:5">
      <c r="A150" s="5">
        <v>73001231</v>
      </c>
      <c r="B150" s="6" t="s">
        <v>138</v>
      </c>
      <c r="C150" s="4">
        <v>10000</v>
      </c>
      <c r="D150" s="1">
        <f t="shared" si="4"/>
        <v>5500</v>
      </c>
      <c r="E150" s="3"/>
    </row>
    <row r="151" spans="1:5">
      <c r="A151" s="5">
        <v>73001233</v>
      </c>
      <c r="B151" s="6" t="s">
        <v>139</v>
      </c>
      <c r="C151" s="4">
        <v>10000</v>
      </c>
      <c r="D151" s="1">
        <f t="shared" si="4"/>
        <v>5500</v>
      </c>
      <c r="E151" s="3"/>
    </row>
    <row r="152" spans="1:5">
      <c r="A152" s="5">
        <v>73001235</v>
      </c>
      <c r="B152" s="6" t="s">
        <v>140</v>
      </c>
      <c r="C152" s="4">
        <v>10000</v>
      </c>
      <c r="D152" s="1">
        <f t="shared" si="4"/>
        <v>5500</v>
      </c>
      <c r="E152" s="3"/>
    </row>
    <row r="153" spans="1:5">
      <c r="A153" s="5">
        <v>73001236</v>
      </c>
      <c r="B153" s="6" t="s">
        <v>141</v>
      </c>
      <c r="C153" s="4">
        <v>10000</v>
      </c>
      <c r="D153" s="1">
        <f t="shared" si="4"/>
        <v>5500</v>
      </c>
      <c r="E153" s="3"/>
    </row>
    <row r="154" spans="1:5">
      <c r="A154" s="5">
        <v>73001237</v>
      </c>
      <c r="B154" s="6" t="s">
        <v>142</v>
      </c>
      <c r="C154" s="4">
        <v>10000</v>
      </c>
      <c r="D154" s="1">
        <f t="shared" si="4"/>
        <v>5500</v>
      </c>
      <c r="E154" s="3"/>
    </row>
    <row r="155" spans="1:5">
      <c r="A155" s="5">
        <v>73001238</v>
      </c>
      <c r="B155" s="6" t="s">
        <v>143</v>
      </c>
      <c r="C155" s="4">
        <v>10000</v>
      </c>
      <c r="D155" s="1">
        <f t="shared" si="4"/>
        <v>5500</v>
      </c>
      <c r="E155" s="3"/>
    </row>
    <row r="156" spans="1:5">
      <c r="A156" s="69" t="s">
        <v>319</v>
      </c>
      <c r="B156" s="69"/>
      <c r="C156" s="69"/>
      <c r="D156" s="70"/>
      <c r="E156" s="3"/>
    </row>
    <row r="157" spans="1:5">
      <c r="A157" s="51">
        <v>50003002</v>
      </c>
      <c r="B157" s="55" t="s">
        <v>144</v>
      </c>
      <c r="C157" s="53">
        <v>10000</v>
      </c>
      <c r="D157" s="53">
        <f t="shared" ref="D157:D198" si="5">C157*0.55</f>
        <v>5500</v>
      </c>
      <c r="E157" s="54"/>
    </row>
    <row r="158" spans="1:5">
      <c r="A158" s="51">
        <v>50003507</v>
      </c>
      <c r="B158" s="52" t="s">
        <v>185</v>
      </c>
      <c r="C158" s="53">
        <v>10000</v>
      </c>
      <c r="D158" s="53">
        <f t="shared" ref="D158:D159" si="6">C158*0.55</f>
        <v>5500</v>
      </c>
      <c r="E158" s="54"/>
    </row>
    <row r="159" spans="1:5">
      <c r="A159" s="56">
        <v>50503001</v>
      </c>
      <c r="B159" s="52" t="s">
        <v>960</v>
      </c>
      <c r="C159" s="53">
        <v>10000</v>
      </c>
      <c r="D159" s="53">
        <f t="shared" si="6"/>
        <v>5500</v>
      </c>
      <c r="E159" s="54"/>
    </row>
    <row r="160" spans="1:5">
      <c r="A160" s="5">
        <v>50003003</v>
      </c>
      <c r="B160" s="7" t="s">
        <v>145</v>
      </c>
      <c r="C160" s="4">
        <v>10000</v>
      </c>
      <c r="D160" s="1">
        <f t="shared" si="5"/>
        <v>5500</v>
      </c>
      <c r="E160" s="3"/>
    </row>
    <row r="161" spans="1:5">
      <c r="A161" s="5">
        <v>50003010</v>
      </c>
      <c r="B161" s="7" t="s">
        <v>146</v>
      </c>
      <c r="C161" s="4">
        <v>10000</v>
      </c>
      <c r="D161" s="1">
        <f t="shared" si="5"/>
        <v>5500</v>
      </c>
      <c r="E161" s="3"/>
    </row>
    <row r="162" spans="1:5">
      <c r="A162" s="5">
        <v>50003011</v>
      </c>
      <c r="B162" s="7" t="s">
        <v>147</v>
      </c>
      <c r="C162" s="4">
        <v>10000</v>
      </c>
      <c r="D162" s="1">
        <f t="shared" si="5"/>
        <v>5500</v>
      </c>
      <c r="E162" s="3"/>
    </row>
    <row r="163" spans="1:5">
      <c r="A163" s="5">
        <v>50003014</v>
      </c>
      <c r="B163" s="7" t="s">
        <v>148</v>
      </c>
      <c r="C163" s="4">
        <v>10000</v>
      </c>
      <c r="D163" s="1">
        <f t="shared" si="5"/>
        <v>5500</v>
      </c>
      <c r="E163" s="3"/>
    </row>
    <row r="164" spans="1:5">
      <c r="A164" s="8">
        <v>50003015</v>
      </c>
      <c r="B164" s="7" t="s">
        <v>149</v>
      </c>
      <c r="C164" s="4">
        <v>10000</v>
      </c>
      <c r="D164" s="1">
        <f t="shared" si="5"/>
        <v>5500</v>
      </c>
      <c r="E164" s="3"/>
    </row>
    <row r="165" spans="1:5">
      <c r="A165" s="8">
        <v>50003017</v>
      </c>
      <c r="B165" s="7" t="s">
        <v>150</v>
      </c>
      <c r="C165" s="4">
        <v>10000</v>
      </c>
      <c r="D165" s="1">
        <f t="shared" si="5"/>
        <v>5500</v>
      </c>
      <c r="E165" s="3"/>
    </row>
    <row r="166" spans="1:5">
      <c r="A166" s="8">
        <v>50003018</v>
      </c>
      <c r="B166" s="7" t="s">
        <v>151</v>
      </c>
      <c r="C166" s="4">
        <v>10000</v>
      </c>
      <c r="D166" s="1">
        <f t="shared" si="5"/>
        <v>5500</v>
      </c>
      <c r="E166" s="3"/>
    </row>
    <row r="167" spans="1:5">
      <c r="A167" s="8">
        <v>50003019</v>
      </c>
      <c r="B167" s="7" t="s">
        <v>152</v>
      </c>
      <c r="C167" s="4">
        <v>10000</v>
      </c>
      <c r="D167" s="1">
        <f t="shared" si="5"/>
        <v>5500</v>
      </c>
      <c r="E167" s="3"/>
    </row>
    <row r="168" spans="1:5">
      <c r="A168" s="8">
        <v>50003021</v>
      </c>
      <c r="B168" s="7" t="s">
        <v>153</v>
      </c>
      <c r="C168" s="4">
        <v>10000</v>
      </c>
      <c r="D168" s="1">
        <f t="shared" si="5"/>
        <v>5500</v>
      </c>
      <c r="E168" s="3"/>
    </row>
    <row r="169" spans="1:5">
      <c r="A169" s="8">
        <v>50003022</v>
      </c>
      <c r="B169" s="7" t="s">
        <v>154</v>
      </c>
      <c r="C169" s="4">
        <v>10000</v>
      </c>
      <c r="D169" s="1">
        <f t="shared" si="5"/>
        <v>5500</v>
      </c>
      <c r="E169" s="3"/>
    </row>
    <row r="170" spans="1:5">
      <c r="A170" s="8">
        <v>50003023</v>
      </c>
      <c r="B170" s="7" t="s">
        <v>155</v>
      </c>
      <c r="C170" s="4">
        <v>10000</v>
      </c>
      <c r="D170" s="1">
        <f t="shared" si="5"/>
        <v>5500</v>
      </c>
      <c r="E170" s="3"/>
    </row>
    <row r="171" spans="1:5">
      <c r="A171" s="8">
        <v>50003024</v>
      </c>
      <c r="B171" s="7" t="s">
        <v>156</v>
      </c>
      <c r="C171" s="4">
        <v>10000</v>
      </c>
      <c r="D171" s="1">
        <f t="shared" si="5"/>
        <v>5500</v>
      </c>
      <c r="E171" s="3"/>
    </row>
    <row r="172" spans="1:5">
      <c r="A172" s="8">
        <v>50003028</v>
      </c>
      <c r="B172" s="7" t="s">
        <v>159</v>
      </c>
      <c r="C172" s="4">
        <v>10000</v>
      </c>
      <c r="D172" s="1">
        <f t="shared" si="5"/>
        <v>5500</v>
      </c>
      <c r="E172" s="3"/>
    </row>
    <row r="173" spans="1:5">
      <c r="A173" s="8">
        <v>50003029</v>
      </c>
      <c r="B173" s="7" t="s">
        <v>160</v>
      </c>
      <c r="C173" s="4">
        <v>10000</v>
      </c>
      <c r="D173" s="1">
        <f t="shared" si="5"/>
        <v>5500</v>
      </c>
      <c r="E173" s="3"/>
    </row>
    <row r="174" spans="1:5">
      <c r="A174" s="8">
        <v>50003040</v>
      </c>
      <c r="B174" s="7" t="s">
        <v>161</v>
      </c>
      <c r="C174" s="4">
        <v>10000</v>
      </c>
      <c r="D174" s="1">
        <f t="shared" si="5"/>
        <v>5500</v>
      </c>
      <c r="E174" s="3"/>
    </row>
    <row r="175" spans="1:5">
      <c r="A175" s="8">
        <v>50003041</v>
      </c>
      <c r="B175" s="7" t="s">
        <v>162</v>
      </c>
      <c r="C175" s="4">
        <v>10000</v>
      </c>
      <c r="D175" s="1">
        <f t="shared" si="5"/>
        <v>5500</v>
      </c>
      <c r="E175" s="3"/>
    </row>
    <row r="176" spans="1:5">
      <c r="A176" s="8">
        <v>50003042</v>
      </c>
      <c r="B176" s="7" t="s">
        <v>163</v>
      </c>
      <c r="C176" s="4">
        <v>10000</v>
      </c>
      <c r="D176" s="1">
        <f t="shared" si="5"/>
        <v>5500</v>
      </c>
      <c r="E176" s="3"/>
    </row>
    <row r="177" spans="1:5">
      <c r="A177" s="8">
        <v>50003043</v>
      </c>
      <c r="B177" s="7" t="s">
        <v>164</v>
      </c>
      <c r="C177" s="4">
        <v>10000</v>
      </c>
      <c r="D177" s="1">
        <f t="shared" si="5"/>
        <v>5500</v>
      </c>
      <c r="E177" s="3"/>
    </row>
    <row r="178" spans="1:5">
      <c r="A178" s="8">
        <v>50003044</v>
      </c>
      <c r="B178" s="7" t="s">
        <v>165</v>
      </c>
      <c r="C178" s="4">
        <v>10000</v>
      </c>
      <c r="D178" s="1">
        <f t="shared" si="5"/>
        <v>5500</v>
      </c>
      <c r="E178" s="3"/>
    </row>
    <row r="179" spans="1:5">
      <c r="A179" s="8">
        <v>50003047</v>
      </c>
      <c r="B179" s="7" t="s">
        <v>166</v>
      </c>
      <c r="C179" s="4">
        <v>10000</v>
      </c>
      <c r="D179" s="1">
        <f t="shared" si="5"/>
        <v>5500</v>
      </c>
      <c r="E179" s="3"/>
    </row>
    <row r="180" spans="1:5">
      <c r="A180" s="8">
        <v>50003050</v>
      </c>
      <c r="B180" s="7" t="s">
        <v>167</v>
      </c>
      <c r="C180" s="4">
        <v>10000</v>
      </c>
      <c r="D180" s="1">
        <f t="shared" si="5"/>
        <v>5500</v>
      </c>
      <c r="E180" s="3"/>
    </row>
    <row r="181" spans="1:5">
      <c r="A181" s="8">
        <v>50003051</v>
      </c>
      <c r="B181" s="7" t="s">
        <v>168</v>
      </c>
      <c r="C181" s="4">
        <v>10000</v>
      </c>
      <c r="D181" s="1">
        <f t="shared" si="5"/>
        <v>5500</v>
      </c>
      <c r="E181" s="3"/>
    </row>
    <row r="182" spans="1:5">
      <c r="A182" s="9">
        <v>50003060</v>
      </c>
      <c r="B182" s="7" t="s">
        <v>169</v>
      </c>
      <c r="C182" s="4">
        <v>10000</v>
      </c>
      <c r="D182" s="1">
        <f t="shared" si="5"/>
        <v>5500</v>
      </c>
      <c r="E182" s="3"/>
    </row>
    <row r="183" spans="1:5">
      <c r="A183" s="8">
        <v>50003062</v>
      </c>
      <c r="B183" s="7" t="s">
        <v>170</v>
      </c>
      <c r="C183" s="4">
        <v>10000</v>
      </c>
      <c r="D183" s="1">
        <f t="shared" si="5"/>
        <v>5500</v>
      </c>
      <c r="E183" s="3"/>
    </row>
    <row r="184" spans="1:5">
      <c r="A184" s="8">
        <v>50003064</v>
      </c>
      <c r="B184" s="7" t="s">
        <v>171</v>
      </c>
      <c r="C184" s="4">
        <v>10000</v>
      </c>
      <c r="D184" s="1">
        <f t="shared" si="5"/>
        <v>5500</v>
      </c>
      <c r="E184" s="3"/>
    </row>
    <row r="185" spans="1:5">
      <c r="A185" s="8">
        <v>50003065</v>
      </c>
      <c r="B185" s="7" t="s">
        <v>172</v>
      </c>
      <c r="C185" s="4">
        <v>10000</v>
      </c>
      <c r="D185" s="1">
        <f t="shared" si="5"/>
        <v>5500</v>
      </c>
      <c r="E185" s="3"/>
    </row>
    <row r="186" spans="1:5">
      <c r="A186" s="8">
        <v>50003072</v>
      </c>
      <c r="B186" s="7" t="s">
        <v>173</v>
      </c>
      <c r="C186" s="4">
        <v>10000</v>
      </c>
      <c r="D186" s="1">
        <f t="shared" si="5"/>
        <v>5500</v>
      </c>
      <c r="E186" s="3"/>
    </row>
    <row r="187" spans="1:5">
      <c r="A187" s="8">
        <v>50003075</v>
      </c>
      <c r="B187" s="7" t="s">
        <v>174</v>
      </c>
      <c r="C187" s="4">
        <v>10000</v>
      </c>
      <c r="D187" s="1">
        <f t="shared" si="5"/>
        <v>5500</v>
      </c>
      <c r="E187" s="3"/>
    </row>
    <row r="188" spans="1:5">
      <c r="A188" s="8">
        <v>50003091</v>
      </c>
      <c r="B188" s="7" t="s">
        <v>175</v>
      </c>
      <c r="C188" s="4">
        <v>10000</v>
      </c>
      <c r="D188" s="1">
        <f t="shared" si="5"/>
        <v>5500</v>
      </c>
      <c r="E188" s="3"/>
    </row>
    <row r="189" spans="1:5">
      <c r="A189" s="8">
        <v>50003092</v>
      </c>
      <c r="B189" s="7" t="s">
        <v>176</v>
      </c>
      <c r="C189" s="4">
        <v>10000</v>
      </c>
      <c r="D189" s="1">
        <f t="shared" si="5"/>
        <v>5500</v>
      </c>
      <c r="E189" s="3"/>
    </row>
    <row r="190" spans="1:5">
      <c r="A190" s="8">
        <v>50003093</v>
      </c>
      <c r="B190" s="7" t="s">
        <v>177</v>
      </c>
      <c r="C190" s="4">
        <v>10000</v>
      </c>
      <c r="D190" s="1">
        <f t="shared" si="5"/>
        <v>5500</v>
      </c>
      <c r="E190" s="3"/>
    </row>
    <row r="191" spans="1:5">
      <c r="A191" s="8">
        <v>50003094</v>
      </c>
      <c r="B191" s="7" t="s">
        <v>178</v>
      </c>
      <c r="C191" s="4">
        <v>10000</v>
      </c>
      <c r="D191" s="1">
        <f t="shared" si="5"/>
        <v>5500</v>
      </c>
      <c r="E191" s="3"/>
    </row>
    <row r="192" spans="1:5">
      <c r="A192" s="8">
        <v>50003095</v>
      </c>
      <c r="B192" s="7" t="s">
        <v>179</v>
      </c>
      <c r="C192" s="4">
        <v>10000</v>
      </c>
      <c r="D192" s="1">
        <f t="shared" si="5"/>
        <v>5500</v>
      </c>
      <c r="E192" s="3"/>
    </row>
    <row r="193" spans="1:5">
      <c r="A193" s="8">
        <v>50003096</v>
      </c>
      <c r="B193" s="7" t="s">
        <v>180</v>
      </c>
      <c r="C193" s="4">
        <v>10000</v>
      </c>
      <c r="D193" s="1">
        <f t="shared" si="5"/>
        <v>5500</v>
      </c>
      <c r="E193" s="3"/>
    </row>
    <row r="194" spans="1:5">
      <c r="A194" s="8">
        <v>50003097</v>
      </c>
      <c r="B194" s="7" t="s">
        <v>181</v>
      </c>
      <c r="C194" s="4">
        <v>10000</v>
      </c>
      <c r="D194" s="1">
        <f t="shared" si="5"/>
        <v>5500</v>
      </c>
      <c r="E194" s="3"/>
    </row>
    <row r="195" spans="1:5">
      <c r="A195" s="8">
        <v>50003173</v>
      </c>
      <c r="B195" s="7" t="s">
        <v>182</v>
      </c>
      <c r="C195" s="4">
        <v>10000</v>
      </c>
      <c r="D195" s="1">
        <f t="shared" si="5"/>
        <v>5500</v>
      </c>
      <c r="E195" s="3"/>
    </row>
    <row r="196" spans="1:5">
      <c r="A196" s="8">
        <v>50003192</v>
      </c>
      <c r="B196" s="7" t="s">
        <v>183</v>
      </c>
      <c r="C196" s="4">
        <v>10000</v>
      </c>
      <c r="D196" s="1">
        <f t="shared" si="5"/>
        <v>5500</v>
      </c>
      <c r="E196" s="3"/>
    </row>
    <row r="197" spans="1:5">
      <c r="A197" s="8">
        <v>50003193</v>
      </c>
      <c r="B197" s="7" t="s">
        <v>184</v>
      </c>
      <c r="C197" s="4">
        <v>10000</v>
      </c>
      <c r="D197" s="1">
        <f t="shared" si="5"/>
        <v>5500</v>
      </c>
      <c r="E197" s="3"/>
    </row>
    <row r="198" spans="1:5">
      <c r="A198" s="5">
        <v>50003507</v>
      </c>
      <c r="B198" s="6" t="s">
        <v>185</v>
      </c>
      <c r="C198" s="4">
        <v>10000</v>
      </c>
      <c r="D198" s="1">
        <f t="shared" si="5"/>
        <v>5500</v>
      </c>
      <c r="E198" s="3"/>
    </row>
    <row r="199" spans="1:5">
      <c r="A199" s="37">
        <v>50503001</v>
      </c>
      <c r="B199" s="6" t="s">
        <v>960</v>
      </c>
      <c r="C199" s="4">
        <v>10000</v>
      </c>
      <c r="D199" s="1">
        <f t="shared" ref="D199" si="7">C199*0.55</f>
        <v>5500</v>
      </c>
      <c r="E199" s="3"/>
    </row>
    <row r="200" spans="1:5">
      <c r="A200" s="69" t="s">
        <v>320</v>
      </c>
      <c r="B200" s="69"/>
      <c r="C200" s="69"/>
      <c r="D200" s="70"/>
      <c r="E200" s="3"/>
    </row>
    <row r="201" spans="1:5">
      <c r="A201" s="5">
        <v>52003001</v>
      </c>
      <c r="B201" s="6" t="s">
        <v>186</v>
      </c>
      <c r="C201" s="4">
        <v>10000</v>
      </c>
      <c r="D201" s="1">
        <f t="shared" ref="D201:D264" si="8">C201*0.55</f>
        <v>5500</v>
      </c>
      <c r="E201" s="3"/>
    </row>
    <row r="202" spans="1:5">
      <c r="A202" s="5">
        <v>52003004</v>
      </c>
      <c r="B202" s="6" t="s">
        <v>187</v>
      </c>
      <c r="C202" s="4">
        <v>10000</v>
      </c>
      <c r="D202" s="1">
        <f t="shared" si="8"/>
        <v>5500</v>
      </c>
      <c r="E202" s="3"/>
    </row>
    <row r="203" spans="1:5">
      <c r="A203" s="5">
        <v>52003014</v>
      </c>
      <c r="B203" s="6" t="s">
        <v>188</v>
      </c>
      <c r="C203" s="4">
        <v>10000</v>
      </c>
      <c r="D203" s="1">
        <f t="shared" si="8"/>
        <v>5500</v>
      </c>
      <c r="E203" s="3"/>
    </row>
    <row r="204" spans="1:5">
      <c r="A204" s="5">
        <v>52003018</v>
      </c>
      <c r="B204" s="6" t="s">
        <v>189</v>
      </c>
      <c r="C204" s="4">
        <v>10000</v>
      </c>
      <c r="D204" s="1">
        <f t="shared" si="8"/>
        <v>5500</v>
      </c>
      <c r="E204" s="3"/>
    </row>
    <row r="205" spans="1:5">
      <c r="A205" s="5">
        <v>52003021</v>
      </c>
      <c r="B205" s="6" t="s">
        <v>190</v>
      </c>
      <c r="C205" s="4">
        <v>10000</v>
      </c>
      <c r="D205" s="1">
        <f t="shared" si="8"/>
        <v>5500</v>
      </c>
      <c r="E205" s="3"/>
    </row>
    <row r="206" spans="1:5">
      <c r="A206" s="5">
        <v>52003026</v>
      </c>
      <c r="B206" s="6" t="s">
        <v>191</v>
      </c>
      <c r="C206" s="4">
        <v>10000</v>
      </c>
      <c r="D206" s="1">
        <f t="shared" si="8"/>
        <v>5500</v>
      </c>
      <c r="E206" s="3"/>
    </row>
    <row r="207" spans="1:5">
      <c r="A207" s="5">
        <v>52003029</v>
      </c>
      <c r="B207" s="6" t="s">
        <v>192</v>
      </c>
      <c r="C207" s="4">
        <v>10000</v>
      </c>
      <c r="D207" s="1">
        <f t="shared" si="8"/>
        <v>5500</v>
      </c>
      <c r="E207" s="3"/>
    </row>
    <row r="208" spans="1:5">
      <c r="A208" s="5">
        <v>52003040</v>
      </c>
      <c r="B208" s="6" t="s">
        <v>193</v>
      </c>
      <c r="C208" s="4">
        <v>10000</v>
      </c>
      <c r="D208" s="1">
        <f t="shared" si="8"/>
        <v>5500</v>
      </c>
      <c r="E208" s="3"/>
    </row>
    <row r="209" spans="1:5">
      <c r="A209" s="5">
        <v>52003041</v>
      </c>
      <c r="B209" s="6" t="s">
        <v>194</v>
      </c>
      <c r="C209" s="4">
        <v>10000</v>
      </c>
      <c r="D209" s="1">
        <f t="shared" si="8"/>
        <v>5500</v>
      </c>
      <c r="E209" s="3"/>
    </row>
    <row r="210" spans="1:5">
      <c r="A210" s="5">
        <v>52003042</v>
      </c>
      <c r="B210" s="6" t="s">
        <v>195</v>
      </c>
      <c r="C210" s="4">
        <v>10000</v>
      </c>
      <c r="D210" s="1">
        <f t="shared" si="8"/>
        <v>5500</v>
      </c>
      <c r="E210" s="3"/>
    </row>
    <row r="211" spans="1:5">
      <c r="A211" s="5">
        <v>52003047</v>
      </c>
      <c r="B211" s="6" t="s">
        <v>196</v>
      </c>
      <c r="C211" s="4">
        <v>10000</v>
      </c>
      <c r="D211" s="1">
        <f t="shared" si="8"/>
        <v>5500</v>
      </c>
      <c r="E211" s="3"/>
    </row>
    <row r="212" spans="1:5">
      <c r="A212" s="5">
        <v>52003050</v>
      </c>
      <c r="B212" s="6" t="s">
        <v>197</v>
      </c>
      <c r="C212" s="4">
        <v>10000</v>
      </c>
      <c r="D212" s="1">
        <f t="shared" si="8"/>
        <v>5500</v>
      </c>
      <c r="E212" s="3"/>
    </row>
    <row r="213" spans="1:5">
      <c r="A213" s="5">
        <v>52003051</v>
      </c>
      <c r="B213" s="6" t="s">
        <v>198</v>
      </c>
      <c r="C213" s="4">
        <v>10000</v>
      </c>
      <c r="D213" s="1">
        <f t="shared" si="8"/>
        <v>5500</v>
      </c>
      <c r="E213" s="3"/>
    </row>
    <row r="214" spans="1:5">
      <c r="A214" s="5">
        <v>52003060</v>
      </c>
      <c r="B214" s="6" t="s">
        <v>199</v>
      </c>
      <c r="C214" s="4">
        <v>10000</v>
      </c>
      <c r="D214" s="1">
        <f t="shared" si="8"/>
        <v>5500</v>
      </c>
      <c r="E214" s="3"/>
    </row>
    <row r="215" spans="1:5">
      <c r="A215" s="5">
        <v>52003061</v>
      </c>
      <c r="B215" s="6" t="s">
        <v>200</v>
      </c>
      <c r="C215" s="4">
        <v>10000</v>
      </c>
      <c r="D215" s="1">
        <f t="shared" si="8"/>
        <v>5500</v>
      </c>
      <c r="E215" s="3"/>
    </row>
    <row r="216" spans="1:5">
      <c r="A216" s="5">
        <v>52003064</v>
      </c>
      <c r="B216" s="6" t="s">
        <v>201</v>
      </c>
      <c r="C216" s="4">
        <v>10000</v>
      </c>
      <c r="D216" s="1">
        <f t="shared" si="8"/>
        <v>5500</v>
      </c>
      <c r="E216" s="3"/>
    </row>
    <row r="217" spans="1:5">
      <c r="A217" s="5">
        <v>52003065</v>
      </c>
      <c r="B217" s="6" t="s">
        <v>202</v>
      </c>
      <c r="C217" s="4">
        <v>10000</v>
      </c>
      <c r="D217" s="1">
        <f t="shared" si="8"/>
        <v>5500</v>
      </c>
      <c r="E217" s="3"/>
    </row>
    <row r="218" spans="1:5">
      <c r="A218" s="5">
        <v>52003070</v>
      </c>
      <c r="B218" s="6" t="s">
        <v>203</v>
      </c>
      <c r="C218" s="4">
        <v>10000</v>
      </c>
      <c r="D218" s="1">
        <f t="shared" si="8"/>
        <v>5500</v>
      </c>
      <c r="E218" s="3"/>
    </row>
    <row r="219" spans="1:5">
      <c r="A219" s="5">
        <v>52003071</v>
      </c>
      <c r="B219" s="6" t="s">
        <v>204</v>
      </c>
      <c r="C219" s="4">
        <v>10000</v>
      </c>
      <c r="D219" s="1">
        <f t="shared" si="8"/>
        <v>5500</v>
      </c>
      <c r="E219" s="3"/>
    </row>
    <row r="220" spans="1:5">
      <c r="A220" s="5">
        <v>52003075</v>
      </c>
      <c r="B220" s="6" t="s">
        <v>205</v>
      </c>
      <c r="C220" s="4">
        <v>10000</v>
      </c>
      <c r="D220" s="1">
        <f t="shared" si="8"/>
        <v>5500</v>
      </c>
      <c r="E220" s="3"/>
    </row>
    <row r="221" spans="1:5">
      <c r="A221" s="5">
        <v>52003080</v>
      </c>
      <c r="B221" s="6" t="s">
        <v>206</v>
      </c>
      <c r="C221" s="4">
        <v>10000</v>
      </c>
      <c r="D221" s="1">
        <f t="shared" si="8"/>
        <v>5500</v>
      </c>
      <c r="E221" s="3"/>
    </row>
    <row r="222" spans="1:5">
      <c r="A222" s="5">
        <v>52003081</v>
      </c>
      <c r="B222" s="6" t="s">
        <v>207</v>
      </c>
      <c r="C222" s="4">
        <v>10000</v>
      </c>
      <c r="D222" s="1">
        <f t="shared" si="8"/>
        <v>5500</v>
      </c>
      <c r="E222" s="3"/>
    </row>
    <row r="223" spans="1:5">
      <c r="A223" s="5">
        <v>52003082</v>
      </c>
      <c r="B223" s="6" t="s">
        <v>208</v>
      </c>
      <c r="C223" s="4">
        <v>10000</v>
      </c>
      <c r="D223" s="1">
        <f t="shared" si="8"/>
        <v>5500</v>
      </c>
      <c r="E223" s="3"/>
    </row>
    <row r="224" spans="1:5">
      <c r="A224" s="5">
        <v>52003175</v>
      </c>
      <c r="B224" s="6" t="s">
        <v>209</v>
      </c>
      <c r="C224" s="4">
        <v>10000</v>
      </c>
      <c r="D224" s="1">
        <f t="shared" si="8"/>
        <v>5500</v>
      </c>
      <c r="E224" s="3"/>
    </row>
    <row r="225" spans="1:5">
      <c r="A225" s="5">
        <v>52003188</v>
      </c>
      <c r="B225" s="6" t="s">
        <v>210</v>
      </c>
      <c r="C225" s="4">
        <v>10000</v>
      </c>
      <c r="D225" s="1">
        <f t="shared" si="8"/>
        <v>5500</v>
      </c>
      <c r="E225" s="3"/>
    </row>
    <row r="226" spans="1:5">
      <c r="A226" s="67" t="s">
        <v>321</v>
      </c>
      <c r="B226" s="67"/>
      <c r="C226" s="67"/>
      <c r="D226" s="68"/>
      <c r="E226" s="3"/>
    </row>
    <row r="227" spans="1:5">
      <c r="A227" s="5">
        <v>72004001</v>
      </c>
      <c r="B227" s="6" t="s">
        <v>987</v>
      </c>
      <c r="C227" s="25">
        <v>22000</v>
      </c>
      <c r="D227" s="1">
        <f t="shared" si="8"/>
        <v>12100.000000000002</v>
      </c>
      <c r="E227" s="3"/>
    </row>
    <row r="228" spans="1:5">
      <c r="A228" s="5">
        <v>72004004</v>
      </c>
      <c r="B228" s="6" t="s">
        <v>988</v>
      </c>
      <c r="C228" s="25">
        <v>22000</v>
      </c>
      <c r="D228" s="1">
        <f t="shared" si="8"/>
        <v>12100.000000000002</v>
      </c>
      <c r="E228" s="3"/>
    </row>
    <row r="229" spans="1:5">
      <c r="A229" s="5">
        <v>72004005</v>
      </c>
      <c r="B229" s="6" t="s">
        <v>989</v>
      </c>
      <c r="C229" s="25">
        <v>22000</v>
      </c>
      <c r="D229" s="1">
        <f t="shared" si="8"/>
        <v>12100.000000000002</v>
      </c>
      <c r="E229" s="3"/>
    </row>
    <row r="230" spans="1:5">
      <c r="A230" s="5">
        <v>72004014</v>
      </c>
      <c r="B230" s="6" t="s">
        <v>990</v>
      </c>
      <c r="C230" s="25">
        <v>22000</v>
      </c>
      <c r="D230" s="1">
        <f t="shared" si="8"/>
        <v>12100.000000000002</v>
      </c>
      <c r="E230" s="3"/>
    </row>
    <row r="231" spans="1:5">
      <c r="A231" s="5">
        <v>72004015</v>
      </c>
      <c r="B231" s="6" t="s">
        <v>991</v>
      </c>
      <c r="C231" s="25">
        <v>22000</v>
      </c>
      <c r="D231" s="1">
        <f t="shared" si="8"/>
        <v>12100.000000000002</v>
      </c>
      <c r="E231" s="3"/>
    </row>
    <row r="232" spans="1:5">
      <c r="A232" s="5">
        <v>72004018</v>
      </c>
      <c r="B232" s="6" t="s">
        <v>992</v>
      </c>
      <c r="C232" s="25">
        <v>22000</v>
      </c>
      <c r="D232" s="1">
        <f t="shared" si="8"/>
        <v>12100.000000000002</v>
      </c>
      <c r="E232" s="3"/>
    </row>
    <row r="233" spans="1:5">
      <c r="A233" s="5">
        <v>72004019</v>
      </c>
      <c r="B233" s="6" t="s">
        <v>993</v>
      </c>
      <c r="C233" s="25">
        <v>22000</v>
      </c>
      <c r="D233" s="1">
        <f t="shared" si="8"/>
        <v>12100.000000000002</v>
      </c>
      <c r="E233" s="3"/>
    </row>
    <row r="234" spans="1:5">
      <c r="A234" s="5">
        <v>72004021</v>
      </c>
      <c r="B234" s="6" t="s">
        <v>994</v>
      </c>
      <c r="C234" s="25">
        <v>22000</v>
      </c>
      <c r="D234" s="1">
        <f t="shared" si="8"/>
        <v>12100.000000000002</v>
      </c>
      <c r="E234" s="3"/>
    </row>
    <row r="235" spans="1:5">
      <c r="A235" s="5">
        <v>72004024</v>
      </c>
      <c r="B235" s="6" t="s">
        <v>995</v>
      </c>
      <c r="C235" s="25">
        <v>22000</v>
      </c>
      <c r="D235" s="1">
        <f t="shared" si="8"/>
        <v>12100.000000000002</v>
      </c>
      <c r="E235" s="3"/>
    </row>
    <row r="236" spans="1:5">
      <c r="A236" s="5">
        <v>72004027</v>
      </c>
      <c r="B236" s="6" t="s">
        <v>996</v>
      </c>
      <c r="C236" s="25">
        <v>22000</v>
      </c>
      <c r="D236" s="1">
        <f t="shared" si="8"/>
        <v>12100.000000000002</v>
      </c>
      <c r="E236" s="3"/>
    </row>
    <row r="237" spans="1:5">
      <c r="A237" s="5">
        <v>72004029</v>
      </c>
      <c r="B237" s="6" t="s">
        <v>997</v>
      </c>
      <c r="C237" s="25">
        <v>22000</v>
      </c>
      <c r="D237" s="1">
        <f t="shared" si="8"/>
        <v>12100.000000000002</v>
      </c>
      <c r="E237" s="3"/>
    </row>
    <row r="238" spans="1:5">
      <c r="A238" s="5">
        <v>72004040</v>
      </c>
      <c r="B238" s="6" t="s">
        <v>998</v>
      </c>
      <c r="C238" s="25">
        <v>22000</v>
      </c>
      <c r="D238" s="1">
        <f t="shared" si="8"/>
        <v>12100.000000000002</v>
      </c>
      <c r="E238" s="3"/>
    </row>
    <row r="239" spans="1:5">
      <c r="A239" s="5">
        <v>72004041</v>
      </c>
      <c r="B239" s="6" t="s">
        <v>999</v>
      </c>
      <c r="C239" s="25">
        <v>22000</v>
      </c>
      <c r="D239" s="1">
        <f t="shared" si="8"/>
        <v>12100.000000000002</v>
      </c>
      <c r="E239" s="3"/>
    </row>
    <row r="240" spans="1:5">
      <c r="A240" s="5">
        <v>72004042</v>
      </c>
      <c r="B240" s="6" t="s">
        <v>1000</v>
      </c>
      <c r="C240" s="25">
        <v>22000</v>
      </c>
      <c r="D240" s="1">
        <f t="shared" si="8"/>
        <v>12100.000000000002</v>
      </c>
      <c r="E240" s="3"/>
    </row>
    <row r="241" spans="1:5">
      <c r="A241" s="5">
        <v>72004043</v>
      </c>
      <c r="B241" s="6" t="s">
        <v>1001</v>
      </c>
      <c r="C241" s="25">
        <v>22000</v>
      </c>
      <c r="D241" s="1">
        <f t="shared" si="8"/>
        <v>12100.000000000002</v>
      </c>
      <c r="E241" s="3"/>
    </row>
    <row r="242" spans="1:5">
      <c r="A242" s="5">
        <v>72004045</v>
      </c>
      <c r="B242" s="6" t="s">
        <v>1002</v>
      </c>
      <c r="C242" s="25">
        <v>22000</v>
      </c>
      <c r="D242" s="1">
        <f t="shared" si="8"/>
        <v>12100.000000000002</v>
      </c>
      <c r="E242" s="3"/>
    </row>
    <row r="243" spans="1:5">
      <c r="A243" s="5">
        <v>72004047</v>
      </c>
      <c r="B243" s="6" t="s">
        <v>1003</v>
      </c>
      <c r="C243" s="25">
        <v>22000</v>
      </c>
      <c r="D243" s="1">
        <f t="shared" si="8"/>
        <v>12100.000000000002</v>
      </c>
      <c r="E243" s="3"/>
    </row>
    <row r="244" spans="1:5">
      <c r="A244" s="5">
        <v>72004050</v>
      </c>
      <c r="B244" s="6" t="s">
        <v>1004</v>
      </c>
      <c r="C244" s="25">
        <v>22000</v>
      </c>
      <c r="D244" s="1">
        <f t="shared" si="8"/>
        <v>12100.000000000002</v>
      </c>
      <c r="E244" s="3"/>
    </row>
    <row r="245" spans="1:5">
      <c r="A245" s="5">
        <v>72004052</v>
      </c>
      <c r="B245" s="6" t="s">
        <v>1005</v>
      </c>
      <c r="C245" s="25">
        <v>22000</v>
      </c>
      <c r="D245" s="1">
        <f t="shared" si="8"/>
        <v>12100.000000000002</v>
      </c>
      <c r="E245" s="3"/>
    </row>
    <row r="246" spans="1:5">
      <c r="A246" s="5">
        <v>72004060</v>
      </c>
      <c r="B246" s="6" t="s">
        <v>1006</v>
      </c>
      <c r="C246" s="25">
        <v>22000</v>
      </c>
      <c r="D246" s="1">
        <f t="shared" si="8"/>
        <v>12100.000000000002</v>
      </c>
      <c r="E246" s="3"/>
    </row>
    <row r="247" spans="1:5">
      <c r="A247" s="5">
        <v>72004064</v>
      </c>
      <c r="B247" s="6" t="s">
        <v>1007</v>
      </c>
      <c r="C247" s="25">
        <v>22000</v>
      </c>
      <c r="D247" s="1">
        <f t="shared" si="8"/>
        <v>12100.000000000002</v>
      </c>
      <c r="E247" s="3"/>
    </row>
    <row r="248" spans="1:5">
      <c r="A248" s="5">
        <v>72004070</v>
      </c>
      <c r="B248" s="6" t="s">
        <v>1008</v>
      </c>
      <c r="C248" s="25">
        <v>22000</v>
      </c>
      <c r="D248" s="1">
        <f t="shared" si="8"/>
        <v>12100.000000000002</v>
      </c>
      <c r="E248" s="3"/>
    </row>
    <row r="249" spans="1:5">
      <c r="A249" s="5">
        <v>72004072</v>
      </c>
      <c r="B249" s="6" t="s">
        <v>1009</v>
      </c>
      <c r="C249" s="25">
        <v>22000</v>
      </c>
      <c r="D249" s="1">
        <f t="shared" si="8"/>
        <v>12100.000000000002</v>
      </c>
      <c r="E249" s="3"/>
    </row>
    <row r="250" spans="1:5">
      <c r="A250" s="5">
        <v>72004075</v>
      </c>
      <c r="B250" s="6" t="s">
        <v>1010</v>
      </c>
      <c r="C250" s="25">
        <v>22000</v>
      </c>
      <c r="D250" s="1">
        <f t="shared" si="8"/>
        <v>12100.000000000002</v>
      </c>
      <c r="E250" s="3"/>
    </row>
    <row r="251" spans="1:5">
      <c r="A251" s="5">
        <v>72004080</v>
      </c>
      <c r="B251" s="6" t="s">
        <v>1011</v>
      </c>
      <c r="C251" s="25">
        <v>22000</v>
      </c>
      <c r="D251" s="1">
        <f t="shared" si="8"/>
        <v>12100.000000000002</v>
      </c>
      <c r="E251" s="3"/>
    </row>
    <row r="252" spans="1:5">
      <c r="A252" s="5">
        <v>72004081</v>
      </c>
      <c r="B252" s="6" t="s">
        <v>1012</v>
      </c>
      <c r="C252" s="25">
        <v>22000</v>
      </c>
      <c r="D252" s="1">
        <f t="shared" si="8"/>
        <v>12100.000000000002</v>
      </c>
      <c r="E252" s="3"/>
    </row>
    <row r="253" spans="1:5">
      <c r="A253" s="5">
        <v>72004082</v>
      </c>
      <c r="B253" s="6" t="s">
        <v>1013</v>
      </c>
      <c r="C253" s="25">
        <v>22000</v>
      </c>
      <c r="D253" s="1">
        <f t="shared" si="8"/>
        <v>12100.000000000002</v>
      </c>
      <c r="E253" s="3"/>
    </row>
    <row r="254" spans="1:5">
      <c r="A254" s="5">
        <v>72004093</v>
      </c>
      <c r="B254" s="6" t="s">
        <v>1014</v>
      </c>
      <c r="C254" s="25">
        <v>22000</v>
      </c>
      <c r="D254" s="1">
        <f t="shared" si="8"/>
        <v>12100.000000000002</v>
      </c>
      <c r="E254" s="3"/>
    </row>
    <row r="255" spans="1:5">
      <c r="A255" s="5">
        <v>72004101</v>
      </c>
      <c r="B255" s="6" t="s">
        <v>1015</v>
      </c>
      <c r="C255" s="25">
        <v>22000</v>
      </c>
      <c r="D255" s="1">
        <f t="shared" si="8"/>
        <v>12100.000000000002</v>
      </c>
      <c r="E255" s="3"/>
    </row>
    <row r="256" spans="1:5">
      <c r="A256" s="5">
        <v>72004105</v>
      </c>
      <c r="B256" s="6" t="s">
        <v>1016</v>
      </c>
      <c r="C256" s="25">
        <v>22000</v>
      </c>
      <c r="D256" s="1">
        <f t="shared" si="8"/>
        <v>12100.000000000002</v>
      </c>
      <c r="E256" s="3"/>
    </row>
    <row r="257" spans="1:5">
      <c r="A257" s="5">
        <v>72004141</v>
      </c>
      <c r="B257" s="6" t="s">
        <v>1017</v>
      </c>
      <c r="C257" s="25">
        <v>22000</v>
      </c>
      <c r="D257" s="1">
        <f t="shared" si="8"/>
        <v>12100.000000000002</v>
      </c>
      <c r="E257" s="3"/>
    </row>
    <row r="258" spans="1:5">
      <c r="A258" s="5">
        <v>72004142</v>
      </c>
      <c r="B258" s="6" t="s">
        <v>1018</v>
      </c>
      <c r="C258" s="25">
        <v>22000</v>
      </c>
      <c r="D258" s="1">
        <f t="shared" si="8"/>
        <v>12100.000000000002</v>
      </c>
      <c r="E258" s="3"/>
    </row>
    <row r="259" spans="1:5">
      <c r="A259" s="5">
        <v>72004143</v>
      </c>
      <c r="B259" s="6" t="s">
        <v>1019</v>
      </c>
      <c r="C259" s="25">
        <v>22000</v>
      </c>
      <c r="D259" s="1">
        <f t="shared" si="8"/>
        <v>12100.000000000002</v>
      </c>
      <c r="E259" s="3"/>
    </row>
    <row r="260" spans="1:5">
      <c r="A260" s="5">
        <v>72004150</v>
      </c>
      <c r="B260" s="6" t="s">
        <v>1020</v>
      </c>
      <c r="C260" s="25">
        <v>22000</v>
      </c>
      <c r="D260" s="1">
        <f t="shared" si="8"/>
        <v>12100.000000000002</v>
      </c>
      <c r="E260" s="3"/>
    </row>
    <row r="261" spans="1:5">
      <c r="A261" s="5">
        <v>72004155</v>
      </c>
      <c r="B261" s="6" t="s">
        <v>1021</v>
      </c>
      <c r="C261" s="25">
        <v>22000</v>
      </c>
      <c r="D261" s="1">
        <f t="shared" si="8"/>
        <v>12100.000000000002</v>
      </c>
      <c r="E261" s="3"/>
    </row>
    <row r="262" spans="1:5">
      <c r="A262" s="5">
        <v>72004156</v>
      </c>
      <c r="B262" s="6" t="s">
        <v>1022</v>
      </c>
      <c r="C262" s="25">
        <v>22000</v>
      </c>
      <c r="D262" s="1">
        <f t="shared" si="8"/>
        <v>12100.000000000002</v>
      </c>
      <c r="E262" s="3"/>
    </row>
    <row r="263" spans="1:5">
      <c r="A263" s="5">
        <v>72004157</v>
      </c>
      <c r="B263" s="6" t="s">
        <v>1023</v>
      </c>
      <c r="C263" s="25">
        <v>22000</v>
      </c>
      <c r="D263" s="1">
        <f t="shared" si="8"/>
        <v>12100.000000000002</v>
      </c>
      <c r="E263" s="3"/>
    </row>
    <row r="264" spans="1:5">
      <c r="A264" s="5">
        <v>72004159</v>
      </c>
      <c r="B264" s="6" t="s">
        <v>1024</v>
      </c>
      <c r="C264" s="25">
        <v>22000</v>
      </c>
      <c r="D264" s="1">
        <f t="shared" si="8"/>
        <v>12100.000000000002</v>
      </c>
      <c r="E264" s="3"/>
    </row>
    <row r="265" spans="1:5">
      <c r="A265" s="5">
        <v>72004160</v>
      </c>
      <c r="B265" s="6" t="s">
        <v>1025</v>
      </c>
      <c r="C265" s="25">
        <v>22000</v>
      </c>
      <c r="D265" s="1">
        <f t="shared" ref="D265:D310" si="9">C265*0.55</f>
        <v>12100.000000000002</v>
      </c>
      <c r="E265" s="3"/>
    </row>
    <row r="266" spans="1:5">
      <c r="A266" s="5">
        <v>72004161</v>
      </c>
      <c r="B266" s="6" t="s">
        <v>1026</v>
      </c>
      <c r="C266" s="25">
        <v>22000</v>
      </c>
      <c r="D266" s="1">
        <f t="shared" si="9"/>
        <v>12100.000000000002</v>
      </c>
      <c r="E266" s="3"/>
    </row>
    <row r="267" spans="1:5">
      <c r="A267" s="5">
        <v>72004162</v>
      </c>
      <c r="B267" s="6" t="s">
        <v>1027</v>
      </c>
      <c r="C267" s="25">
        <v>22000</v>
      </c>
      <c r="D267" s="1">
        <f t="shared" si="9"/>
        <v>12100.000000000002</v>
      </c>
      <c r="E267" s="3"/>
    </row>
    <row r="268" spans="1:5">
      <c r="A268" s="5">
        <v>72004163</v>
      </c>
      <c r="B268" s="6" t="s">
        <v>1028</v>
      </c>
      <c r="C268" s="25">
        <v>22000</v>
      </c>
      <c r="D268" s="1">
        <f t="shared" si="9"/>
        <v>12100.000000000002</v>
      </c>
      <c r="E268" s="3"/>
    </row>
    <row r="269" spans="1:5">
      <c r="A269" s="5">
        <v>72004165</v>
      </c>
      <c r="B269" s="6" t="s">
        <v>1029</v>
      </c>
      <c r="C269" s="25">
        <v>22000</v>
      </c>
      <c r="D269" s="1">
        <f t="shared" si="9"/>
        <v>12100.000000000002</v>
      </c>
      <c r="E269" s="3"/>
    </row>
    <row r="270" spans="1:5">
      <c r="A270" s="5">
        <v>72004166</v>
      </c>
      <c r="B270" s="6" t="s">
        <v>1030</v>
      </c>
      <c r="C270" s="25">
        <v>22000</v>
      </c>
      <c r="D270" s="1">
        <f t="shared" si="9"/>
        <v>12100.000000000002</v>
      </c>
      <c r="E270" s="3"/>
    </row>
    <row r="271" spans="1:5">
      <c r="A271" s="5">
        <v>72004167</v>
      </c>
      <c r="B271" s="6" t="s">
        <v>1031</v>
      </c>
      <c r="C271" s="25">
        <v>22000</v>
      </c>
      <c r="D271" s="1">
        <f t="shared" si="9"/>
        <v>12100.000000000002</v>
      </c>
      <c r="E271" s="3"/>
    </row>
    <row r="272" spans="1:5">
      <c r="A272" s="5">
        <v>72004168</v>
      </c>
      <c r="B272" s="6" t="s">
        <v>1032</v>
      </c>
      <c r="C272" s="25">
        <v>22000</v>
      </c>
      <c r="D272" s="1">
        <f t="shared" si="9"/>
        <v>12100.000000000002</v>
      </c>
      <c r="E272" s="3"/>
    </row>
    <row r="273" spans="1:5">
      <c r="A273" s="5">
        <v>72004169</v>
      </c>
      <c r="B273" s="6" t="s">
        <v>1033</v>
      </c>
      <c r="C273" s="25">
        <v>22000</v>
      </c>
      <c r="D273" s="1">
        <f t="shared" si="9"/>
        <v>12100.000000000002</v>
      </c>
      <c r="E273" s="3"/>
    </row>
    <row r="274" spans="1:5">
      <c r="A274" s="5">
        <v>72004170</v>
      </c>
      <c r="B274" s="6" t="s">
        <v>1034</v>
      </c>
      <c r="C274" s="25">
        <v>22000</v>
      </c>
      <c r="D274" s="1">
        <f t="shared" si="9"/>
        <v>12100.000000000002</v>
      </c>
      <c r="E274" s="3"/>
    </row>
    <row r="275" spans="1:5">
      <c r="A275" s="5">
        <v>72004171</v>
      </c>
      <c r="B275" s="6" t="s">
        <v>1035</v>
      </c>
      <c r="C275" s="25">
        <v>22000</v>
      </c>
      <c r="D275" s="1">
        <f t="shared" si="9"/>
        <v>12100.000000000002</v>
      </c>
      <c r="E275" s="3"/>
    </row>
    <row r="276" spans="1:5">
      <c r="A276" s="5">
        <v>72004172</v>
      </c>
      <c r="B276" s="6" t="s">
        <v>1036</v>
      </c>
      <c r="C276" s="25">
        <v>22000</v>
      </c>
      <c r="D276" s="1">
        <f t="shared" si="9"/>
        <v>12100.000000000002</v>
      </c>
      <c r="E276" s="3"/>
    </row>
    <row r="277" spans="1:5">
      <c r="A277" s="5">
        <v>72004174</v>
      </c>
      <c r="B277" s="6" t="s">
        <v>1037</v>
      </c>
      <c r="C277" s="25">
        <v>22000</v>
      </c>
      <c r="D277" s="1">
        <f t="shared" si="9"/>
        <v>12100.000000000002</v>
      </c>
      <c r="E277" s="3"/>
    </row>
    <row r="278" spans="1:5">
      <c r="A278" s="5">
        <v>72004175</v>
      </c>
      <c r="B278" s="6" t="s">
        <v>1038</v>
      </c>
      <c r="C278" s="25">
        <v>22000</v>
      </c>
      <c r="D278" s="1">
        <f t="shared" si="9"/>
        <v>12100.000000000002</v>
      </c>
      <c r="E278" s="3"/>
    </row>
    <row r="279" spans="1:5">
      <c r="A279" s="5">
        <v>72004176</v>
      </c>
      <c r="B279" s="6" t="s">
        <v>1039</v>
      </c>
      <c r="C279" s="25">
        <v>22000</v>
      </c>
      <c r="D279" s="1">
        <f t="shared" si="9"/>
        <v>12100.000000000002</v>
      </c>
      <c r="E279" s="3"/>
    </row>
    <row r="280" spans="1:5">
      <c r="A280" s="5">
        <v>72004177</v>
      </c>
      <c r="B280" s="6" t="s">
        <v>1040</v>
      </c>
      <c r="C280" s="25">
        <v>22000</v>
      </c>
      <c r="D280" s="1">
        <f t="shared" si="9"/>
        <v>12100.000000000002</v>
      </c>
      <c r="E280" s="3"/>
    </row>
    <row r="281" spans="1:5">
      <c r="A281" s="5">
        <v>72004178</v>
      </c>
      <c r="B281" s="6" t="s">
        <v>1041</v>
      </c>
      <c r="C281" s="25">
        <v>22000</v>
      </c>
      <c r="D281" s="1">
        <f t="shared" si="9"/>
        <v>12100.000000000002</v>
      </c>
      <c r="E281" s="3"/>
    </row>
    <row r="282" spans="1:5">
      <c r="A282" s="5">
        <v>72004179</v>
      </c>
      <c r="B282" s="6" t="s">
        <v>1042</v>
      </c>
      <c r="C282" s="25">
        <v>22000</v>
      </c>
      <c r="D282" s="1">
        <f t="shared" si="9"/>
        <v>12100.000000000002</v>
      </c>
      <c r="E282" s="3"/>
    </row>
    <row r="283" spans="1:5">
      <c r="A283" s="5">
        <v>72004180</v>
      </c>
      <c r="B283" s="6" t="s">
        <v>1043</v>
      </c>
      <c r="C283" s="25">
        <v>22000</v>
      </c>
      <c r="D283" s="1">
        <f t="shared" si="9"/>
        <v>12100.000000000002</v>
      </c>
      <c r="E283" s="3"/>
    </row>
    <row r="284" spans="1:5">
      <c r="A284" s="5">
        <v>72004181</v>
      </c>
      <c r="B284" s="6" t="s">
        <v>1044</v>
      </c>
      <c r="C284" s="25">
        <v>22000</v>
      </c>
      <c r="D284" s="1">
        <f t="shared" si="9"/>
        <v>12100.000000000002</v>
      </c>
      <c r="E284" s="3"/>
    </row>
    <row r="285" spans="1:5">
      <c r="A285" s="5">
        <v>72004182</v>
      </c>
      <c r="B285" s="6" t="s">
        <v>1045</v>
      </c>
      <c r="C285" s="25">
        <v>22000</v>
      </c>
      <c r="D285" s="1">
        <f t="shared" si="9"/>
        <v>12100.000000000002</v>
      </c>
      <c r="E285" s="3"/>
    </row>
    <row r="286" spans="1:5">
      <c r="A286" s="5">
        <v>72004183</v>
      </c>
      <c r="B286" s="6" t="s">
        <v>1046</v>
      </c>
      <c r="C286" s="25">
        <v>22000</v>
      </c>
      <c r="D286" s="1">
        <f t="shared" si="9"/>
        <v>12100.000000000002</v>
      </c>
      <c r="E286" s="3"/>
    </row>
    <row r="287" spans="1:5">
      <c r="A287" s="5">
        <v>72004184</v>
      </c>
      <c r="B287" s="6" t="s">
        <v>1047</v>
      </c>
      <c r="C287" s="25">
        <v>22000</v>
      </c>
      <c r="D287" s="1">
        <f t="shared" si="9"/>
        <v>12100.000000000002</v>
      </c>
      <c r="E287" s="3"/>
    </row>
    <row r="288" spans="1:5">
      <c r="A288" s="5">
        <v>72004185</v>
      </c>
      <c r="B288" s="6" t="s">
        <v>1048</v>
      </c>
      <c r="C288" s="25">
        <v>22000</v>
      </c>
      <c r="D288" s="1">
        <f t="shared" si="9"/>
        <v>12100.000000000002</v>
      </c>
      <c r="E288" s="3"/>
    </row>
    <row r="289" spans="1:5">
      <c r="A289" s="5">
        <v>72004186</v>
      </c>
      <c r="B289" s="6" t="s">
        <v>1049</v>
      </c>
      <c r="C289" s="25">
        <v>22000</v>
      </c>
      <c r="D289" s="1">
        <f t="shared" si="9"/>
        <v>12100.000000000002</v>
      </c>
      <c r="E289" s="3"/>
    </row>
    <row r="290" spans="1:5">
      <c r="A290" s="5">
        <v>72004187</v>
      </c>
      <c r="B290" s="6" t="s">
        <v>1050</v>
      </c>
      <c r="C290" s="25">
        <v>22000</v>
      </c>
      <c r="D290" s="1">
        <f t="shared" si="9"/>
        <v>12100.000000000002</v>
      </c>
      <c r="E290" s="3"/>
    </row>
    <row r="291" spans="1:5">
      <c r="A291" s="5">
        <v>72004188</v>
      </c>
      <c r="B291" s="6" t="s">
        <v>1051</v>
      </c>
      <c r="C291" s="25">
        <v>22000</v>
      </c>
      <c r="D291" s="1">
        <f t="shared" si="9"/>
        <v>12100.000000000002</v>
      </c>
      <c r="E291" s="3"/>
    </row>
    <row r="292" spans="1:5">
      <c r="A292" s="5">
        <v>72004189</v>
      </c>
      <c r="B292" s="6" t="s">
        <v>1052</v>
      </c>
      <c r="C292" s="25">
        <v>22000</v>
      </c>
      <c r="D292" s="1">
        <f t="shared" si="9"/>
        <v>12100.000000000002</v>
      </c>
      <c r="E292" s="3"/>
    </row>
    <row r="293" spans="1:5">
      <c r="A293" s="5">
        <v>72004190</v>
      </c>
      <c r="B293" s="6" t="s">
        <v>1053</v>
      </c>
      <c r="C293" s="25">
        <v>22000</v>
      </c>
      <c r="D293" s="1">
        <f t="shared" si="9"/>
        <v>12100.000000000002</v>
      </c>
      <c r="E293" s="3"/>
    </row>
    <row r="294" spans="1:5">
      <c r="A294" s="5">
        <v>72004191</v>
      </c>
      <c r="B294" s="6" t="s">
        <v>1054</v>
      </c>
      <c r="C294" s="25">
        <v>22000</v>
      </c>
      <c r="D294" s="1">
        <f t="shared" si="9"/>
        <v>12100.000000000002</v>
      </c>
      <c r="E294" s="3"/>
    </row>
    <row r="295" spans="1:5">
      <c r="A295" s="5">
        <v>72004194</v>
      </c>
      <c r="B295" s="6" t="s">
        <v>1055</v>
      </c>
      <c r="C295" s="25">
        <v>22000</v>
      </c>
      <c r="D295" s="1">
        <f t="shared" si="9"/>
        <v>12100.000000000002</v>
      </c>
      <c r="E295" s="3"/>
    </row>
    <row r="296" spans="1:5">
      <c r="A296" s="5">
        <v>72004196</v>
      </c>
      <c r="B296" s="6" t="s">
        <v>1056</v>
      </c>
      <c r="C296" s="25">
        <v>22000</v>
      </c>
      <c r="D296" s="1">
        <f t="shared" si="9"/>
        <v>12100.000000000002</v>
      </c>
      <c r="E296" s="3"/>
    </row>
    <row r="297" spans="1:5">
      <c r="A297" s="5">
        <v>72004197</v>
      </c>
      <c r="B297" s="6" t="s">
        <v>1057</v>
      </c>
      <c r="C297" s="25">
        <v>22000</v>
      </c>
      <c r="D297" s="1">
        <f t="shared" si="9"/>
        <v>12100.000000000002</v>
      </c>
      <c r="E297" s="3"/>
    </row>
    <row r="298" spans="1:5">
      <c r="A298" s="5">
        <v>72004198</v>
      </c>
      <c r="B298" s="6" t="s">
        <v>1058</v>
      </c>
      <c r="C298" s="25">
        <v>22000</v>
      </c>
      <c r="D298" s="1">
        <f t="shared" si="9"/>
        <v>12100.000000000002</v>
      </c>
      <c r="E298" s="3"/>
    </row>
    <row r="299" spans="1:5">
      <c r="A299" s="5">
        <v>72004260</v>
      </c>
      <c r="B299" s="6" t="s">
        <v>1059</v>
      </c>
      <c r="C299" s="25">
        <v>22000</v>
      </c>
      <c r="D299" s="1">
        <f t="shared" si="9"/>
        <v>12100.000000000002</v>
      </c>
      <c r="E299" s="3"/>
    </row>
    <row r="300" spans="1:5">
      <c r="A300" s="5">
        <v>72004261</v>
      </c>
      <c r="B300" s="6" t="s">
        <v>1060</v>
      </c>
      <c r="C300" s="25">
        <v>22000</v>
      </c>
      <c r="D300" s="1">
        <f t="shared" si="9"/>
        <v>12100.000000000002</v>
      </c>
      <c r="E300" s="3"/>
    </row>
    <row r="301" spans="1:5">
      <c r="A301" s="5">
        <v>72004262</v>
      </c>
      <c r="B301" s="6" t="s">
        <v>1061</v>
      </c>
      <c r="C301" s="25">
        <v>22000</v>
      </c>
      <c r="D301" s="1">
        <f t="shared" si="9"/>
        <v>12100.000000000002</v>
      </c>
      <c r="E301" s="3"/>
    </row>
    <row r="302" spans="1:5">
      <c r="A302" s="5">
        <v>72004263</v>
      </c>
      <c r="B302" s="6" t="s">
        <v>1062</v>
      </c>
      <c r="C302" s="25">
        <v>22000</v>
      </c>
      <c r="D302" s="1">
        <f t="shared" si="9"/>
        <v>12100.000000000002</v>
      </c>
      <c r="E302" s="3"/>
    </row>
    <row r="303" spans="1:5">
      <c r="A303" s="5">
        <v>72004264</v>
      </c>
      <c r="B303" s="6" t="s">
        <v>1063</v>
      </c>
      <c r="C303" s="25">
        <v>22000</v>
      </c>
      <c r="D303" s="1">
        <f t="shared" si="9"/>
        <v>12100.000000000002</v>
      </c>
      <c r="E303" s="3"/>
    </row>
    <row r="304" spans="1:5">
      <c r="A304" s="5">
        <v>72004265</v>
      </c>
      <c r="B304" s="6" t="s">
        <v>1064</v>
      </c>
      <c r="C304" s="25">
        <v>22000</v>
      </c>
      <c r="D304" s="1">
        <f t="shared" si="9"/>
        <v>12100.000000000002</v>
      </c>
      <c r="E304" s="3"/>
    </row>
    <row r="305" spans="1:5">
      <c r="A305" s="5">
        <v>72004266</v>
      </c>
      <c r="B305" s="6" t="s">
        <v>1065</v>
      </c>
      <c r="C305" s="25">
        <v>22000</v>
      </c>
      <c r="D305" s="1">
        <f t="shared" si="9"/>
        <v>12100.000000000002</v>
      </c>
      <c r="E305" s="3"/>
    </row>
    <row r="306" spans="1:5">
      <c r="A306" s="5">
        <v>72004267</v>
      </c>
      <c r="B306" s="6" t="s">
        <v>1066</v>
      </c>
      <c r="C306" s="25">
        <v>22000</v>
      </c>
      <c r="D306" s="1">
        <f t="shared" si="9"/>
        <v>12100.000000000002</v>
      </c>
      <c r="E306" s="3"/>
    </row>
    <row r="307" spans="1:5">
      <c r="A307" s="5">
        <v>72004268</v>
      </c>
      <c r="B307" s="6" t="s">
        <v>1067</v>
      </c>
      <c r="C307" s="25">
        <v>22000</v>
      </c>
      <c r="D307" s="1">
        <f t="shared" si="9"/>
        <v>12100.000000000002</v>
      </c>
      <c r="E307" s="3"/>
    </row>
    <row r="308" spans="1:5">
      <c r="A308" s="5">
        <v>72004269</v>
      </c>
      <c r="B308" s="6" t="s">
        <v>1068</v>
      </c>
      <c r="C308" s="25">
        <v>22000</v>
      </c>
      <c r="D308" s="1">
        <f t="shared" si="9"/>
        <v>12100.000000000002</v>
      </c>
      <c r="E308" s="3"/>
    </row>
    <row r="309" spans="1:5">
      <c r="A309" s="5">
        <v>72004270</v>
      </c>
      <c r="B309" s="6" t="s">
        <v>1069</v>
      </c>
      <c r="C309" s="25">
        <v>22000</v>
      </c>
      <c r="D309" s="1">
        <f t="shared" si="9"/>
        <v>12100.000000000002</v>
      </c>
      <c r="E309" s="3"/>
    </row>
    <row r="310" spans="1:5">
      <c r="A310" s="5">
        <v>72004272</v>
      </c>
      <c r="B310" s="6" t="s">
        <v>1070</v>
      </c>
      <c r="C310" s="25">
        <v>22000</v>
      </c>
      <c r="D310" s="1">
        <f t="shared" si="9"/>
        <v>12100.000000000002</v>
      </c>
      <c r="E310" s="3"/>
    </row>
    <row r="311" spans="1:5">
      <c r="A311" s="67" t="s">
        <v>322</v>
      </c>
      <c r="B311" s="67"/>
      <c r="C311" s="67"/>
      <c r="D311" s="68"/>
      <c r="E311" s="3"/>
    </row>
    <row r="312" spans="1:5">
      <c r="A312" s="5">
        <v>82004000</v>
      </c>
      <c r="B312" s="6" t="s">
        <v>217</v>
      </c>
      <c r="C312" s="4">
        <v>9000</v>
      </c>
      <c r="D312" s="1">
        <f t="shared" ref="D312:D313" si="10">C312*0.55</f>
        <v>4950</v>
      </c>
      <c r="E312" s="3"/>
    </row>
    <row r="313" spans="1:5">
      <c r="A313" s="5" t="s">
        <v>218</v>
      </c>
      <c r="B313" s="6" t="s">
        <v>219</v>
      </c>
      <c r="C313" s="4">
        <v>18000</v>
      </c>
      <c r="D313" s="1">
        <f t="shared" si="10"/>
        <v>9900</v>
      </c>
      <c r="E313" s="3"/>
    </row>
    <row r="314" spans="1:5">
      <c r="A314" s="69" t="s">
        <v>323</v>
      </c>
      <c r="B314" s="69"/>
      <c r="C314" s="69"/>
      <c r="D314" s="70"/>
      <c r="E314" s="3"/>
    </row>
    <row r="315" spans="1:5">
      <c r="A315" s="5">
        <v>60004000</v>
      </c>
      <c r="B315" s="6" t="s">
        <v>220</v>
      </c>
      <c r="C315" s="4">
        <v>9800</v>
      </c>
      <c r="D315" s="1">
        <f t="shared" ref="D315:D319" si="11">C315*0.55</f>
        <v>5390</v>
      </c>
      <c r="E315" s="3"/>
    </row>
    <row r="316" spans="1:5">
      <c r="A316" s="5">
        <v>61504000</v>
      </c>
      <c r="B316" s="6" t="s">
        <v>221</v>
      </c>
      <c r="C316" s="4">
        <v>9800</v>
      </c>
      <c r="D316" s="1">
        <f t="shared" si="11"/>
        <v>5390</v>
      </c>
      <c r="E316" s="3"/>
    </row>
    <row r="317" spans="1:5">
      <c r="A317" s="5">
        <v>61004000</v>
      </c>
      <c r="B317" s="6" t="s">
        <v>222</v>
      </c>
      <c r="C317" s="4">
        <v>9800</v>
      </c>
      <c r="D317" s="1">
        <f t="shared" si="11"/>
        <v>5390</v>
      </c>
      <c r="E317" s="3"/>
    </row>
    <row r="318" spans="1:5">
      <c r="A318" s="5">
        <v>60504000</v>
      </c>
      <c r="B318" s="6" t="s">
        <v>223</v>
      </c>
      <c r="C318" s="4">
        <v>9800</v>
      </c>
      <c r="D318" s="1">
        <f t="shared" si="11"/>
        <v>5390</v>
      </c>
      <c r="E318" s="3"/>
    </row>
    <row r="319" spans="1:5">
      <c r="A319" s="5">
        <v>62004000</v>
      </c>
      <c r="B319" s="6" t="s">
        <v>224</v>
      </c>
      <c r="C319" s="4">
        <v>9800</v>
      </c>
      <c r="D319" s="1">
        <f t="shared" si="11"/>
        <v>5390</v>
      </c>
      <c r="E319" s="3"/>
    </row>
    <row r="320" spans="1:5">
      <c r="A320" s="69" t="s">
        <v>324</v>
      </c>
      <c r="B320" s="69"/>
      <c r="C320" s="69"/>
      <c r="D320" s="70"/>
      <c r="E320" s="3"/>
    </row>
    <row r="321" spans="1:5">
      <c r="A321" s="63">
        <v>84008000</v>
      </c>
      <c r="B321" s="64" t="s">
        <v>225</v>
      </c>
      <c r="C321" s="62">
        <v>12000</v>
      </c>
      <c r="D321" s="62">
        <f t="shared" ref="D321:D331" si="12">C321*0.55</f>
        <v>6600.0000000000009</v>
      </c>
      <c r="E321" s="60"/>
    </row>
    <row r="322" spans="1:5">
      <c r="A322" s="65" t="s">
        <v>226</v>
      </c>
      <c r="B322" s="65" t="s">
        <v>226</v>
      </c>
      <c r="C322" s="62">
        <v>22000</v>
      </c>
      <c r="D322" s="62">
        <f t="shared" si="12"/>
        <v>12100.000000000002</v>
      </c>
      <c r="E322" s="60"/>
    </row>
    <row r="323" spans="1:5">
      <c r="A323" s="64" t="s">
        <v>227</v>
      </c>
      <c r="B323" s="64" t="s">
        <v>228</v>
      </c>
      <c r="C323" s="62">
        <v>12000</v>
      </c>
      <c r="D323" s="62">
        <f t="shared" si="12"/>
        <v>6600.0000000000009</v>
      </c>
      <c r="E323" s="60"/>
    </row>
    <row r="324" spans="1:5">
      <c r="A324" s="5">
        <v>81003000</v>
      </c>
      <c r="B324" s="6" t="s">
        <v>229</v>
      </c>
      <c r="C324" s="4">
        <v>10000</v>
      </c>
      <c r="D324" s="1">
        <f t="shared" si="12"/>
        <v>5500</v>
      </c>
      <c r="E324" s="3"/>
    </row>
    <row r="325" spans="1:5">
      <c r="A325" s="5">
        <v>85304000</v>
      </c>
      <c r="B325" s="6" t="s">
        <v>232</v>
      </c>
      <c r="C325" s="4">
        <v>10000</v>
      </c>
      <c r="D325" s="1">
        <f t="shared" si="12"/>
        <v>5500</v>
      </c>
      <c r="E325" s="3"/>
    </row>
    <row r="326" spans="1:5">
      <c r="A326" s="5">
        <v>86104000</v>
      </c>
      <c r="B326" s="6" t="s">
        <v>233</v>
      </c>
      <c r="C326" s="4">
        <v>10000</v>
      </c>
      <c r="D326" s="1">
        <f t="shared" si="12"/>
        <v>5500</v>
      </c>
      <c r="E326" s="3"/>
    </row>
    <row r="327" spans="1:5">
      <c r="A327" s="21" t="s">
        <v>307</v>
      </c>
      <c r="B327" s="22" t="s">
        <v>308</v>
      </c>
      <c r="C327" s="1">
        <v>7000</v>
      </c>
      <c r="D327" s="1">
        <f t="shared" si="12"/>
        <v>3850.0000000000005</v>
      </c>
      <c r="E327" s="3"/>
    </row>
    <row r="328" spans="1:5">
      <c r="A328" s="3">
        <v>21208000</v>
      </c>
      <c r="B328" s="22" t="s">
        <v>309</v>
      </c>
      <c r="C328" s="4">
        <v>10000</v>
      </c>
      <c r="D328" s="1">
        <f t="shared" si="12"/>
        <v>5500</v>
      </c>
      <c r="E328" s="3"/>
    </row>
    <row r="329" spans="1:5">
      <c r="A329" s="60" t="s">
        <v>310</v>
      </c>
      <c r="B329" s="61" t="s">
        <v>311</v>
      </c>
      <c r="C329" s="62">
        <v>10000</v>
      </c>
      <c r="D329" s="62">
        <f t="shared" si="12"/>
        <v>5500</v>
      </c>
      <c r="E329" s="60"/>
    </row>
    <row r="330" spans="1:5">
      <c r="A330" s="60" t="s">
        <v>312</v>
      </c>
      <c r="B330" s="61" t="s">
        <v>313</v>
      </c>
      <c r="C330" s="62">
        <v>5000</v>
      </c>
      <c r="D330" s="62">
        <f t="shared" si="12"/>
        <v>2750</v>
      </c>
      <c r="E330" s="60"/>
    </row>
    <row r="331" spans="1:5">
      <c r="A331" s="60" t="s">
        <v>314</v>
      </c>
      <c r="B331" s="61" t="s">
        <v>315</v>
      </c>
      <c r="C331" s="62">
        <v>25000</v>
      </c>
      <c r="D331" s="62">
        <f t="shared" si="12"/>
        <v>13750.000000000002</v>
      </c>
      <c r="E331" s="60"/>
    </row>
    <row r="332" spans="1:5">
      <c r="A332" s="69" t="s">
        <v>325</v>
      </c>
      <c r="B332" s="69"/>
      <c r="C332" s="69"/>
      <c r="D332" s="70"/>
      <c r="E332" s="3"/>
    </row>
    <row r="333" spans="1:5">
      <c r="A333" s="63" t="s">
        <v>234</v>
      </c>
      <c r="B333" s="64" t="s">
        <v>235</v>
      </c>
      <c r="C333" s="62">
        <v>12000</v>
      </c>
      <c r="D333" s="62">
        <f t="shared" ref="D333:D335" si="13">C333*0.55</f>
        <v>6600.0000000000009</v>
      </c>
      <c r="E333" s="60"/>
    </row>
    <row r="334" spans="1:5">
      <c r="A334" s="63">
        <v>85205000</v>
      </c>
      <c r="B334" s="64" t="s">
        <v>236</v>
      </c>
      <c r="C334" s="62">
        <v>14000</v>
      </c>
      <c r="D334" s="62">
        <f t="shared" si="13"/>
        <v>7700.0000000000009</v>
      </c>
      <c r="E334" s="60"/>
    </row>
    <row r="335" spans="1:5">
      <c r="A335" s="5">
        <v>85004000</v>
      </c>
      <c r="B335" s="6" t="s">
        <v>237</v>
      </c>
      <c r="C335" s="4">
        <v>8000</v>
      </c>
      <c r="D335" s="1">
        <f t="shared" si="13"/>
        <v>4400</v>
      </c>
      <c r="E335" s="3"/>
    </row>
    <row r="336" spans="1:5">
      <c r="A336" s="67" t="s">
        <v>326</v>
      </c>
      <c r="B336" s="67"/>
      <c r="C336" s="67"/>
      <c r="D336" s="68"/>
      <c r="E336" s="3"/>
    </row>
    <row r="337" spans="1:5">
      <c r="A337" s="5">
        <v>72201000</v>
      </c>
      <c r="B337" s="6" t="s">
        <v>238</v>
      </c>
      <c r="C337" s="4">
        <v>7800</v>
      </c>
      <c r="D337" s="1">
        <f t="shared" ref="D337:D338" si="14">C337*0.55</f>
        <v>4290</v>
      </c>
      <c r="E337" s="3"/>
    </row>
    <row r="338" spans="1:5">
      <c r="A338" s="5">
        <v>72204000</v>
      </c>
      <c r="B338" s="6" t="s">
        <v>239</v>
      </c>
      <c r="C338" s="4">
        <v>22000</v>
      </c>
      <c r="D338" s="1">
        <f t="shared" si="14"/>
        <v>12100.000000000002</v>
      </c>
      <c r="E338" s="3"/>
    </row>
    <row r="339" spans="1:5">
      <c r="A339" s="69" t="s">
        <v>327</v>
      </c>
      <c r="B339" s="69"/>
      <c r="C339" s="69"/>
      <c r="D339" s="70"/>
      <c r="E339" s="3"/>
    </row>
    <row r="340" spans="1:5">
      <c r="A340" s="5">
        <v>72001000</v>
      </c>
      <c r="B340" s="6" t="s">
        <v>240</v>
      </c>
      <c r="C340" s="4">
        <v>7800</v>
      </c>
      <c r="D340" s="1">
        <f t="shared" ref="D340:D347" si="15">C340*0.55</f>
        <v>4290</v>
      </c>
      <c r="E340" s="3"/>
    </row>
    <row r="341" spans="1:5">
      <c r="A341" s="5">
        <v>72004000</v>
      </c>
      <c r="B341" s="6" t="s">
        <v>241</v>
      </c>
      <c r="C341" s="4">
        <v>22000</v>
      </c>
      <c r="D341" s="1">
        <f t="shared" si="15"/>
        <v>12100.000000000002</v>
      </c>
      <c r="E341" s="3"/>
    </row>
    <row r="342" spans="1:5">
      <c r="A342" s="5" t="s">
        <v>242</v>
      </c>
      <c r="B342" s="6" t="s">
        <v>241</v>
      </c>
      <c r="C342" s="4">
        <v>44000</v>
      </c>
      <c r="D342" s="1">
        <f t="shared" si="15"/>
        <v>24200.000000000004</v>
      </c>
      <c r="E342" s="3"/>
    </row>
    <row r="343" spans="1:5">
      <c r="A343" s="5" t="s">
        <v>243</v>
      </c>
      <c r="B343" s="6" t="s">
        <v>244</v>
      </c>
      <c r="C343" s="4">
        <f>40000/0.55</f>
        <v>72727.272727272721</v>
      </c>
      <c r="D343" s="1">
        <f t="shared" si="15"/>
        <v>40000</v>
      </c>
      <c r="E343" s="3"/>
    </row>
    <row r="344" spans="1:5">
      <c r="A344" s="11" t="s">
        <v>245</v>
      </c>
      <c r="B344" s="11" t="s">
        <v>246</v>
      </c>
      <c r="C344" s="4">
        <v>7800</v>
      </c>
      <c r="D344" s="1">
        <f t="shared" si="15"/>
        <v>4290</v>
      </c>
      <c r="E344" s="3"/>
    </row>
    <row r="345" spans="1:5">
      <c r="A345" s="11" t="s">
        <v>247</v>
      </c>
      <c r="B345" s="11" t="s">
        <v>248</v>
      </c>
      <c r="C345" s="4">
        <v>22000</v>
      </c>
      <c r="D345" s="1">
        <f t="shared" si="15"/>
        <v>12100.000000000002</v>
      </c>
      <c r="E345" s="3"/>
    </row>
    <row r="346" spans="1:5">
      <c r="A346" s="11" t="s">
        <v>249</v>
      </c>
      <c r="B346" s="11" t="s">
        <v>250</v>
      </c>
      <c r="C346" s="4">
        <v>7800</v>
      </c>
      <c r="D346" s="1">
        <f t="shared" si="15"/>
        <v>4290</v>
      </c>
      <c r="E346" s="3"/>
    </row>
    <row r="347" spans="1:5">
      <c r="A347" s="11" t="s">
        <v>251</v>
      </c>
      <c r="B347" s="11" t="s">
        <v>252</v>
      </c>
      <c r="C347" s="4">
        <v>22000</v>
      </c>
      <c r="D347" s="1">
        <f t="shared" si="15"/>
        <v>12100.000000000002</v>
      </c>
      <c r="E347" s="3"/>
    </row>
    <row r="348" spans="1:5">
      <c r="A348" s="69" t="s">
        <v>328</v>
      </c>
      <c r="B348" s="69"/>
      <c r="C348" s="69"/>
      <c r="D348" s="70"/>
      <c r="E348" s="3"/>
    </row>
    <row r="349" spans="1:5">
      <c r="A349" s="63" t="s">
        <v>253</v>
      </c>
      <c r="B349" s="64" t="s">
        <v>254</v>
      </c>
      <c r="C349" s="62">
        <v>12000</v>
      </c>
      <c r="D349" s="62">
        <f t="shared" ref="D349:D351" si="16">C349*0.55</f>
        <v>6600.0000000000009</v>
      </c>
      <c r="E349" s="60"/>
    </row>
    <row r="350" spans="1:5">
      <c r="A350" s="63" t="s">
        <v>255</v>
      </c>
      <c r="B350" s="64" t="s">
        <v>256</v>
      </c>
      <c r="C350" s="62">
        <v>8000</v>
      </c>
      <c r="D350" s="62">
        <f t="shared" si="16"/>
        <v>4400</v>
      </c>
      <c r="E350" s="60"/>
    </row>
    <row r="351" spans="1:5">
      <c r="A351" s="63">
        <v>21004000</v>
      </c>
      <c r="B351" s="64" t="s">
        <v>257</v>
      </c>
      <c r="C351" s="62">
        <v>10000</v>
      </c>
      <c r="D351" s="62">
        <f t="shared" si="16"/>
        <v>5500</v>
      </c>
      <c r="E351" s="60"/>
    </row>
    <row r="352" spans="1:5">
      <c r="A352" s="69" t="s">
        <v>329</v>
      </c>
      <c r="B352" s="69"/>
      <c r="C352" s="69"/>
      <c r="D352" s="70"/>
      <c r="E352" s="3"/>
    </row>
    <row r="353" spans="1:5">
      <c r="A353" s="63">
        <v>30203005</v>
      </c>
      <c r="B353" s="64" t="s">
        <v>258</v>
      </c>
      <c r="C353" s="62">
        <v>10000</v>
      </c>
      <c r="D353" s="62">
        <f t="shared" ref="D353" si="17">C353*0.55</f>
        <v>5500</v>
      </c>
      <c r="E353" s="60"/>
    </row>
    <row r="354" spans="1:5">
      <c r="A354" s="69" t="s">
        <v>977</v>
      </c>
      <c r="B354" s="69"/>
      <c r="C354" s="69"/>
      <c r="D354" s="70"/>
      <c r="E354" s="3"/>
    </row>
    <row r="355" spans="1:5">
      <c r="A355" s="63">
        <v>87504000</v>
      </c>
      <c r="B355" s="64" t="s">
        <v>978</v>
      </c>
      <c r="C355" s="62">
        <v>10000</v>
      </c>
      <c r="D355" s="62">
        <f t="shared" ref="D355" si="18">C355*0.55</f>
        <v>5500</v>
      </c>
      <c r="E355" s="60"/>
    </row>
    <row r="356" spans="1:5">
      <c r="A356" s="69" t="s">
        <v>330</v>
      </c>
      <c r="B356" s="69"/>
      <c r="C356" s="69"/>
      <c r="D356" s="70"/>
      <c r="E356" s="3"/>
    </row>
    <row r="357" spans="1:5">
      <c r="A357" s="5">
        <v>31003014</v>
      </c>
      <c r="B357" s="6" t="s">
        <v>259</v>
      </c>
      <c r="C357" s="4">
        <v>6000</v>
      </c>
      <c r="D357" s="1">
        <f t="shared" ref="D357:D362" si="19">C357*0.55</f>
        <v>3300.0000000000005</v>
      </c>
      <c r="E357" s="3"/>
    </row>
    <row r="358" spans="1:5">
      <c r="A358" s="5">
        <v>31003004</v>
      </c>
      <c r="B358" s="6" t="s">
        <v>260</v>
      </c>
      <c r="C358" s="4">
        <v>6000</v>
      </c>
      <c r="D358" s="1">
        <f t="shared" si="19"/>
        <v>3300.0000000000005</v>
      </c>
      <c r="E358" s="3"/>
    </row>
    <row r="359" spans="1:5">
      <c r="A359" s="5">
        <v>31003064</v>
      </c>
      <c r="B359" s="6" t="s">
        <v>261</v>
      </c>
      <c r="C359" s="4">
        <v>6000</v>
      </c>
      <c r="D359" s="1">
        <f t="shared" si="19"/>
        <v>3300.0000000000005</v>
      </c>
      <c r="E359" s="3"/>
    </row>
    <row r="360" spans="1:5">
      <c r="A360" s="5">
        <v>31003017</v>
      </c>
      <c r="B360" s="6" t="s">
        <v>262</v>
      </c>
      <c r="C360" s="4">
        <v>6000</v>
      </c>
      <c r="D360" s="1">
        <f t="shared" si="19"/>
        <v>3300.0000000000005</v>
      </c>
      <c r="E360" s="3"/>
    </row>
    <row r="361" spans="1:5">
      <c r="A361" s="5">
        <v>31003005</v>
      </c>
      <c r="B361" s="6" t="s">
        <v>263</v>
      </c>
      <c r="C361" s="4">
        <v>6000</v>
      </c>
      <c r="D361" s="1">
        <f t="shared" si="19"/>
        <v>3300.0000000000005</v>
      </c>
      <c r="E361" s="3"/>
    </row>
    <row r="362" spans="1:5">
      <c r="A362" s="5">
        <v>31003001</v>
      </c>
      <c r="B362" s="6" t="s">
        <v>264</v>
      </c>
      <c r="C362" s="4">
        <v>6000</v>
      </c>
      <c r="D362" s="1">
        <f t="shared" si="19"/>
        <v>3300.0000000000005</v>
      </c>
      <c r="E362" s="3"/>
    </row>
    <row r="363" spans="1:5">
      <c r="A363" s="69" t="s">
        <v>331</v>
      </c>
      <c r="B363" s="69"/>
      <c r="C363" s="69"/>
      <c r="D363" s="70"/>
      <c r="E363" s="3"/>
    </row>
    <row r="364" spans="1:5">
      <c r="A364" s="5">
        <v>80003000</v>
      </c>
      <c r="B364" s="6" t="s">
        <v>265</v>
      </c>
      <c r="C364" s="4">
        <v>10000</v>
      </c>
      <c r="D364" s="1">
        <f t="shared" ref="D364:D385" si="20">C364*0.55</f>
        <v>5500</v>
      </c>
      <c r="E364" s="3"/>
    </row>
    <row r="365" spans="1:5">
      <c r="A365" s="5" t="s">
        <v>266</v>
      </c>
      <c r="B365" s="6" t="s">
        <v>267</v>
      </c>
      <c r="C365" s="4">
        <v>10000</v>
      </c>
      <c r="D365" s="1">
        <f t="shared" si="20"/>
        <v>5500</v>
      </c>
      <c r="E365" s="3"/>
    </row>
    <row r="366" spans="1:5">
      <c r="A366" s="5" t="s">
        <v>268</v>
      </c>
      <c r="B366" s="6" t="s">
        <v>269</v>
      </c>
      <c r="C366" s="4">
        <v>6000</v>
      </c>
      <c r="D366" s="1">
        <f t="shared" si="20"/>
        <v>3300.0000000000005</v>
      </c>
      <c r="E366" s="3"/>
    </row>
    <row r="367" spans="1:5">
      <c r="A367" s="2">
        <v>895</v>
      </c>
      <c r="B367" s="3" t="s">
        <v>270</v>
      </c>
      <c r="C367" s="4">
        <v>10000</v>
      </c>
      <c r="D367" s="1">
        <f t="shared" si="20"/>
        <v>5500</v>
      </c>
      <c r="E367" s="3"/>
    </row>
    <row r="368" spans="1:5">
      <c r="A368" s="66" t="s">
        <v>271</v>
      </c>
      <c r="B368" s="64" t="s">
        <v>272</v>
      </c>
      <c r="C368" s="62">
        <v>20000</v>
      </c>
      <c r="D368" s="62">
        <f t="shared" si="20"/>
        <v>11000</v>
      </c>
      <c r="E368" s="60"/>
    </row>
    <row r="369" spans="1:5">
      <c r="A369" s="60" t="s">
        <v>273</v>
      </c>
      <c r="B369" s="60" t="s">
        <v>273</v>
      </c>
      <c r="C369" s="62">
        <v>9000</v>
      </c>
      <c r="D369" s="62">
        <f t="shared" si="20"/>
        <v>4950</v>
      </c>
      <c r="E369" s="60"/>
    </row>
    <row r="370" spans="1:5">
      <c r="A370" s="5" t="s">
        <v>274</v>
      </c>
      <c r="B370" s="6" t="s">
        <v>275</v>
      </c>
      <c r="C370" s="4">
        <v>6000</v>
      </c>
      <c r="D370" s="1">
        <f t="shared" si="20"/>
        <v>3300.0000000000005</v>
      </c>
      <c r="E370" s="3"/>
    </row>
    <row r="371" spans="1:5">
      <c r="A371" s="5" t="s">
        <v>276</v>
      </c>
      <c r="B371" s="6" t="s">
        <v>277</v>
      </c>
      <c r="C371" s="4">
        <v>6000</v>
      </c>
      <c r="D371" s="1">
        <f t="shared" si="20"/>
        <v>3300.0000000000005</v>
      </c>
      <c r="E371" s="3"/>
    </row>
    <row r="372" spans="1:5">
      <c r="A372" s="12" t="s">
        <v>278</v>
      </c>
      <c r="B372" s="12" t="s">
        <v>278</v>
      </c>
      <c r="C372" s="4">
        <v>7500</v>
      </c>
      <c r="D372" s="1">
        <f t="shared" si="20"/>
        <v>4125</v>
      </c>
      <c r="E372" s="3"/>
    </row>
    <row r="373" spans="1:5">
      <c r="A373" s="12" t="s">
        <v>279</v>
      </c>
      <c r="B373" s="12" t="s">
        <v>279</v>
      </c>
      <c r="C373" s="4">
        <v>7500</v>
      </c>
      <c r="D373" s="1">
        <f t="shared" si="20"/>
        <v>4125</v>
      </c>
      <c r="E373" s="3"/>
    </row>
    <row r="374" spans="1:5">
      <c r="A374" s="12" t="s">
        <v>280</v>
      </c>
      <c r="B374" s="12" t="s">
        <v>280</v>
      </c>
      <c r="C374" s="4">
        <v>15000</v>
      </c>
      <c r="D374" s="1">
        <f t="shared" si="20"/>
        <v>8250</v>
      </c>
      <c r="E374" s="3"/>
    </row>
    <row r="375" spans="1:5">
      <c r="A375" s="12" t="s">
        <v>281</v>
      </c>
      <c r="B375" s="12" t="s">
        <v>281</v>
      </c>
      <c r="C375" s="4">
        <v>15000</v>
      </c>
      <c r="D375" s="1">
        <f t="shared" si="20"/>
        <v>8250</v>
      </c>
      <c r="E375" s="3"/>
    </row>
    <row r="376" spans="1:5">
      <c r="A376" s="63">
        <v>21608000</v>
      </c>
      <c r="B376" s="64" t="s">
        <v>282</v>
      </c>
      <c r="C376" s="62">
        <v>15000</v>
      </c>
      <c r="D376" s="62">
        <f t="shared" si="20"/>
        <v>8250</v>
      </c>
      <c r="E376" s="60"/>
    </row>
    <row r="377" spans="1:5">
      <c r="A377" s="5">
        <v>84103000</v>
      </c>
      <c r="B377" s="6" t="s">
        <v>283</v>
      </c>
      <c r="C377" s="4">
        <v>10000</v>
      </c>
      <c r="D377" s="1">
        <f t="shared" si="20"/>
        <v>5500</v>
      </c>
      <c r="E377" s="3"/>
    </row>
    <row r="378" spans="1:5">
      <c r="A378" s="63">
        <v>10508000</v>
      </c>
      <c r="B378" s="64" t="s">
        <v>284</v>
      </c>
      <c r="C378" s="62">
        <v>10000</v>
      </c>
      <c r="D378" s="62">
        <f t="shared" si="20"/>
        <v>5500</v>
      </c>
      <c r="E378" s="60"/>
    </row>
    <row r="379" spans="1:5">
      <c r="A379" s="5">
        <v>22008029</v>
      </c>
      <c r="B379" s="6" t="s">
        <v>285</v>
      </c>
      <c r="C379" s="4">
        <v>10000</v>
      </c>
      <c r="D379" s="1">
        <f t="shared" si="20"/>
        <v>5500</v>
      </c>
      <c r="E379" s="3"/>
    </row>
    <row r="380" spans="1:5">
      <c r="A380" s="13" t="s">
        <v>266</v>
      </c>
      <c r="B380" s="6" t="s">
        <v>267</v>
      </c>
      <c r="C380" s="4">
        <v>10000</v>
      </c>
      <c r="D380" s="1">
        <f t="shared" si="20"/>
        <v>5500</v>
      </c>
      <c r="E380" s="3"/>
    </row>
    <row r="381" spans="1:5">
      <c r="A381" s="13" t="s">
        <v>268</v>
      </c>
      <c r="B381" s="6" t="s">
        <v>269</v>
      </c>
      <c r="C381" s="4">
        <v>6000</v>
      </c>
      <c r="D381" s="1">
        <f t="shared" si="20"/>
        <v>3300.0000000000005</v>
      </c>
      <c r="E381" s="3"/>
    </row>
    <row r="382" spans="1:5">
      <c r="A382" s="14" t="s">
        <v>286</v>
      </c>
      <c r="B382" s="6" t="s">
        <v>287</v>
      </c>
      <c r="C382" s="4">
        <v>10000</v>
      </c>
      <c r="D382" s="1">
        <f t="shared" si="20"/>
        <v>5500</v>
      </c>
      <c r="E382" s="3"/>
    </row>
    <row r="383" spans="1:5">
      <c r="A383" s="63" t="s">
        <v>288</v>
      </c>
      <c r="B383" s="64" t="s">
        <v>289</v>
      </c>
      <c r="C383" s="62">
        <v>6000</v>
      </c>
      <c r="D383" s="62">
        <f t="shared" si="20"/>
        <v>3300.0000000000005</v>
      </c>
      <c r="E383" s="60"/>
    </row>
    <row r="384" spans="1:5">
      <c r="A384" s="3" t="s">
        <v>303</v>
      </c>
      <c r="B384" s="20" t="s">
        <v>304</v>
      </c>
      <c r="C384" s="17">
        <v>10000</v>
      </c>
      <c r="D384" s="1">
        <f t="shared" si="20"/>
        <v>5500</v>
      </c>
      <c r="E384" s="3"/>
    </row>
    <row r="385" spans="1:5">
      <c r="A385" s="3" t="s">
        <v>305</v>
      </c>
      <c r="B385" s="20" t="s">
        <v>306</v>
      </c>
      <c r="C385" s="17">
        <v>10000</v>
      </c>
      <c r="D385" s="1">
        <f t="shared" si="20"/>
        <v>5500</v>
      </c>
      <c r="E385" s="3"/>
    </row>
    <row r="386" spans="1:5">
      <c r="A386"/>
      <c r="B386"/>
      <c r="C386"/>
      <c r="D386" s="1">
        <f t="shared" ref="D386" si="21">C386*0.55</f>
        <v>0</v>
      </c>
      <c r="E386" s="3"/>
    </row>
    <row r="387" spans="1:5">
      <c r="A387" s="71" t="s">
        <v>332</v>
      </c>
      <c r="B387" s="71"/>
      <c r="C387" s="71"/>
      <c r="D387" s="72"/>
      <c r="E387" s="3"/>
    </row>
    <row r="388" spans="1:5">
      <c r="A388" s="15">
        <v>40003001</v>
      </c>
      <c r="B388" s="16" t="s">
        <v>290</v>
      </c>
      <c r="C388" s="17">
        <v>7500</v>
      </c>
      <c r="D388" s="1">
        <f t="shared" ref="D388:D409" si="22">C388*0.55</f>
        <v>4125</v>
      </c>
      <c r="E388" s="3"/>
    </row>
    <row r="389" spans="1:5">
      <c r="A389" s="15">
        <v>40003004</v>
      </c>
      <c r="B389" s="16" t="s">
        <v>291</v>
      </c>
      <c r="C389" s="17">
        <v>7500</v>
      </c>
      <c r="D389" s="1">
        <f t="shared" si="22"/>
        <v>4125</v>
      </c>
      <c r="E389" s="3"/>
    </row>
    <row r="390" spans="1:5">
      <c r="A390" s="15">
        <v>40003005</v>
      </c>
      <c r="B390" s="16" t="s">
        <v>292</v>
      </c>
      <c r="C390" s="17">
        <v>7500</v>
      </c>
      <c r="D390" s="1">
        <f t="shared" si="22"/>
        <v>4125</v>
      </c>
      <c r="E390" s="3"/>
    </row>
    <row r="391" spans="1:5">
      <c r="A391" s="15">
        <v>40003011</v>
      </c>
      <c r="B391" s="16" t="s">
        <v>293</v>
      </c>
      <c r="C391" s="17">
        <v>7500</v>
      </c>
      <c r="D391" s="1">
        <f t="shared" si="22"/>
        <v>4125</v>
      </c>
      <c r="E391" s="3"/>
    </row>
    <row r="392" spans="1:5">
      <c r="A392" s="15">
        <v>40003014</v>
      </c>
      <c r="B392" s="16" t="s">
        <v>294</v>
      </c>
      <c r="C392" s="17">
        <v>7500</v>
      </c>
      <c r="D392" s="1">
        <f t="shared" si="22"/>
        <v>4125</v>
      </c>
      <c r="E392" s="3"/>
    </row>
    <row r="393" spans="1:5">
      <c r="A393" s="15">
        <v>40003017</v>
      </c>
      <c r="B393" s="16" t="s">
        <v>295</v>
      </c>
      <c r="C393" s="17">
        <v>7500</v>
      </c>
      <c r="D393" s="1">
        <f t="shared" si="22"/>
        <v>4125</v>
      </c>
      <c r="E393" s="3"/>
    </row>
    <row r="394" spans="1:5">
      <c r="A394" s="15">
        <v>40003018</v>
      </c>
      <c r="B394" s="16" t="s">
        <v>296</v>
      </c>
      <c r="C394" s="17">
        <v>7500</v>
      </c>
      <c r="D394" s="1">
        <f t="shared" si="22"/>
        <v>4125</v>
      </c>
      <c r="E394" s="3"/>
    </row>
    <row r="395" spans="1:5">
      <c r="A395" s="15">
        <v>40003029</v>
      </c>
      <c r="B395" s="16" t="s">
        <v>297</v>
      </c>
      <c r="C395" s="17">
        <v>7500</v>
      </c>
      <c r="D395" s="1">
        <f t="shared" si="22"/>
        <v>4125</v>
      </c>
      <c r="E395" s="3"/>
    </row>
    <row r="396" spans="1:5">
      <c r="A396" s="15">
        <v>40003042</v>
      </c>
      <c r="B396" s="16" t="s">
        <v>298</v>
      </c>
      <c r="C396" s="17">
        <v>7500</v>
      </c>
      <c r="D396" s="1">
        <f t="shared" si="22"/>
        <v>4125</v>
      </c>
      <c r="E396" s="3"/>
    </row>
    <row r="397" spans="1:5">
      <c r="A397" s="15">
        <v>40003050</v>
      </c>
      <c r="B397" s="16" t="s">
        <v>299</v>
      </c>
      <c r="C397" s="17">
        <v>7500</v>
      </c>
      <c r="D397" s="1">
        <f t="shared" si="22"/>
        <v>4125</v>
      </c>
      <c r="E397" s="3"/>
    </row>
    <row r="398" spans="1:5">
      <c r="A398" s="15">
        <v>40003052</v>
      </c>
      <c r="B398" s="16" t="s">
        <v>300</v>
      </c>
      <c r="C398" s="17">
        <v>7500</v>
      </c>
      <c r="D398" s="1">
        <f t="shared" si="22"/>
        <v>4125</v>
      </c>
      <c r="E398" s="3"/>
    </row>
    <row r="399" spans="1:5">
      <c r="A399" s="15">
        <v>40003062</v>
      </c>
      <c r="B399" s="16" t="s">
        <v>301</v>
      </c>
      <c r="C399" s="17">
        <v>7500</v>
      </c>
      <c r="D399" s="1">
        <f t="shared" si="22"/>
        <v>4125</v>
      </c>
      <c r="E399" s="3"/>
    </row>
    <row r="400" spans="1:5">
      <c r="A400" s="5">
        <v>40003064</v>
      </c>
      <c r="B400" s="6" t="s">
        <v>302</v>
      </c>
      <c r="C400" s="4">
        <v>7500</v>
      </c>
      <c r="D400" s="1">
        <f t="shared" si="22"/>
        <v>4125</v>
      </c>
      <c r="E400" s="3"/>
    </row>
    <row r="401" spans="1:5">
      <c r="A401" s="71" t="s">
        <v>979</v>
      </c>
      <c r="B401" s="71"/>
      <c r="C401" s="71"/>
      <c r="D401" s="72"/>
    </row>
    <row r="402" spans="1:5">
      <c r="A402" s="9">
        <v>65004014</v>
      </c>
      <c r="B402" s="10" t="s">
        <v>976</v>
      </c>
      <c r="C402" s="4">
        <v>10000</v>
      </c>
      <c r="D402" s="1">
        <f t="shared" si="22"/>
        <v>5500</v>
      </c>
      <c r="E402" s="3"/>
    </row>
    <row r="403" spans="1:5">
      <c r="A403" s="9">
        <v>65004014</v>
      </c>
      <c r="B403" s="10" t="s">
        <v>961</v>
      </c>
      <c r="C403" s="4">
        <v>10000</v>
      </c>
      <c r="D403" s="1">
        <f t="shared" si="22"/>
        <v>5500</v>
      </c>
      <c r="E403" s="3"/>
    </row>
    <row r="404" spans="1:5">
      <c r="A404" s="9">
        <v>66004001</v>
      </c>
      <c r="B404" s="10" t="s">
        <v>962</v>
      </c>
      <c r="C404" s="4">
        <v>10000</v>
      </c>
      <c r="D404" s="1">
        <f t="shared" si="22"/>
        <v>5500</v>
      </c>
      <c r="E404" s="3"/>
    </row>
    <row r="405" spans="1:5">
      <c r="A405" s="9">
        <v>66004005</v>
      </c>
      <c r="B405" s="10" t="s">
        <v>963</v>
      </c>
      <c r="C405" s="4">
        <v>10000</v>
      </c>
      <c r="D405" s="1">
        <f t="shared" si="22"/>
        <v>5500</v>
      </c>
      <c r="E405" s="3"/>
    </row>
    <row r="406" spans="1:5">
      <c r="A406" s="9">
        <v>66004014</v>
      </c>
      <c r="B406" s="10" t="s">
        <v>964</v>
      </c>
      <c r="C406" s="4">
        <v>10000</v>
      </c>
      <c r="D406" s="1">
        <f t="shared" si="22"/>
        <v>5500</v>
      </c>
      <c r="E406" s="3"/>
    </row>
    <row r="407" spans="1:5">
      <c r="A407" s="9">
        <v>66004018</v>
      </c>
      <c r="B407" s="10" t="s">
        <v>965</v>
      </c>
      <c r="C407" s="4">
        <v>10000</v>
      </c>
      <c r="D407" s="1">
        <f t="shared" si="22"/>
        <v>5500</v>
      </c>
      <c r="E407" s="3"/>
    </row>
    <row r="408" spans="1:5">
      <c r="A408" s="9">
        <v>66004021</v>
      </c>
      <c r="B408" s="10" t="s">
        <v>966</v>
      </c>
      <c r="C408" s="4">
        <v>10000</v>
      </c>
      <c r="D408" s="1">
        <f t="shared" si="22"/>
        <v>5500</v>
      </c>
      <c r="E408" s="3"/>
    </row>
    <row r="409" spans="1:5">
      <c r="A409" s="9">
        <v>70004001</v>
      </c>
      <c r="B409" s="10" t="s">
        <v>967</v>
      </c>
      <c r="C409" s="4">
        <v>10000</v>
      </c>
      <c r="D409" s="1">
        <f t="shared" si="22"/>
        <v>5500</v>
      </c>
      <c r="E409" s="3"/>
    </row>
    <row r="410" spans="1:5">
      <c r="A410" s="9">
        <v>70004011</v>
      </c>
      <c r="B410" s="3" t="s">
        <v>974</v>
      </c>
      <c r="C410" s="4">
        <v>10000</v>
      </c>
      <c r="D410" s="1">
        <f t="shared" ref="D410:D417" si="23">C410*0.55</f>
        <v>5500</v>
      </c>
      <c r="E410" s="3"/>
    </row>
    <row r="411" spans="1:5">
      <c r="A411" s="9">
        <v>70004014</v>
      </c>
      <c r="B411" s="3" t="s">
        <v>968</v>
      </c>
      <c r="C411" s="4">
        <v>10000</v>
      </c>
      <c r="D411" s="1">
        <f t="shared" si="23"/>
        <v>5500</v>
      </c>
      <c r="E411" s="3"/>
    </row>
    <row r="412" spans="1:5">
      <c r="A412" s="9">
        <v>70004017</v>
      </c>
      <c r="B412" s="3" t="s">
        <v>975</v>
      </c>
      <c r="C412" s="4">
        <v>10000</v>
      </c>
      <c r="D412" s="1">
        <f t="shared" si="23"/>
        <v>5500</v>
      </c>
      <c r="E412" s="3"/>
    </row>
    <row r="413" spans="1:5">
      <c r="A413" s="9">
        <v>70004018</v>
      </c>
      <c r="B413" s="3" t="s">
        <v>971</v>
      </c>
      <c r="C413" s="4">
        <v>10000</v>
      </c>
      <c r="D413" s="1">
        <f t="shared" si="23"/>
        <v>5500</v>
      </c>
      <c r="E413" s="3"/>
    </row>
    <row r="414" spans="1:5">
      <c r="A414" s="9">
        <v>70004021</v>
      </c>
      <c r="B414" s="3" t="s">
        <v>969</v>
      </c>
      <c r="C414" s="4">
        <v>10000</v>
      </c>
      <c r="D414" s="1">
        <f t="shared" si="23"/>
        <v>5500</v>
      </c>
      <c r="E414" s="3"/>
    </row>
    <row r="415" spans="1:5">
      <c r="A415" s="9">
        <v>70004023</v>
      </c>
      <c r="B415" s="3" t="s">
        <v>970</v>
      </c>
      <c r="C415" s="4">
        <v>10000</v>
      </c>
      <c r="D415" s="1">
        <f t="shared" si="23"/>
        <v>5500</v>
      </c>
      <c r="E415" s="3"/>
    </row>
    <row r="416" spans="1:5">
      <c r="A416" s="9">
        <v>70004029</v>
      </c>
      <c r="B416" s="3" t="s">
        <v>973</v>
      </c>
      <c r="C416" s="4">
        <v>10000</v>
      </c>
      <c r="D416" s="1">
        <f t="shared" si="23"/>
        <v>5500</v>
      </c>
      <c r="E416" s="3"/>
    </row>
    <row r="417" spans="1:5">
      <c r="A417" s="9">
        <v>70004091</v>
      </c>
      <c r="B417" s="3" t="s">
        <v>972</v>
      </c>
      <c r="C417" s="4">
        <v>10000</v>
      </c>
      <c r="D417" s="1">
        <f t="shared" si="23"/>
        <v>5500</v>
      </c>
      <c r="E417" s="3"/>
    </row>
  </sheetData>
  <sortState ref="A329:D335">
    <sortCondition ref="A329:A335"/>
  </sortState>
  <mergeCells count="20">
    <mergeCell ref="A314:D314"/>
    <mergeCell ref="A320:D320"/>
    <mergeCell ref="A332:D332"/>
    <mergeCell ref="A311:D311"/>
    <mergeCell ref="A226:D226"/>
    <mergeCell ref="A116:D116"/>
    <mergeCell ref="A3:D3"/>
    <mergeCell ref="A124:D124"/>
    <mergeCell ref="A137:D137"/>
    <mergeCell ref="A156:D156"/>
    <mergeCell ref="A200:D200"/>
    <mergeCell ref="A336:D336"/>
    <mergeCell ref="A339:D339"/>
    <mergeCell ref="A348:D348"/>
    <mergeCell ref="A354:D354"/>
    <mergeCell ref="A401:D401"/>
    <mergeCell ref="A352:D352"/>
    <mergeCell ref="A356:D356"/>
    <mergeCell ref="A363:D363"/>
    <mergeCell ref="A387:D38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58"/>
  <sheetViews>
    <sheetView topLeftCell="A229" workbookViewId="0">
      <selection activeCell="A136" sqref="A136:E136"/>
    </sheetView>
  </sheetViews>
  <sheetFormatPr defaultRowHeight="16.5"/>
  <cols>
    <col min="1" max="1" width="12" customWidth="1"/>
    <col min="2" max="2" width="34.875" customWidth="1"/>
    <col min="4" max="4" width="11.5" customWidth="1"/>
  </cols>
  <sheetData>
    <row r="1" spans="1:7">
      <c r="A1" s="2" t="s">
        <v>0</v>
      </c>
      <c r="B1" s="3" t="s">
        <v>1</v>
      </c>
      <c r="C1" s="4" t="s">
        <v>2</v>
      </c>
      <c r="D1" s="1" t="s">
        <v>334</v>
      </c>
      <c r="E1" s="3" t="s">
        <v>335</v>
      </c>
    </row>
    <row r="2" spans="1:7">
      <c r="A2" s="76" t="s">
        <v>316</v>
      </c>
      <c r="B2" s="77"/>
      <c r="C2" s="77"/>
      <c r="D2" s="78"/>
      <c r="E2" s="3"/>
    </row>
    <row r="3" spans="1:7">
      <c r="A3" s="5">
        <v>72001001</v>
      </c>
      <c r="B3" s="6" t="s">
        <v>423</v>
      </c>
      <c r="C3" s="4">
        <v>7800</v>
      </c>
      <c r="D3" s="1">
        <f>C3*0.55</f>
        <v>4290</v>
      </c>
      <c r="E3" s="3"/>
      <c r="G3" s="24"/>
    </row>
    <row r="4" spans="1:7">
      <c r="A4" s="5">
        <v>72001004</v>
      </c>
      <c r="B4" s="6" t="s">
        <v>424</v>
      </c>
      <c r="C4" s="4">
        <v>7800</v>
      </c>
      <c r="D4" s="1">
        <f t="shared" ref="D4:D67" si="0">C4*0.55</f>
        <v>4290</v>
      </c>
      <c r="E4" s="26"/>
      <c r="G4" s="24"/>
    </row>
    <row r="5" spans="1:7">
      <c r="A5" s="5">
        <v>72001005</v>
      </c>
      <c r="B5" s="6" t="s">
        <v>425</v>
      </c>
      <c r="C5" s="4">
        <v>7800</v>
      </c>
      <c r="D5" s="1">
        <f t="shared" si="0"/>
        <v>4290</v>
      </c>
      <c r="E5" s="26"/>
      <c r="G5" s="24"/>
    </row>
    <row r="6" spans="1:7">
      <c r="A6" s="5">
        <v>72001014</v>
      </c>
      <c r="B6" s="6" t="s">
        <v>426</v>
      </c>
      <c r="C6" s="4">
        <v>7800</v>
      </c>
      <c r="D6" s="1">
        <f t="shared" si="0"/>
        <v>4290</v>
      </c>
      <c r="E6" s="26"/>
      <c r="G6" s="24"/>
    </row>
    <row r="7" spans="1:7">
      <c r="A7" s="5">
        <v>72001015</v>
      </c>
      <c r="B7" s="6" t="s">
        <v>427</v>
      </c>
      <c r="C7" s="4">
        <v>7800</v>
      </c>
      <c r="D7" s="1">
        <f t="shared" si="0"/>
        <v>4290</v>
      </c>
      <c r="E7" s="26"/>
      <c r="G7" s="24"/>
    </row>
    <row r="8" spans="1:7">
      <c r="A8" s="5">
        <v>72001018</v>
      </c>
      <c r="B8" s="6" t="s">
        <v>428</v>
      </c>
      <c r="C8" s="4">
        <v>7800</v>
      </c>
      <c r="D8" s="1">
        <f t="shared" si="0"/>
        <v>4290</v>
      </c>
      <c r="E8" s="26"/>
      <c r="G8" s="24"/>
    </row>
    <row r="9" spans="1:7">
      <c r="A9" s="5">
        <v>72001019</v>
      </c>
      <c r="B9" s="6" t="s">
        <v>429</v>
      </c>
      <c r="C9" s="4">
        <v>7800</v>
      </c>
      <c r="D9" s="1">
        <f t="shared" si="0"/>
        <v>4290</v>
      </c>
      <c r="E9" s="26"/>
      <c r="G9" s="24"/>
    </row>
    <row r="10" spans="1:7">
      <c r="A10" s="5">
        <v>72001021</v>
      </c>
      <c r="B10" s="6" t="s">
        <v>430</v>
      </c>
      <c r="C10" s="4">
        <v>7800</v>
      </c>
      <c r="D10" s="1">
        <f t="shared" si="0"/>
        <v>4290</v>
      </c>
      <c r="E10" s="26"/>
      <c r="G10" s="24"/>
    </row>
    <row r="11" spans="1:7">
      <c r="A11" s="5">
        <v>72001024</v>
      </c>
      <c r="B11" s="6" t="s">
        <v>431</v>
      </c>
      <c r="C11" s="4">
        <v>7800</v>
      </c>
      <c r="D11" s="1">
        <f t="shared" si="0"/>
        <v>4290</v>
      </c>
      <c r="E11" s="26"/>
      <c r="G11" s="24"/>
    </row>
    <row r="12" spans="1:7">
      <c r="A12" s="5">
        <v>72001027</v>
      </c>
      <c r="B12" s="6" t="s">
        <v>432</v>
      </c>
      <c r="C12" s="4">
        <v>7800</v>
      </c>
      <c r="D12" s="1">
        <f t="shared" si="0"/>
        <v>4290</v>
      </c>
      <c r="E12" s="26"/>
      <c r="G12" s="24"/>
    </row>
    <row r="13" spans="1:7">
      <c r="A13" s="5">
        <v>72001029</v>
      </c>
      <c r="B13" s="6" t="s">
        <v>433</v>
      </c>
      <c r="C13" s="4">
        <v>7800</v>
      </c>
      <c r="D13" s="1">
        <f t="shared" si="0"/>
        <v>4290</v>
      </c>
      <c r="E13" s="26"/>
      <c r="G13" s="24"/>
    </row>
    <row r="14" spans="1:7">
      <c r="A14" s="5">
        <v>72001040</v>
      </c>
      <c r="B14" s="6" t="s">
        <v>434</v>
      </c>
      <c r="C14" s="4">
        <v>7800</v>
      </c>
      <c r="D14" s="1">
        <f t="shared" si="0"/>
        <v>4290</v>
      </c>
      <c r="E14" s="26"/>
      <c r="G14" s="24"/>
    </row>
    <row r="15" spans="1:7">
      <c r="A15" s="5">
        <v>72001041</v>
      </c>
      <c r="B15" s="6" t="s">
        <v>435</v>
      </c>
      <c r="C15" s="4">
        <v>7800</v>
      </c>
      <c r="D15" s="1">
        <f t="shared" si="0"/>
        <v>4290</v>
      </c>
      <c r="E15" s="26"/>
      <c r="G15" s="24"/>
    </row>
    <row r="16" spans="1:7">
      <c r="A16" s="5">
        <v>72001042</v>
      </c>
      <c r="B16" s="6" t="s">
        <v>436</v>
      </c>
      <c r="C16" s="4">
        <v>7800</v>
      </c>
      <c r="D16" s="1">
        <f t="shared" si="0"/>
        <v>4290</v>
      </c>
      <c r="E16" s="26"/>
      <c r="G16" s="24"/>
    </row>
    <row r="17" spans="1:7">
      <c r="A17" s="5">
        <v>72001043</v>
      </c>
      <c r="B17" s="6" t="s">
        <v>437</v>
      </c>
      <c r="C17" s="4">
        <v>7800</v>
      </c>
      <c r="D17" s="1">
        <f t="shared" si="0"/>
        <v>4290</v>
      </c>
      <c r="E17" s="26"/>
      <c r="G17" s="24"/>
    </row>
    <row r="18" spans="1:7">
      <c r="A18" s="5">
        <v>72001045</v>
      </c>
      <c r="B18" s="6" t="s">
        <v>438</v>
      </c>
      <c r="C18" s="4">
        <v>7800</v>
      </c>
      <c r="D18" s="1">
        <f t="shared" si="0"/>
        <v>4290</v>
      </c>
      <c r="E18" s="26"/>
      <c r="G18" s="24"/>
    </row>
    <row r="19" spans="1:7">
      <c r="A19" s="5">
        <v>72001047</v>
      </c>
      <c r="B19" s="6" t="s">
        <v>439</v>
      </c>
      <c r="C19" s="4">
        <v>7800</v>
      </c>
      <c r="D19" s="1">
        <f t="shared" si="0"/>
        <v>4290</v>
      </c>
      <c r="E19" s="26"/>
      <c r="G19" s="24"/>
    </row>
    <row r="20" spans="1:7">
      <c r="A20" s="5">
        <v>72001050</v>
      </c>
      <c r="B20" s="6" t="s">
        <v>440</v>
      </c>
      <c r="C20" s="4">
        <v>7800</v>
      </c>
      <c r="D20" s="1">
        <f t="shared" si="0"/>
        <v>4290</v>
      </c>
      <c r="E20" s="26"/>
      <c r="G20" s="24"/>
    </row>
    <row r="21" spans="1:7">
      <c r="A21" s="5">
        <v>72001052</v>
      </c>
      <c r="B21" s="6" t="s">
        <v>441</v>
      </c>
      <c r="C21" s="4">
        <v>7800</v>
      </c>
      <c r="D21" s="1">
        <f t="shared" si="0"/>
        <v>4290</v>
      </c>
      <c r="E21" s="26"/>
      <c r="G21" s="24"/>
    </row>
    <row r="22" spans="1:7">
      <c r="A22" s="5">
        <v>72001060</v>
      </c>
      <c r="B22" s="6" t="s">
        <v>442</v>
      </c>
      <c r="C22" s="4">
        <v>7800</v>
      </c>
      <c r="D22" s="1">
        <f t="shared" si="0"/>
        <v>4290</v>
      </c>
      <c r="E22" s="26"/>
      <c r="G22" s="24"/>
    </row>
    <row r="23" spans="1:7">
      <c r="A23" s="5">
        <v>72001064</v>
      </c>
      <c r="B23" s="6" t="s">
        <v>443</v>
      </c>
      <c r="C23" s="4">
        <v>7800</v>
      </c>
      <c r="D23" s="1">
        <f t="shared" si="0"/>
        <v>4290</v>
      </c>
      <c r="E23" s="26"/>
      <c r="G23" s="24"/>
    </row>
    <row r="24" spans="1:7">
      <c r="A24" s="5">
        <v>72001070</v>
      </c>
      <c r="B24" s="6" t="s">
        <v>444</v>
      </c>
      <c r="C24" s="4">
        <v>7800</v>
      </c>
      <c r="D24" s="1">
        <f t="shared" si="0"/>
        <v>4290</v>
      </c>
      <c r="E24" s="26"/>
      <c r="G24" s="24"/>
    </row>
    <row r="25" spans="1:7">
      <c r="A25" s="5">
        <v>72001072</v>
      </c>
      <c r="B25" s="6" t="s">
        <v>445</v>
      </c>
      <c r="C25" s="4">
        <v>7800</v>
      </c>
      <c r="D25" s="1">
        <f t="shared" si="0"/>
        <v>4290</v>
      </c>
      <c r="E25" s="26"/>
      <c r="G25" s="24"/>
    </row>
    <row r="26" spans="1:7">
      <c r="A26" s="5">
        <v>72001075</v>
      </c>
      <c r="B26" s="6" t="s">
        <v>446</v>
      </c>
      <c r="C26" s="4">
        <v>7800</v>
      </c>
      <c r="D26" s="1">
        <f t="shared" si="0"/>
        <v>4290</v>
      </c>
      <c r="E26" s="26"/>
      <c r="G26" s="24"/>
    </row>
    <row r="27" spans="1:7">
      <c r="A27" s="5">
        <v>72001080</v>
      </c>
      <c r="B27" s="6" t="s">
        <v>447</v>
      </c>
      <c r="C27" s="4">
        <v>7800</v>
      </c>
      <c r="D27" s="1">
        <f t="shared" si="0"/>
        <v>4290</v>
      </c>
      <c r="E27" s="26"/>
      <c r="G27" s="24"/>
    </row>
    <row r="28" spans="1:7">
      <c r="A28" s="5">
        <v>72001081</v>
      </c>
      <c r="B28" s="6" t="s">
        <v>448</v>
      </c>
      <c r="C28" s="4">
        <v>7800</v>
      </c>
      <c r="D28" s="1">
        <f t="shared" si="0"/>
        <v>4290</v>
      </c>
      <c r="E28" s="26"/>
      <c r="G28" s="24"/>
    </row>
    <row r="29" spans="1:7">
      <c r="A29" s="5">
        <v>72001082</v>
      </c>
      <c r="B29" s="6" t="s">
        <v>449</v>
      </c>
      <c r="C29" s="4">
        <v>7800</v>
      </c>
      <c r="D29" s="1">
        <f t="shared" si="0"/>
        <v>4290</v>
      </c>
      <c r="E29" s="26"/>
      <c r="G29" s="24"/>
    </row>
    <row r="30" spans="1:7">
      <c r="A30" s="5">
        <v>72001093</v>
      </c>
      <c r="B30" s="6" t="s">
        <v>450</v>
      </c>
      <c r="C30" s="4">
        <v>7800</v>
      </c>
      <c r="D30" s="1">
        <f t="shared" si="0"/>
        <v>4290</v>
      </c>
      <c r="E30" s="26"/>
      <c r="G30" s="24"/>
    </row>
    <row r="31" spans="1:7">
      <c r="A31" s="5">
        <v>72001101</v>
      </c>
      <c r="B31" s="6" t="s">
        <v>451</v>
      </c>
      <c r="C31" s="4">
        <v>7800</v>
      </c>
      <c r="D31" s="1">
        <f t="shared" si="0"/>
        <v>4290</v>
      </c>
      <c r="E31" s="26"/>
      <c r="G31" s="24"/>
    </row>
    <row r="32" spans="1:7">
      <c r="A32" s="5">
        <v>72001105</v>
      </c>
      <c r="B32" s="6" t="s">
        <v>452</v>
      </c>
      <c r="C32" s="4">
        <v>7800</v>
      </c>
      <c r="D32" s="1">
        <f t="shared" si="0"/>
        <v>4290</v>
      </c>
      <c r="E32" s="26"/>
      <c r="G32" s="24"/>
    </row>
    <row r="33" spans="1:7">
      <c r="A33" s="5">
        <v>72001141</v>
      </c>
      <c r="B33" s="6" t="s">
        <v>453</v>
      </c>
      <c r="C33" s="4">
        <v>7800</v>
      </c>
      <c r="D33" s="1">
        <f t="shared" si="0"/>
        <v>4290</v>
      </c>
      <c r="E33" s="26"/>
      <c r="G33" s="24"/>
    </row>
    <row r="34" spans="1:7">
      <c r="A34" s="5">
        <v>72001142</v>
      </c>
      <c r="B34" s="6" t="s">
        <v>454</v>
      </c>
      <c r="C34" s="4">
        <v>7800</v>
      </c>
      <c r="D34" s="1">
        <f t="shared" si="0"/>
        <v>4290</v>
      </c>
      <c r="E34" s="26"/>
      <c r="G34" s="24"/>
    </row>
    <row r="35" spans="1:7">
      <c r="A35" s="5">
        <v>72001143</v>
      </c>
      <c r="B35" s="6" t="s">
        <v>455</v>
      </c>
      <c r="C35" s="4">
        <v>7800</v>
      </c>
      <c r="D35" s="1">
        <f t="shared" si="0"/>
        <v>4290</v>
      </c>
      <c r="E35" s="26"/>
      <c r="G35" s="24"/>
    </row>
    <row r="36" spans="1:7">
      <c r="A36" s="5">
        <v>72001150</v>
      </c>
      <c r="B36" s="6" t="s">
        <v>456</v>
      </c>
      <c r="C36" s="4">
        <v>7800</v>
      </c>
      <c r="D36" s="1">
        <f t="shared" si="0"/>
        <v>4290</v>
      </c>
      <c r="E36" s="26"/>
      <c r="G36" s="24"/>
    </row>
    <row r="37" spans="1:7">
      <c r="A37" s="5">
        <v>72001155</v>
      </c>
      <c r="B37" s="6" t="s">
        <v>457</v>
      </c>
      <c r="C37" s="4">
        <v>7800</v>
      </c>
      <c r="D37" s="1">
        <f t="shared" si="0"/>
        <v>4290</v>
      </c>
      <c r="E37" s="26"/>
      <c r="G37" s="24"/>
    </row>
    <row r="38" spans="1:7">
      <c r="A38" s="5">
        <v>72001156</v>
      </c>
      <c r="B38" s="6" t="s">
        <v>458</v>
      </c>
      <c r="C38" s="4">
        <v>7800</v>
      </c>
      <c r="D38" s="1">
        <f t="shared" si="0"/>
        <v>4290</v>
      </c>
      <c r="E38" s="26"/>
      <c r="G38" s="24"/>
    </row>
    <row r="39" spans="1:7">
      <c r="A39" s="5">
        <v>72001157</v>
      </c>
      <c r="B39" s="6" t="s">
        <v>459</v>
      </c>
      <c r="C39" s="4">
        <v>7800</v>
      </c>
      <c r="D39" s="1">
        <f t="shared" si="0"/>
        <v>4290</v>
      </c>
      <c r="E39" s="26"/>
      <c r="G39" s="24"/>
    </row>
    <row r="40" spans="1:7">
      <c r="A40" s="5">
        <v>72001159</v>
      </c>
      <c r="B40" s="6" t="s">
        <v>460</v>
      </c>
      <c r="C40" s="4">
        <v>7800</v>
      </c>
      <c r="D40" s="1">
        <f t="shared" si="0"/>
        <v>4290</v>
      </c>
      <c r="E40" s="26"/>
      <c r="G40" s="24"/>
    </row>
    <row r="41" spans="1:7">
      <c r="A41" s="5">
        <v>72001160</v>
      </c>
      <c r="B41" s="6" t="s">
        <v>461</v>
      </c>
      <c r="C41" s="4">
        <v>7800</v>
      </c>
      <c r="D41" s="1">
        <f t="shared" si="0"/>
        <v>4290</v>
      </c>
      <c r="E41" s="26"/>
      <c r="G41" s="24"/>
    </row>
    <row r="42" spans="1:7">
      <c r="A42" s="5">
        <v>72001161</v>
      </c>
      <c r="B42" s="6" t="s">
        <v>462</v>
      </c>
      <c r="C42" s="4">
        <v>7800</v>
      </c>
      <c r="D42" s="1">
        <f t="shared" si="0"/>
        <v>4290</v>
      </c>
      <c r="E42" s="26"/>
      <c r="G42" s="24"/>
    </row>
    <row r="43" spans="1:7">
      <c r="A43" s="5">
        <v>72001162</v>
      </c>
      <c r="B43" s="6" t="s">
        <v>463</v>
      </c>
      <c r="C43" s="4">
        <v>7800</v>
      </c>
      <c r="D43" s="1">
        <f t="shared" si="0"/>
        <v>4290</v>
      </c>
      <c r="E43" s="26"/>
      <c r="G43" s="24"/>
    </row>
    <row r="44" spans="1:7">
      <c r="A44" s="5">
        <v>72001163</v>
      </c>
      <c r="B44" s="6" t="s">
        <v>464</v>
      </c>
      <c r="C44" s="4">
        <v>7800</v>
      </c>
      <c r="D44" s="1">
        <f t="shared" si="0"/>
        <v>4290</v>
      </c>
      <c r="E44" s="26"/>
      <c r="G44" s="24"/>
    </row>
    <row r="45" spans="1:7">
      <c r="A45" s="5">
        <v>72001165</v>
      </c>
      <c r="B45" s="6" t="s">
        <v>465</v>
      </c>
      <c r="C45" s="4">
        <v>7800</v>
      </c>
      <c r="D45" s="1">
        <f t="shared" si="0"/>
        <v>4290</v>
      </c>
      <c r="E45" s="26"/>
      <c r="G45" s="24"/>
    </row>
    <row r="46" spans="1:7">
      <c r="A46" s="5">
        <v>72001166</v>
      </c>
      <c r="B46" s="6" t="s">
        <v>466</v>
      </c>
      <c r="C46" s="4">
        <v>7800</v>
      </c>
      <c r="D46" s="1">
        <f t="shared" si="0"/>
        <v>4290</v>
      </c>
      <c r="E46" s="26"/>
      <c r="G46" s="24"/>
    </row>
    <row r="47" spans="1:7">
      <c r="A47" s="5">
        <v>72001167</v>
      </c>
      <c r="B47" s="6" t="s">
        <v>467</v>
      </c>
      <c r="C47" s="4">
        <v>7800</v>
      </c>
      <c r="D47" s="1">
        <f t="shared" si="0"/>
        <v>4290</v>
      </c>
      <c r="E47" s="26"/>
      <c r="G47" s="24"/>
    </row>
    <row r="48" spans="1:7">
      <c r="A48" s="5">
        <v>72001168</v>
      </c>
      <c r="B48" s="6" t="s">
        <v>468</v>
      </c>
      <c r="C48" s="4">
        <v>7800</v>
      </c>
      <c r="D48" s="1">
        <f t="shared" si="0"/>
        <v>4290</v>
      </c>
      <c r="E48" s="26"/>
      <c r="G48" s="24"/>
    </row>
    <row r="49" spans="1:7">
      <c r="A49" s="5">
        <v>72001169</v>
      </c>
      <c r="B49" s="6" t="s">
        <v>469</v>
      </c>
      <c r="C49" s="4">
        <v>7800</v>
      </c>
      <c r="D49" s="1">
        <f t="shared" si="0"/>
        <v>4290</v>
      </c>
      <c r="E49" s="26"/>
      <c r="G49" s="24"/>
    </row>
    <row r="50" spans="1:7">
      <c r="A50" s="5">
        <v>72001170</v>
      </c>
      <c r="B50" s="6" t="s">
        <v>470</v>
      </c>
      <c r="C50" s="4">
        <v>7800</v>
      </c>
      <c r="D50" s="1">
        <f t="shared" si="0"/>
        <v>4290</v>
      </c>
      <c r="E50" s="26"/>
      <c r="G50" s="24"/>
    </row>
    <row r="51" spans="1:7">
      <c r="A51" s="5">
        <v>72001171</v>
      </c>
      <c r="B51" s="6" t="s">
        <v>471</v>
      </c>
      <c r="C51" s="4">
        <v>7800</v>
      </c>
      <c r="D51" s="1">
        <f t="shared" si="0"/>
        <v>4290</v>
      </c>
      <c r="E51" s="26"/>
      <c r="G51" s="24"/>
    </row>
    <row r="52" spans="1:7">
      <c r="A52" s="5">
        <v>72001172</v>
      </c>
      <c r="B52" s="6" t="s">
        <v>472</v>
      </c>
      <c r="C52" s="4">
        <v>7800</v>
      </c>
      <c r="D52" s="1">
        <f t="shared" si="0"/>
        <v>4290</v>
      </c>
      <c r="E52" s="26"/>
      <c r="G52" s="24"/>
    </row>
    <row r="53" spans="1:7">
      <c r="A53" s="5">
        <v>72001174</v>
      </c>
      <c r="B53" s="6" t="s">
        <v>473</v>
      </c>
      <c r="C53" s="4">
        <v>7800</v>
      </c>
      <c r="D53" s="1">
        <f t="shared" si="0"/>
        <v>4290</v>
      </c>
      <c r="E53" s="26"/>
      <c r="G53" s="24"/>
    </row>
    <row r="54" spans="1:7">
      <c r="A54" s="5">
        <v>72001175</v>
      </c>
      <c r="B54" s="6" t="s">
        <v>474</v>
      </c>
      <c r="C54" s="4">
        <v>7800</v>
      </c>
      <c r="D54" s="1">
        <f t="shared" si="0"/>
        <v>4290</v>
      </c>
      <c r="E54" s="26"/>
      <c r="G54" s="24"/>
    </row>
    <row r="55" spans="1:7">
      <c r="A55" s="5">
        <v>72001176</v>
      </c>
      <c r="B55" s="6" t="s">
        <v>475</v>
      </c>
      <c r="C55" s="4">
        <v>7800</v>
      </c>
      <c r="D55" s="1">
        <f t="shared" si="0"/>
        <v>4290</v>
      </c>
      <c r="E55" s="26"/>
      <c r="G55" s="24"/>
    </row>
    <row r="56" spans="1:7">
      <c r="A56" s="5">
        <v>72001177</v>
      </c>
      <c r="B56" s="6" t="s">
        <v>476</v>
      </c>
      <c r="C56" s="4">
        <v>7800</v>
      </c>
      <c r="D56" s="1">
        <f t="shared" si="0"/>
        <v>4290</v>
      </c>
      <c r="E56" s="26"/>
      <c r="G56" s="24"/>
    </row>
    <row r="57" spans="1:7">
      <c r="A57" s="5">
        <v>72001178</v>
      </c>
      <c r="B57" s="6" t="s">
        <v>477</v>
      </c>
      <c r="C57" s="4">
        <v>7800</v>
      </c>
      <c r="D57" s="1">
        <f t="shared" si="0"/>
        <v>4290</v>
      </c>
      <c r="E57" s="26"/>
      <c r="G57" s="24"/>
    </row>
    <row r="58" spans="1:7">
      <c r="A58" s="5">
        <v>72001179</v>
      </c>
      <c r="B58" s="6" t="s">
        <v>478</v>
      </c>
      <c r="C58" s="4">
        <v>7800</v>
      </c>
      <c r="D58" s="1">
        <f t="shared" si="0"/>
        <v>4290</v>
      </c>
      <c r="E58" s="26"/>
      <c r="G58" s="24"/>
    </row>
    <row r="59" spans="1:7">
      <c r="A59" s="5">
        <v>72001180</v>
      </c>
      <c r="B59" s="6" t="s">
        <v>479</v>
      </c>
      <c r="C59" s="4">
        <v>7800</v>
      </c>
      <c r="D59" s="1">
        <f t="shared" si="0"/>
        <v>4290</v>
      </c>
      <c r="E59" s="26"/>
      <c r="G59" s="24"/>
    </row>
    <row r="60" spans="1:7">
      <c r="A60" s="5">
        <v>72001181</v>
      </c>
      <c r="B60" s="6" t="s">
        <v>480</v>
      </c>
      <c r="C60" s="4">
        <v>7800</v>
      </c>
      <c r="D60" s="1">
        <f t="shared" si="0"/>
        <v>4290</v>
      </c>
      <c r="E60" s="26"/>
      <c r="G60" s="24"/>
    </row>
    <row r="61" spans="1:7">
      <c r="A61" s="5">
        <v>72001182</v>
      </c>
      <c r="B61" s="6" t="s">
        <v>481</v>
      </c>
      <c r="C61" s="4">
        <v>7800</v>
      </c>
      <c r="D61" s="1">
        <f t="shared" si="0"/>
        <v>4290</v>
      </c>
      <c r="E61" s="26"/>
      <c r="G61" s="24"/>
    </row>
    <row r="62" spans="1:7">
      <c r="A62" s="5">
        <v>72001183</v>
      </c>
      <c r="B62" s="6" t="s">
        <v>482</v>
      </c>
      <c r="C62" s="4">
        <v>7800</v>
      </c>
      <c r="D62" s="1">
        <f t="shared" si="0"/>
        <v>4290</v>
      </c>
      <c r="E62" s="26"/>
      <c r="G62" s="24"/>
    </row>
    <row r="63" spans="1:7">
      <c r="A63" s="5">
        <v>72001184</v>
      </c>
      <c r="B63" s="6" t="s">
        <v>483</v>
      </c>
      <c r="C63" s="4">
        <v>7800</v>
      </c>
      <c r="D63" s="1">
        <f t="shared" si="0"/>
        <v>4290</v>
      </c>
      <c r="E63" s="26"/>
      <c r="G63" s="24"/>
    </row>
    <row r="64" spans="1:7">
      <c r="A64" s="5">
        <v>72001185</v>
      </c>
      <c r="B64" s="6" t="s">
        <v>484</v>
      </c>
      <c r="C64" s="4">
        <v>7800</v>
      </c>
      <c r="D64" s="1">
        <f t="shared" si="0"/>
        <v>4290</v>
      </c>
      <c r="E64" s="26"/>
      <c r="G64" s="24"/>
    </row>
    <row r="65" spans="1:7">
      <c r="A65" s="5">
        <v>72001186</v>
      </c>
      <c r="B65" s="6" t="s">
        <v>485</v>
      </c>
      <c r="C65" s="4">
        <v>7800</v>
      </c>
      <c r="D65" s="1">
        <f t="shared" si="0"/>
        <v>4290</v>
      </c>
      <c r="E65" s="26"/>
      <c r="G65" s="24"/>
    </row>
    <row r="66" spans="1:7">
      <c r="A66" s="5">
        <v>72001187</v>
      </c>
      <c r="B66" s="6" t="s">
        <v>486</v>
      </c>
      <c r="C66" s="4">
        <v>7800</v>
      </c>
      <c r="D66" s="1">
        <f t="shared" si="0"/>
        <v>4290</v>
      </c>
      <c r="E66" s="26"/>
      <c r="G66" s="24"/>
    </row>
    <row r="67" spans="1:7">
      <c r="A67" s="5">
        <v>72001188</v>
      </c>
      <c r="B67" s="6" t="s">
        <v>487</v>
      </c>
      <c r="C67" s="4">
        <v>7800</v>
      </c>
      <c r="D67" s="1">
        <f t="shared" si="0"/>
        <v>4290</v>
      </c>
      <c r="E67" s="26"/>
      <c r="G67" s="24"/>
    </row>
    <row r="68" spans="1:7">
      <c r="A68" s="5">
        <v>72001189</v>
      </c>
      <c r="B68" s="6" t="s">
        <v>488</v>
      </c>
      <c r="C68" s="4">
        <v>7800</v>
      </c>
      <c r="D68" s="1">
        <f t="shared" ref="D68:D174" si="1">C68*0.55</f>
        <v>4290</v>
      </c>
      <c r="E68" s="26"/>
      <c r="G68" s="24"/>
    </row>
    <row r="69" spans="1:7">
      <c r="A69" s="5">
        <v>72001190</v>
      </c>
      <c r="B69" s="6" t="s">
        <v>489</v>
      </c>
      <c r="C69" s="4">
        <v>7800</v>
      </c>
      <c r="D69" s="1">
        <f t="shared" si="1"/>
        <v>4290</v>
      </c>
      <c r="E69" s="26"/>
      <c r="G69" s="24"/>
    </row>
    <row r="70" spans="1:7">
      <c r="A70" s="5">
        <v>72001191</v>
      </c>
      <c r="B70" s="6" t="s">
        <v>490</v>
      </c>
      <c r="C70" s="4">
        <v>7800</v>
      </c>
      <c r="D70" s="1">
        <f t="shared" si="1"/>
        <v>4290</v>
      </c>
      <c r="E70" s="26"/>
      <c r="G70" s="24"/>
    </row>
    <row r="71" spans="1:7">
      <c r="A71" s="5">
        <v>72001194</v>
      </c>
      <c r="B71" s="6" t="s">
        <v>491</v>
      </c>
      <c r="C71" s="4">
        <v>7800</v>
      </c>
      <c r="D71" s="1">
        <f t="shared" si="1"/>
        <v>4290</v>
      </c>
      <c r="E71" s="26"/>
      <c r="G71" s="24"/>
    </row>
    <row r="72" spans="1:7">
      <c r="A72" s="5">
        <v>72001196</v>
      </c>
      <c r="B72" s="6" t="s">
        <v>492</v>
      </c>
      <c r="C72" s="4">
        <v>7800</v>
      </c>
      <c r="D72" s="1">
        <f t="shared" si="1"/>
        <v>4290</v>
      </c>
      <c r="E72" s="26"/>
      <c r="G72" s="24"/>
    </row>
    <row r="73" spans="1:7">
      <c r="A73" s="5">
        <v>72001197</v>
      </c>
      <c r="B73" s="6" t="s">
        <v>493</v>
      </c>
      <c r="C73" s="4">
        <v>7800</v>
      </c>
      <c r="D73" s="1">
        <f t="shared" si="1"/>
        <v>4290</v>
      </c>
      <c r="E73" s="26"/>
      <c r="G73" s="24"/>
    </row>
    <row r="74" spans="1:7">
      <c r="A74" s="5">
        <v>72001198</v>
      </c>
      <c r="B74" s="6" t="s">
        <v>494</v>
      </c>
      <c r="C74" s="4">
        <v>7800</v>
      </c>
      <c r="D74" s="1">
        <f t="shared" si="1"/>
        <v>4290</v>
      </c>
      <c r="E74" s="26"/>
      <c r="G74" s="24"/>
    </row>
    <row r="75" spans="1:7">
      <c r="A75" s="5">
        <v>72001260</v>
      </c>
      <c r="B75" s="6" t="s">
        <v>495</v>
      </c>
      <c r="C75" s="4">
        <v>7800</v>
      </c>
      <c r="D75" s="1">
        <f t="shared" si="1"/>
        <v>4290</v>
      </c>
      <c r="E75" s="26"/>
      <c r="G75" s="24"/>
    </row>
    <row r="76" spans="1:7">
      <c r="A76" s="5">
        <v>72001261</v>
      </c>
      <c r="B76" s="6" t="s">
        <v>496</v>
      </c>
      <c r="C76" s="4">
        <v>7800</v>
      </c>
      <c r="D76" s="1">
        <f t="shared" si="1"/>
        <v>4290</v>
      </c>
      <c r="E76" s="26"/>
      <c r="G76" s="24"/>
    </row>
    <row r="77" spans="1:7">
      <c r="A77" s="5">
        <v>72001262</v>
      </c>
      <c r="B77" s="6" t="s">
        <v>497</v>
      </c>
      <c r="C77" s="4">
        <v>7800</v>
      </c>
      <c r="D77" s="1">
        <f t="shared" si="1"/>
        <v>4290</v>
      </c>
      <c r="E77" s="26"/>
      <c r="G77" s="24"/>
    </row>
    <row r="78" spans="1:7">
      <c r="A78" s="5">
        <v>72001263</v>
      </c>
      <c r="B78" s="6" t="s">
        <v>498</v>
      </c>
      <c r="C78" s="4">
        <v>7800</v>
      </c>
      <c r="D78" s="1">
        <f t="shared" si="1"/>
        <v>4290</v>
      </c>
      <c r="E78" s="26"/>
      <c r="G78" s="24"/>
    </row>
    <row r="79" spans="1:7">
      <c r="A79" s="5">
        <v>72001264</v>
      </c>
      <c r="B79" s="6" t="s">
        <v>499</v>
      </c>
      <c r="C79" s="4">
        <v>7800</v>
      </c>
      <c r="D79" s="1">
        <f t="shared" si="1"/>
        <v>4290</v>
      </c>
      <c r="E79" s="26"/>
      <c r="G79" s="24"/>
    </row>
    <row r="80" spans="1:7">
      <c r="A80" s="5">
        <v>72001265</v>
      </c>
      <c r="B80" s="6" t="s">
        <v>500</v>
      </c>
      <c r="C80" s="4">
        <v>7800</v>
      </c>
      <c r="D80" s="1">
        <f t="shared" si="1"/>
        <v>4290</v>
      </c>
      <c r="E80" s="26"/>
      <c r="G80" s="24"/>
    </row>
    <row r="81" spans="1:7">
      <c r="A81" s="5">
        <v>72001266</v>
      </c>
      <c r="B81" s="6" t="s">
        <v>501</v>
      </c>
      <c r="C81" s="4">
        <v>7800</v>
      </c>
      <c r="D81" s="1">
        <f t="shared" si="1"/>
        <v>4290</v>
      </c>
      <c r="E81" s="26"/>
      <c r="G81" s="24"/>
    </row>
    <row r="82" spans="1:7">
      <c r="A82" s="5">
        <v>72001267</v>
      </c>
      <c r="B82" s="6" t="s">
        <v>502</v>
      </c>
      <c r="C82" s="4">
        <v>7800</v>
      </c>
      <c r="D82" s="1">
        <f t="shared" si="1"/>
        <v>4290</v>
      </c>
      <c r="E82" s="26"/>
      <c r="G82" s="24"/>
    </row>
    <row r="83" spans="1:7">
      <c r="A83" s="5">
        <v>72001268</v>
      </c>
      <c r="B83" s="6" t="s">
        <v>503</v>
      </c>
      <c r="C83" s="4">
        <v>7800</v>
      </c>
      <c r="D83" s="1">
        <f t="shared" si="1"/>
        <v>4290</v>
      </c>
      <c r="E83" s="26"/>
      <c r="G83" s="24"/>
    </row>
    <row r="84" spans="1:7">
      <c r="A84" s="5">
        <v>72001269</v>
      </c>
      <c r="B84" s="6" t="s">
        <v>504</v>
      </c>
      <c r="C84" s="4">
        <v>7800</v>
      </c>
      <c r="D84" s="1">
        <f t="shared" si="1"/>
        <v>4290</v>
      </c>
      <c r="E84" s="26"/>
      <c r="G84" s="24"/>
    </row>
    <row r="85" spans="1:7">
      <c r="A85" s="5">
        <v>72001270</v>
      </c>
      <c r="B85" s="6" t="s">
        <v>505</v>
      </c>
      <c r="C85" s="4">
        <v>7800</v>
      </c>
      <c r="D85" s="1">
        <f t="shared" si="1"/>
        <v>4290</v>
      </c>
      <c r="E85" s="26"/>
      <c r="G85" s="24"/>
    </row>
    <row r="86" spans="1:7">
      <c r="A86" s="5">
        <v>72001272</v>
      </c>
      <c r="B86" s="6" t="s">
        <v>506</v>
      </c>
      <c r="C86" s="4">
        <v>7800</v>
      </c>
      <c r="D86" s="1">
        <f t="shared" si="1"/>
        <v>4290</v>
      </c>
      <c r="E86" s="26"/>
      <c r="G86" s="24"/>
    </row>
    <row r="87" spans="1:7">
      <c r="A87" s="73" t="s">
        <v>507</v>
      </c>
      <c r="B87" s="85"/>
      <c r="C87" s="85"/>
      <c r="D87" s="85"/>
      <c r="E87" s="86"/>
      <c r="G87" s="24"/>
    </row>
    <row r="88" spans="1:7">
      <c r="A88" s="5">
        <v>72701310</v>
      </c>
      <c r="B88" s="6" t="s">
        <v>87</v>
      </c>
      <c r="C88" s="4">
        <v>8800</v>
      </c>
      <c r="D88" s="1">
        <f t="shared" si="1"/>
        <v>4840</v>
      </c>
      <c r="E88" s="27"/>
      <c r="G88" s="24"/>
    </row>
    <row r="89" spans="1:7">
      <c r="A89" s="5">
        <v>72701312</v>
      </c>
      <c r="B89" s="6" t="s">
        <v>88</v>
      </c>
      <c r="C89" s="4">
        <v>8800</v>
      </c>
      <c r="D89" s="1">
        <f t="shared" si="1"/>
        <v>4840</v>
      </c>
      <c r="E89" s="27"/>
      <c r="G89" s="24"/>
    </row>
    <row r="90" spans="1:7">
      <c r="A90" s="5">
        <v>72701313</v>
      </c>
      <c r="B90" s="6" t="s">
        <v>89</v>
      </c>
      <c r="C90" s="4">
        <v>8800</v>
      </c>
      <c r="D90" s="1">
        <f t="shared" si="1"/>
        <v>4840</v>
      </c>
      <c r="E90" s="27"/>
      <c r="G90" s="24"/>
    </row>
    <row r="91" spans="1:7">
      <c r="A91" s="5">
        <v>72701314</v>
      </c>
      <c r="B91" s="6" t="s">
        <v>90</v>
      </c>
      <c r="C91" s="4">
        <v>8800</v>
      </c>
      <c r="D91" s="1">
        <f t="shared" si="1"/>
        <v>4840</v>
      </c>
      <c r="E91" s="27"/>
      <c r="G91" s="24"/>
    </row>
    <row r="92" spans="1:7">
      <c r="A92" s="5">
        <v>72701315</v>
      </c>
      <c r="B92" s="6" t="s">
        <v>91</v>
      </c>
      <c r="C92" s="4">
        <v>8800</v>
      </c>
      <c r="D92" s="1">
        <f t="shared" si="1"/>
        <v>4840</v>
      </c>
      <c r="E92" s="27"/>
      <c r="G92" s="24"/>
    </row>
    <row r="93" spans="1:7">
      <c r="A93" s="5">
        <v>72701317</v>
      </c>
      <c r="B93" s="6" t="s">
        <v>92</v>
      </c>
      <c r="C93" s="4">
        <v>8800</v>
      </c>
      <c r="D93" s="1">
        <f t="shared" si="1"/>
        <v>4840</v>
      </c>
      <c r="E93" s="27"/>
      <c r="G93" s="24"/>
    </row>
    <row r="94" spans="1:7">
      <c r="A94" s="5">
        <v>72701319</v>
      </c>
      <c r="B94" s="6" t="s">
        <v>93</v>
      </c>
      <c r="C94" s="4">
        <v>8800</v>
      </c>
      <c r="D94" s="1">
        <f t="shared" si="1"/>
        <v>4840</v>
      </c>
      <c r="E94" s="27"/>
      <c r="G94" s="24"/>
    </row>
    <row r="95" spans="1:7">
      <c r="A95" s="5">
        <v>72701321</v>
      </c>
      <c r="B95" s="6" t="s">
        <v>94</v>
      </c>
      <c r="C95" s="4">
        <v>8800</v>
      </c>
      <c r="D95" s="1">
        <f t="shared" si="1"/>
        <v>4840</v>
      </c>
      <c r="E95" s="27"/>
      <c r="G95" s="24"/>
    </row>
    <row r="96" spans="1:7">
      <c r="A96" s="5">
        <v>72701323</v>
      </c>
      <c r="B96" s="6" t="s">
        <v>95</v>
      </c>
      <c r="C96" s="4">
        <v>8800</v>
      </c>
      <c r="D96" s="1">
        <f t="shared" si="1"/>
        <v>4840</v>
      </c>
      <c r="E96" s="27"/>
      <c r="G96" s="24"/>
    </row>
    <row r="97" spans="1:7">
      <c r="A97" s="5">
        <v>72701324</v>
      </c>
      <c r="B97" s="6" t="s">
        <v>96</v>
      </c>
      <c r="C97" s="4">
        <v>8800</v>
      </c>
      <c r="D97" s="1">
        <f t="shared" si="1"/>
        <v>4840</v>
      </c>
      <c r="E97" s="27"/>
      <c r="G97" s="24"/>
    </row>
    <row r="98" spans="1:7">
      <c r="A98" s="5">
        <v>72701326</v>
      </c>
      <c r="B98" s="6" t="s">
        <v>97</v>
      </c>
      <c r="C98" s="4">
        <v>8800</v>
      </c>
      <c r="D98" s="1">
        <f t="shared" si="1"/>
        <v>4840</v>
      </c>
      <c r="E98" s="27"/>
      <c r="G98" s="24"/>
    </row>
    <row r="99" spans="1:7">
      <c r="A99" s="5">
        <v>72701329</v>
      </c>
      <c r="B99" s="6" t="s">
        <v>98</v>
      </c>
      <c r="C99" s="4">
        <v>8800</v>
      </c>
      <c r="D99" s="1">
        <f t="shared" si="1"/>
        <v>4840</v>
      </c>
      <c r="E99" s="27"/>
      <c r="G99" s="24"/>
    </row>
    <row r="100" spans="1:7">
      <c r="A100" s="5">
        <v>72701330</v>
      </c>
      <c r="B100" s="6" t="s">
        <v>99</v>
      </c>
      <c r="C100" s="4">
        <v>8800</v>
      </c>
      <c r="D100" s="1">
        <f t="shared" si="1"/>
        <v>4840</v>
      </c>
      <c r="E100" s="27"/>
      <c r="G100" s="24"/>
    </row>
    <row r="101" spans="1:7">
      <c r="A101" s="5">
        <v>72701331</v>
      </c>
      <c r="B101" s="6" t="s">
        <v>100</v>
      </c>
      <c r="C101" s="4">
        <v>8800</v>
      </c>
      <c r="D101" s="1">
        <f t="shared" si="1"/>
        <v>4840</v>
      </c>
      <c r="E101" s="27"/>
      <c r="G101" s="24"/>
    </row>
    <row r="102" spans="1:7">
      <c r="A102" s="5">
        <v>72701332</v>
      </c>
      <c r="B102" s="6" t="s">
        <v>101</v>
      </c>
      <c r="C102" s="4">
        <v>8800</v>
      </c>
      <c r="D102" s="1">
        <f t="shared" si="1"/>
        <v>4840</v>
      </c>
      <c r="E102" s="27"/>
      <c r="G102" s="24"/>
    </row>
    <row r="103" spans="1:7">
      <c r="A103" s="5">
        <v>72701333</v>
      </c>
      <c r="B103" s="6" t="s">
        <v>102</v>
      </c>
      <c r="C103" s="4">
        <v>8800</v>
      </c>
      <c r="D103" s="1">
        <f t="shared" si="1"/>
        <v>4840</v>
      </c>
      <c r="E103" s="27"/>
      <c r="G103" s="24"/>
    </row>
    <row r="104" spans="1:7">
      <c r="A104" s="5">
        <v>72701334</v>
      </c>
      <c r="B104" s="6" t="s">
        <v>103</v>
      </c>
      <c r="C104" s="4">
        <v>8800</v>
      </c>
      <c r="D104" s="1">
        <f t="shared" si="1"/>
        <v>4840</v>
      </c>
      <c r="E104" s="27"/>
      <c r="G104" s="24"/>
    </row>
    <row r="105" spans="1:7">
      <c r="A105" s="5">
        <v>72701335</v>
      </c>
      <c r="B105" s="6" t="s">
        <v>104</v>
      </c>
      <c r="C105" s="4">
        <v>8800</v>
      </c>
      <c r="D105" s="1">
        <f t="shared" si="1"/>
        <v>4840</v>
      </c>
      <c r="E105" s="27"/>
      <c r="G105" s="24"/>
    </row>
    <row r="106" spans="1:7">
      <c r="A106" s="5">
        <v>72701336</v>
      </c>
      <c r="B106" s="6" t="s">
        <v>105</v>
      </c>
      <c r="C106" s="4">
        <v>8800</v>
      </c>
      <c r="D106" s="1">
        <f t="shared" si="1"/>
        <v>4840</v>
      </c>
      <c r="E106" s="27"/>
      <c r="G106" s="24"/>
    </row>
    <row r="107" spans="1:7">
      <c r="A107" s="5">
        <v>72701337</v>
      </c>
      <c r="B107" s="6" t="s">
        <v>106</v>
      </c>
      <c r="C107" s="4">
        <v>8800</v>
      </c>
      <c r="D107" s="1">
        <f t="shared" si="1"/>
        <v>4840</v>
      </c>
      <c r="E107" s="27"/>
      <c r="G107" s="24"/>
    </row>
    <row r="108" spans="1:7">
      <c r="A108" s="5">
        <v>72701338</v>
      </c>
      <c r="B108" s="6" t="s">
        <v>107</v>
      </c>
      <c r="C108" s="4">
        <v>8800</v>
      </c>
      <c r="D108" s="1">
        <f t="shared" si="1"/>
        <v>4840</v>
      </c>
      <c r="E108" s="27"/>
      <c r="G108" s="24"/>
    </row>
    <row r="109" spans="1:7">
      <c r="A109" s="5">
        <v>72701339</v>
      </c>
      <c r="B109" s="6" t="s">
        <v>108</v>
      </c>
      <c r="C109" s="4">
        <v>8800</v>
      </c>
      <c r="D109" s="1">
        <f t="shared" si="1"/>
        <v>4840</v>
      </c>
      <c r="E109" s="27"/>
      <c r="G109" s="24"/>
    </row>
    <row r="110" spans="1:7">
      <c r="A110" s="5">
        <v>72701341</v>
      </c>
      <c r="B110" s="6" t="s">
        <v>109</v>
      </c>
      <c r="C110" s="4">
        <v>8800</v>
      </c>
      <c r="D110" s="1">
        <f t="shared" si="1"/>
        <v>4840</v>
      </c>
      <c r="E110" s="27"/>
      <c r="G110" s="24"/>
    </row>
    <row r="111" spans="1:7">
      <c r="A111" s="5">
        <v>72701342</v>
      </c>
      <c r="B111" s="6" t="s">
        <v>110</v>
      </c>
      <c r="C111" s="4">
        <v>8800</v>
      </c>
      <c r="D111" s="1">
        <f t="shared" si="1"/>
        <v>4840</v>
      </c>
      <c r="E111" s="27"/>
      <c r="G111" s="24"/>
    </row>
    <row r="112" spans="1:7">
      <c r="A112" s="5">
        <v>72701343</v>
      </c>
      <c r="B112" s="6" t="s">
        <v>111</v>
      </c>
      <c r="C112" s="4">
        <v>8800</v>
      </c>
      <c r="D112" s="1">
        <f t="shared" si="1"/>
        <v>4840</v>
      </c>
      <c r="E112" s="27"/>
      <c r="G112" s="24"/>
    </row>
    <row r="113" spans="1:11">
      <c r="A113" s="5">
        <v>72701344</v>
      </c>
      <c r="B113" s="6" t="s">
        <v>112</v>
      </c>
      <c r="C113" s="4">
        <v>8800</v>
      </c>
      <c r="D113" s="1">
        <f t="shared" si="1"/>
        <v>4840</v>
      </c>
      <c r="E113" s="27"/>
      <c r="G113" s="24"/>
    </row>
    <row r="114" spans="1:11">
      <c r="A114" s="5">
        <v>72701346</v>
      </c>
      <c r="B114" s="6" t="s">
        <v>113</v>
      </c>
      <c r="C114" s="4">
        <v>8800</v>
      </c>
      <c r="D114" s="1">
        <f t="shared" si="1"/>
        <v>4840</v>
      </c>
      <c r="E114" s="27"/>
      <c r="G114" s="24"/>
    </row>
    <row r="115" spans="1:11">
      <c r="A115" s="67" t="s">
        <v>370</v>
      </c>
      <c r="B115" s="67"/>
      <c r="C115" s="67"/>
      <c r="D115" s="67"/>
      <c r="E115" s="67"/>
      <c r="G115" s="24"/>
    </row>
    <row r="116" spans="1:11">
      <c r="A116" s="5">
        <v>72501120</v>
      </c>
      <c r="B116" s="6" t="s">
        <v>508</v>
      </c>
      <c r="C116" s="4">
        <v>8800</v>
      </c>
      <c r="D116" s="1">
        <f t="shared" si="1"/>
        <v>4840</v>
      </c>
      <c r="E116" s="27"/>
      <c r="G116" s="24"/>
      <c r="J116" s="28"/>
      <c r="K116" s="29"/>
    </row>
    <row r="117" spans="1:11">
      <c r="A117" s="5">
        <v>72501121</v>
      </c>
      <c r="B117" s="6" t="s">
        <v>509</v>
      </c>
      <c r="C117" s="4">
        <v>8800</v>
      </c>
      <c r="D117" s="1">
        <f t="shared" si="1"/>
        <v>4840</v>
      </c>
      <c r="E117" s="27"/>
      <c r="G117" s="24"/>
      <c r="J117" s="28"/>
      <c r="K117" s="29"/>
    </row>
    <row r="118" spans="1:11">
      <c r="A118" s="5">
        <v>72501122</v>
      </c>
      <c r="B118" s="6" t="s">
        <v>510</v>
      </c>
      <c r="C118" s="4">
        <v>8800</v>
      </c>
      <c r="D118" s="1">
        <f t="shared" si="1"/>
        <v>4840</v>
      </c>
      <c r="E118" s="27"/>
      <c r="G118" s="24"/>
      <c r="J118" s="28"/>
      <c r="K118" s="29"/>
    </row>
    <row r="119" spans="1:11">
      <c r="A119" s="5">
        <v>72501123</v>
      </c>
      <c r="B119" s="6" t="s">
        <v>511</v>
      </c>
      <c r="C119" s="4">
        <v>8800</v>
      </c>
      <c r="D119" s="1">
        <f t="shared" si="1"/>
        <v>4840</v>
      </c>
      <c r="E119" s="27"/>
      <c r="G119" s="24"/>
      <c r="J119" s="28"/>
      <c r="K119" s="29"/>
    </row>
    <row r="120" spans="1:11">
      <c r="A120" s="5">
        <v>72501124</v>
      </c>
      <c r="B120" s="6" t="s">
        <v>512</v>
      </c>
      <c r="C120" s="4">
        <v>8800</v>
      </c>
      <c r="D120" s="1">
        <f t="shared" si="1"/>
        <v>4840</v>
      </c>
      <c r="E120" s="27"/>
      <c r="G120" s="24"/>
      <c r="J120" s="28"/>
      <c r="K120" s="29"/>
    </row>
    <row r="121" spans="1:11">
      <c r="A121" s="5">
        <v>72501125</v>
      </c>
      <c r="B121" s="6" t="s">
        <v>513</v>
      </c>
      <c r="C121" s="4">
        <v>8800</v>
      </c>
      <c r="D121" s="1">
        <f t="shared" si="1"/>
        <v>4840</v>
      </c>
      <c r="E121" s="27"/>
      <c r="G121" s="24"/>
      <c r="J121" s="28"/>
      <c r="K121" s="29"/>
    </row>
    <row r="122" spans="1:11">
      <c r="A122" s="5">
        <v>72501126</v>
      </c>
      <c r="B122" s="6" t="s">
        <v>518</v>
      </c>
      <c r="C122" s="4">
        <v>8800</v>
      </c>
      <c r="D122" s="1">
        <f t="shared" si="1"/>
        <v>4840</v>
      </c>
      <c r="E122" s="27"/>
      <c r="G122" s="24"/>
      <c r="J122" s="28"/>
      <c r="K122" s="29"/>
    </row>
    <row r="123" spans="1:11">
      <c r="A123" s="5">
        <v>72501127</v>
      </c>
      <c r="B123" s="6" t="s">
        <v>514</v>
      </c>
      <c r="C123" s="4">
        <v>8800</v>
      </c>
      <c r="D123" s="1">
        <f t="shared" si="1"/>
        <v>4840</v>
      </c>
      <c r="E123" s="27"/>
      <c r="G123" s="24"/>
    </row>
    <row r="124" spans="1:11">
      <c r="A124" s="5">
        <v>72501128</v>
      </c>
      <c r="B124" s="6" t="s">
        <v>517</v>
      </c>
      <c r="C124" s="4">
        <v>8800</v>
      </c>
      <c r="D124" s="1">
        <f t="shared" si="1"/>
        <v>4840</v>
      </c>
      <c r="E124" s="27"/>
      <c r="G124" s="24"/>
    </row>
    <row r="125" spans="1:11">
      <c r="A125" s="5">
        <v>72501129</v>
      </c>
      <c r="B125" s="6" t="s">
        <v>515</v>
      </c>
      <c r="C125" s="4">
        <v>8800</v>
      </c>
      <c r="D125" s="1">
        <f t="shared" si="1"/>
        <v>4840</v>
      </c>
      <c r="E125" s="27"/>
      <c r="G125" s="24"/>
    </row>
    <row r="126" spans="1:11">
      <c r="A126" s="5">
        <v>72501130</v>
      </c>
      <c r="B126" s="6" t="s">
        <v>516</v>
      </c>
      <c r="C126" s="4">
        <v>8800</v>
      </c>
      <c r="D126" s="1">
        <f t="shared" si="1"/>
        <v>4840</v>
      </c>
      <c r="E126" s="27"/>
      <c r="G126" s="24"/>
    </row>
    <row r="127" spans="1:11">
      <c r="A127" s="5">
        <v>72501131</v>
      </c>
      <c r="B127" s="6" t="s">
        <v>519</v>
      </c>
      <c r="C127" s="4">
        <v>8800</v>
      </c>
      <c r="D127" s="1">
        <f t="shared" si="1"/>
        <v>4840</v>
      </c>
      <c r="E127" s="27"/>
      <c r="G127" s="24"/>
    </row>
    <row r="128" spans="1:11">
      <c r="A128" s="67" t="s">
        <v>371</v>
      </c>
      <c r="B128" s="67"/>
      <c r="C128" s="67"/>
      <c r="D128" s="67"/>
      <c r="E128" s="67"/>
      <c r="G128" s="24"/>
    </row>
    <row r="129" spans="1:7">
      <c r="A129" s="5">
        <v>73301451</v>
      </c>
      <c r="B129" s="23" t="s">
        <v>520</v>
      </c>
      <c r="C129" s="4">
        <v>7800</v>
      </c>
      <c r="D129" s="1">
        <f t="shared" si="1"/>
        <v>4290</v>
      </c>
      <c r="E129" s="27"/>
      <c r="G129" s="24"/>
    </row>
    <row r="130" spans="1:7">
      <c r="A130" s="5">
        <v>73301452</v>
      </c>
      <c r="B130" s="6" t="s">
        <v>521</v>
      </c>
      <c r="C130" s="4">
        <v>7800</v>
      </c>
      <c r="D130" s="1">
        <f t="shared" si="1"/>
        <v>4290</v>
      </c>
      <c r="E130" s="27"/>
      <c r="G130" s="24"/>
    </row>
    <row r="131" spans="1:7">
      <c r="A131" s="5">
        <v>73301453</v>
      </c>
      <c r="B131" s="6" t="s">
        <v>522</v>
      </c>
      <c r="C131" s="4">
        <v>7800</v>
      </c>
      <c r="D131" s="1">
        <f t="shared" si="1"/>
        <v>4290</v>
      </c>
      <c r="E131" s="27"/>
      <c r="G131" s="24"/>
    </row>
    <row r="132" spans="1:7">
      <c r="A132" s="5">
        <v>73301454</v>
      </c>
      <c r="B132" s="6" t="s">
        <v>523</v>
      </c>
      <c r="C132" s="4">
        <v>7800</v>
      </c>
      <c r="D132" s="1">
        <f t="shared" si="1"/>
        <v>4290</v>
      </c>
      <c r="E132" s="27"/>
      <c r="G132" s="24"/>
    </row>
    <row r="133" spans="1:7">
      <c r="A133" s="5">
        <v>73301455</v>
      </c>
      <c r="B133" s="6" t="s">
        <v>524</v>
      </c>
      <c r="C133" s="4">
        <v>7800</v>
      </c>
      <c r="D133" s="1">
        <f t="shared" si="1"/>
        <v>4290</v>
      </c>
      <c r="E133" s="27"/>
      <c r="G133" s="24"/>
    </row>
    <row r="134" spans="1:7">
      <c r="A134" s="5">
        <v>73301456</v>
      </c>
      <c r="B134" s="6" t="s">
        <v>525</v>
      </c>
      <c r="C134" s="4">
        <v>7800</v>
      </c>
      <c r="D134" s="1">
        <f t="shared" si="1"/>
        <v>4290</v>
      </c>
      <c r="E134" s="27"/>
      <c r="G134" s="24"/>
    </row>
    <row r="135" spans="1:7">
      <c r="A135" s="5">
        <v>73301457</v>
      </c>
      <c r="B135" s="6" t="s">
        <v>526</v>
      </c>
      <c r="C135" s="4">
        <v>7800</v>
      </c>
      <c r="D135" s="1">
        <f t="shared" si="1"/>
        <v>4290</v>
      </c>
      <c r="E135" s="27"/>
      <c r="G135" s="24"/>
    </row>
    <row r="136" spans="1:7">
      <c r="A136" s="67" t="s">
        <v>375</v>
      </c>
      <c r="B136" s="67"/>
      <c r="C136" s="67"/>
      <c r="D136" s="67"/>
      <c r="E136" s="67"/>
      <c r="G136" s="24"/>
    </row>
    <row r="137" spans="1:7">
      <c r="A137" s="5">
        <v>72004001</v>
      </c>
      <c r="B137" s="6" t="s">
        <v>211</v>
      </c>
      <c r="C137" s="4">
        <v>22000</v>
      </c>
      <c r="D137" s="1">
        <f t="shared" ref="D137:D165" si="2">C137*0.55</f>
        <v>12100.000000000002</v>
      </c>
      <c r="E137" s="27"/>
      <c r="G137" s="24"/>
    </row>
    <row r="138" spans="1:7">
      <c r="A138" s="5">
        <v>72004005</v>
      </c>
      <c r="B138" s="6" t="s">
        <v>212</v>
      </c>
      <c r="C138" s="4">
        <v>22000</v>
      </c>
      <c r="D138" s="1">
        <f t="shared" si="2"/>
        <v>12100.000000000002</v>
      </c>
      <c r="E138" s="27"/>
      <c r="G138" s="24"/>
    </row>
    <row r="139" spans="1:7">
      <c r="A139" s="5">
        <v>72004101</v>
      </c>
      <c r="B139" s="6" t="s">
        <v>215</v>
      </c>
      <c r="C139" s="4">
        <v>22000</v>
      </c>
      <c r="D139" s="1">
        <f t="shared" si="2"/>
        <v>12100.000000000002</v>
      </c>
      <c r="E139" s="27"/>
      <c r="G139" s="24"/>
    </row>
    <row r="140" spans="1:7">
      <c r="A140" s="5">
        <v>72004105</v>
      </c>
      <c r="B140" s="6" t="s">
        <v>216</v>
      </c>
      <c r="C140" s="4">
        <v>22000</v>
      </c>
      <c r="D140" s="1">
        <f t="shared" si="2"/>
        <v>12100.000000000002</v>
      </c>
      <c r="E140" s="27"/>
      <c r="G140" s="24"/>
    </row>
    <row r="141" spans="1:7">
      <c r="A141" s="30">
        <v>72004004</v>
      </c>
      <c r="B141" s="6" t="s">
        <v>336</v>
      </c>
      <c r="C141" s="4">
        <v>22000</v>
      </c>
      <c r="D141" s="1">
        <f t="shared" si="2"/>
        <v>12100.000000000002</v>
      </c>
      <c r="E141" s="27"/>
      <c r="G141" s="24"/>
    </row>
    <row r="142" spans="1:7">
      <c r="A142" s="30">
        <v>72004014</v>
      </c>
      <c r="B142" s="6" t="s">
        <v>337</v>
      </c>
      <c r="C142" s="4">
        <v>22000</v>
      </c>
      <c r="D142" s="1">
        <f t="shared" si="2"/>
        <v>12100.000000000002</v>
      </c>
      <c r="E142" s="27"/>
      <c r="G142" s="24"/>
    </row>
    <row r="143" spans="1:7">
      <c r="A143" s="30">
        <v>72004015</v>
      </c>
      <c r="B143" s="6" t="s">
        <v>338</v>
      </c>
      <c r="C143" s="4">
        <v>22000</v>
      </c>
      <c r="D143" s="1">
        <f t="shared" si="2"/>
        <v>12100.000000000002</v>
      </c>
      <c r="E143" s="27"/>
      <c r="G143" s="24"/>
    </row>
    <row r="144" spans="1:7">
      <c r="A144" s="30">
        <v>72004018</v>
      </c>
      <c r="B144" s="6" t="s">
        <v>339</v>
      </c>
      <c r="C144" s="4">
        <v>22000</v>
      </c>
      <c r="D144" s="1">
        <f t="shared" si="2"/>
        <v>12100.000000000002</v>
      </c>
      <c r="E144" s="27"/>
      <c r="G144" s="24"/>
    </row>
    <row r="145" spans="1:7">
      <c r="A145" s="30">
        <v>72004021</v>
      </c>
      <c r="B145" s="6" t="s">
        <v>340</v>
      </c>
      <c r="C145" s="4">
        <v>22000</v>
      </c>
      <c r="D145" s="1">
        <f t="shared" si="2"/>
        <v>12100.000000000002</v>
      </c>
      <c r="E145" s="27"/>
      <c r="G145" s="24"/>
    </row>
    <row r="146" spans="1:7">
      <c r="A146" s="30">
        <v>72004024</v>
      </c>
      <c r="B146" s="6" t="s">
        <v>341</v>
      </c>
      <c r="C146" s="4">
        <v>22000</v>
      </c>
      <c r="D146" s="1">
        <f t="shared" si="2"/>
        <v>12100.000000000002</v>
      </c>
      <c r="E146" s="27"/>
      <c r="G146" s="24"/>
    </row>
    <row r="147" spans="1:7">
      <c r="A147" s="30">
        <v>72004029</v>
      </c>
      <c r="B147" s="6" t="s">
        <v>342</v>
      </c>
      <c r="C147" s="4">
        <v>22000</v>
      </c>
      <c r="D147" s="1">
        <f t="shared" si="2"/>
        <v>12100.000000000002</v>
      </c>
      <c r="E147" s="27"/>
      <c r="G147" s="24"/>
    </row>
    <row r="148" spans="1:7">
      <c r="A148" s="30">
        <v>72004040</v>
      </c>
      <c r="B148" s="6" t="s">
        <v>343</v>
      </c>
      <c r="C148" s="4">
        <v>22000</v>
      </c>
      <c r="D148" s="1">
        <f t="shared" si="2"/>
        <v>12100.000000000002</v>
      </c>
      <c r="E148" s="27"/>
      <c r="G148" s="24"/>
    </row>
    <row r="149" spans="1:7">
      <c r="A149" s="30">
        <v>72004042</v>
      </c>
      <c r="B149" s="6" t="s">
        <v>344</v>
      </c>
      <c r="C149" s="4">
        <v>22000</v>
      </c>
      <c r="D149" s="1">
        <f t="shared" si="2"/>
        <v>12100.000000000002</v>
      </c>
      <c r="E149" s="27"/>
      <c r="G149" s="24"/>
    </row>
    <row r="150" spans="1:7">
      <c r="A150" s="30">
        <v>72004050</v>
      </c>
      <c r="B150" s="6" t="s">
        <v>345</v>
      </c>
      <c r="C150" s="4">
        <v>22000</v>
      </c>
      <c r="D150" s="1">
        <f t="shared" si="2"/>
        <v>12100.000000000002</v>
      </c>
      <c r="E150" s="27"/>
      <c r="G150" s="24"/>
    </row>
    <row r="151" spans="1:7">
      <c r="A151" s="30">
        <v>72004060</v>
      </c>
      <c r="B151" s="6" t="s">
        <v>346</v>
      </c>
      <c r="C151" s="4">
        <v>22000</v>
      </c>
      <c r="D151" s="1">
        <f t="shared" si="2"/>
        <v>12100.000000000002</v>
      </c>
      <c r="E151" s="27"/>
      <c r="G151" s="24"/>
    </row>
    <row r="152" spans="1:7">
      <c r="A152" s="30">
        <v>72004064</v>
      </c>
      <c r="B152" s="6" t="s">
        <v>213</v>
      </c>
      <c r="C152" s="4">
        <v>22000</v>
      </c>
      <c r="D152" s="1">
        <f t="shared" si="2"/>
        <v>12100.000000000002</v>
      </c>
      <c r="E152" s="27"/>
      <c r="G152" s="24"/>
    </row>
    <row r="153" spans="1:7">
      <c r="A153" s="30">
        <v>72004070</v>
      </c>
      <c r="B153" s="6" t="s">
        <v>347</v>
      </c>
      <c r="C153" s="4">
        <v>22000</v>
      </c>
      <c r="D153" s="1">
        <f t="shared" si="2"/>
        <v>12100.000000000002</v>
      </c>
      <c r="E153" s="27"/>
      <c r="G153" s="24"/>
    </row>
    <row r="154" spans="1:7">
      <c r="A154" s="30">
        <v>72004072</v>
      </c>
      <c r="B154" s="6" t="s">
        <v>348</v>
      </c>
      <c r="C154" s="4">
        <v>22000</v>
      </c>
      <c r="D154" s="1">
        <f t="shared" si="2"/>
        <v>12100.000000000002</v>
      </c>
      <c r="E154" s="27"/>
      <c r="G154" s="24"/>
    </row>
    <row r="155" spans="1:7">
      <c r="A155" s="30">
        <v>72004075</v>
      </c>
      <c r="B155" s="6" t="s">
        <v>214</v>
      </c>
      <c r="C155" s="4">
        <v>22000</v>
      </c>
      <c r="D155" s="1">
        <f t="shared" si="2"/>
        <v>12100.000000000002</v>
      </c>
      <c r="E155" s="27"/>
      <c r="G155" s="24"/>
    </row>
    <row r="156" spans="1:7">
      <c r="A156" s="30">
        <v>72004080</v>
      </c>
      <c r="B156" s="6" t="s">
        <v>349</v>
      </c>
      <c r="C156" s="4">
        <v>22000</v>
      </c>
      <c r="D156" s="1">
        <f t="shared" si="2"/>
        <v>12100.000000000002</v>
      </c>
      <c r="E156" s="27"/>
      <c r="G156" s="24"/>
    </row>
    <row r="157" spans="1:7">
      <c r="A157" s="30">
        <v>72004081</v>
      </c>
      <c r="B157" s="6" t="s">
        <v>350</v>
      </c>
      <c r="C157" s="4">
        <v>22000</v>
      </c>
      <c r="D157" s="1">
        <f t="shared" si="2"/>
        <v>12100.000000000002</v>
      </c>
      <c r="E157" s="27"/>
      <c r="G157" s="24"/>
    </row>
    <row r="158" spans="1:7">
      <c r="A158" s="30">
        <v>72004082</v>
      </c>
      <c r="B158" s="6" t="s">
        <v>351</v>
      </c>
      <c r="C158" s="4">
        <v>22000</v>
      </c>
      <c r="D158" s="1">
        <f t="shared" si="2"/>
        <v>12100.000000000002</v>
      </c>
      <c r="E158" s="27"/>
      <c r="G158" s="24"/>
    </row>
    <row r="159" spans="1:7">
      <c r="A159" s="30">
        <v>72004150</v>
      </c>
      <c r="B159" s="6" t="s">
        <v>352</v>
      </c>
      <c r="C159" s="4">
        <v>22000</v>
      </c>
      <c r="D159" s="1">
        <f t="shared" si="2"/>
        <v>12100.000000000002</v>
      </c>
      <c r="E159" s="27"/>
      <c r="G159" s="24"/>
    </row>
    <row r="160" spans="1:7">
      <c r="A160" s="30">
        <v>72004160</v>
      </c>
      <c r="B160" s="6" t="s">
        <v>353</v>
      </c>
      <c r="C160" s="4">
        <v>22000</v>
      </c>
      <c r="D160" s="1">
        <f t="shared" si="2"/>
        <v>12100.000000000002</v>
      </c>
      <c r="E160" s="27"/>
      <c r="G160" s="24"/>
    </row>
    <row r="161" spans="1:7">
      <c r="A161" s="30">
        <v>72004162</v>
      </c>
      <c r="B161" s="6" t="s">
        <v>354</v>
      </c>
      <c r="C161" s="4">
        <v>22000</v>
      </c>
      <c r="D161" s="1">
        <f t="shared" si="2"/>
        <v>12100.000000000002</v>
      </c>
      <c r="E161" s="27"/>
      <c r="G161" s="24"/>
    </row>
    <row r="162" spans="1:7">
      <c r="A162" s="30">
        <v>72004181</v>
      </c>
      <c r="B162" s="6" t="s">
        <v>355</v>
      </c>
      <c r="C162" s="4">
        <v>22000</v>
      </c>
      <c r="D162" s="1">
        <f t="shared" si="2"/>
        <v>12100.000000000002</v>
      </c>
      <c r="E162" s="27"/>
      <c r="G162" s="24"/>
    </row>
    <row r="163" spans="1:7">
      <c r="A163" s="30">
        <v>72004185</v>
      </c>
      <c r="B163" s="6" t="s">
        <v>356</v>
      </c>
      <c r="C163" s="4">
        <v>22000</v>
      </c>
      <c r="D163" s="1">
        <f t="shared" si="2"/>
        <v>12100.000000000002</v>
      </c>
      <c r="E163" s="27"/>
      <c r="G163" s="24"/>
    </row>
    <row r="164" spans="1:7">
      <c r="A164" s="30">
        <v>72004189</v>
      </c>
      <c r="B164" s="6" t="s">
        <v>357</v>
      </c>
      <c r="C164" s="4">
        <v>22000</v>
      </c>
      <c r="D164" s="1">
        <f t="shared" si="2"/>
        <v>12100.000000000002</v>
      </c>
      <c r="E164" s="27"/>
      <c r="G164" s="24"/>
    </row>
    <row r="165" spans="1:7">
      <c r="A165" s="30">
        <v>72004190</v>
      </c>
      <c r="B165" s="6" t="s">
        <v>358</v>
      </c>
      <c r="C165" s="4">
        <v>22000</v>
      </c>
      <c r="D165" s="1">
        <f t="shared" si="2"/>
        <v>12100.000000000002</v>
      </c>
      <c r="E165" s="27"/>
      <c r="G165" s="24"/>
    </row>
    <row r="166" spans="1:7">
      <c r="A166" s="67" t="s">
        <v>372</v>
      </c>
      <c r="B166" s="67"/>
      <c r="C166" s="67"/>
      <c r="D166" s="67"/>
      <c r="E166" s="67"/>
      <c r="G166" s="24"/>
    </row>
    <row r="167" spans="1:7">
      <c r="A167" s="5">
        <v>73001205</v>
      </c>
      <c r="B167" s="6" t="s">
        <v>126</v>
      </c>
      <c r="C167" s="4">
        <v>10000</v>
      </c>
      <c r="D167" s="1">
        <f t="shared" si="1"/>
        <v>5500</v>
      </c>
      <c r="E167" s="27"/>
      <c r="G167" s="24"/>
    </row>
    <row r="168" spans="1:7">
      <c r="A168" s="5">
        <v>73001220</v>
      </c>
      <c r="B168" s="6" t="s">
        <v>127</v>
      </c>
      <c r="C168" s="4">
        <v>10000</v>
      </c>
      <c r="D168" s="1">
        <f t="shared" si="1"/>
        <v>5500</v>
      </c>
      <c r="E168" s="27"/>
      <c r="G168" s="24"/>
    </row>
    <row r="169" spans="1:7">
      <c r="A169" s="5">
        <v>73001221</v>
      </c>
      <c r="B169" s="6" t="s">
        <v>128</v>
      </c>
      <c r="C169" s="4">
        <v>10000</v>
      </c>
      <c r="D169" s="1">
        <f t="shared" si="1"/>
        <v>5500</v>
      </c>
      <c r="E169" s="27"/>
      <c r="G169" s="24"/>
    </row>
    <row r="170" spans="1:7">
      <c r="A170" s="5">
        <v>73001222</v>
      </c>
      <c r="B170" s="6" t="s">
        <v>129</v>
      </c>
      <c r="C170" s="4">
        <v>10000</v>
      </c>
      <c r="D170" s="1">
        <f t="shared" si="1"/>
        <v>5500</v>
      </c>
      <c r="E170" s="27"/>
      <c r="G170" s="24"/>
    </row>
    <row r="171" spans="1:7">
      <c r="A171" s="5">
        <v>73001223</v>
      </c>
      <c r="B171" s="6" t="s">
        <v>130</v>
      </c>
      <c r="C171" s="4">
        <v>10000</v>
      </c>
      <c r="D171" s="1">
        <f t="shared" si="1"/>
        <v>5500</v>
      </c>
      <c r="E171" s="27"/>
      <c r="G171" s="24"/>
    </row>
    <row r="172" spans="1:7">
      <c r="A172" s="5">
        <v>73001224</v>
      </c>
      <c r="B172" s="6" t="s">
        <v>131</v>
      </c>
      <c r="C172" s="4">
        <v>10000</v>
      </c>
      <c r="D172" s="1">
        <f t="shared" si="1"/>
        <v>5500</v>
      </c>
      <c r="E172" s="27"/>
      <c r="G172" s="24"/>
    </row>
    <row r="173" spans="1:7">
      <c r="A173" s="5">
        <v>73001225</v>
      </c>
      <c r="B173" s="6" t="s">
        <v>132</v>
      </c>
      <c r="C173" s="4">
        <v>10000</v>
      </c>
      <c r="D173" s="1">
        <f t="shared" si="1"/>
        <v>5500</v>
      </c>
      <c r="E173" s="27"/>
      <c r="G173" s="24"/>
    </row>
    <row r="174" spans="1:7">
      <c r="A174" s="5">
        <v>73001226</v>
      </c>
      <c r="B174" s="6" t="s">
        <v>133</v>
      </c>
      <c r="C174" s="4">
        <v>10000</v>
      </c>
      <c r="D174" s="1">
        <f t="shared" si="1"/>
        <v>5500</v>
      </c>
      <c r="E174" s="27"/>
      <c r="G174" s="24"/>
    </row>
    <row r="175" spans="1:7">
      <c r="A175" s="5">
        <v>73001227</v>
      </c>
      <c r="B175" s="6" t="s">
        <v>134</v>
      </c>
      <c r="C175" s="4">
        <v>10000</v>
      </c>
      <c r="D175" s="1">
        <f t="shared" ref="D175:D250" si="3">C175*0.55</f>
        <v>5500</v>
      </c>
      <c r="E175" s="27"/>
      <c r="G175" s="24"/>
    </row>
    <row r="176" spans="1:7">
      <c r="A176" s="5">
        <v>73001228</v>
      </c>
      <c r="B176" s="6" t="s">
        <v>135</v>
      </c>
      <c r="C176" s="4">
        <v>10000</v>
      </c>
      <c r="D176" s="1">
        <f t="shared" si="3"/>
        <v>5500</v>
      </c>
      <c r="E176" s="27"/>
      <c r="G176" s="24"/>
    </row>
    <row r="177" spans="1:7">
      <c r="A177" s="5">
        <v>73001229</v>
      </c>
      <c r="B177" s="6" t="s">
        <v>136</v>
      </c>
      <c r="C177" s="4">
        <v>10000</v>
      </c>
      <c r="D177" s="1">
        <f t="shared" si="3"/>
        <v>5500</v>
      </c>
      <c r="E177" s="27"/>
      <c r="G177" s="24"/>
    </row>
    <row r="178" spans="1:7">
      <c r="A178" s="5">
        <v>73001230</v>
      </c>
      <c r="B178" s="6" t="s">
        <v>137</v>
      </c>
      <c r="C178" s="4">
        <v>10000</v>
      </c>
      <c r="D178" s="1">
        <f t="shared" si="3"/>
        <v>5500</v>
      </c>
      <c r="E178" s="27"/>
      <c r="G178" s="24"/>
    </row>
    <row r="179" spans="1:7">
      <c r="A179" s="5">
        <v>73001231</v>
      </c>
      <c r="B179" s="6" t="s">
        <v>138</v>
      </c>
      <c r="C179" s="4">
        <v>10000</v>
      </c>
      <c r="D179" s="1">
        <f t="shared" si="3"/>
        <v>5500</v>
      </c>
      <c r="E179" s="27"/>
      <c r="G179" s="24"/>
    </row>
    <row r="180" spans="1:7">
      <c r="A180" s="5">
        <v>73001233</v>
      </c>
      <c r="B180" s="6" t="s">
        <v>139</v>
      </c>
      <c r="C180" s="4">
        <v>10000</v>
      </c>
      <c r="D180" s="1">
        <f t="shared" si="3"/>
        <v>5500</v>
      </c>
      <c r="E180" s="27"/>
      <c r="G180" s="24"/>
    </row>
    <row r="181" spans="1:7">
      <c r="A181" s="5">
        <v>73001235</v>
      </c>
      <c r="B181" s="6" t="s">
        <v>140</v>
      </c>
      <c r="C181" s="4">
        <v>10000</v>
      </c>
      <c r="D181" s="1">
        <f t="shared" si="3"/>
        <v>5500</v>
      </c>
      <c r="E181" s="27"/>
      <c r="G181" s="24"/>
    </row>
    <row r="182" spans="1:7">
      <c r="A182" s="5">
        <v>73001236</v>
      </c>
      <c r="B182" s="6" t="s">
        <v>141</v>
      </c>
      <c r="C182" s="4">
        <v>10000</v>
      </c>
      <c r="D182" s="1">
        <f t="shared" si="3"/>
        <v>5500</v>
      </c>
      <c r="E182" s="27"/>
      <c r="G182" s="24"/>
    </row>
    <row r="183" spans="1:7">
      <c r="A183" s="5">
        <v>73001237</v>
      </c>
      <c r="B183" s="6" t="s">
        <v>142</v>
      </c>
      <c r="C183" s="4">
        <v>10000</v>
      </c>
      <c r="D183" s="1">
        <f t="shared" si="3"/>
        <v>5500</v>
      </c>
      <c r="E183" s="27"/>
      <c r="G183" s="24"/>
    </row>
    <row r="184" spans="1:7">
      <c r="A184" s="5">
        <v>73001238</v>
      </c>
      <c r="B184" s="6" t="s">
        <v>143</v>
      </c>
      <c r="C184" s="4">
        <v>10000</v>
      </c>
      <c r="D184" s="1">
        <f t="shared" si="3"/>
        <v>5500</v>
      </c>
      <c r="E184" s="27"/>
      <c r="G184" s="24"/>
    </row>
    <row r="185" spans="1:7">
      <c r="A185" s="67" t="s">
        <v>373</v>
      </c>
      <c r="B185" s="67"/>
      <c r="C185" s="67"/>
      <c r="D185" s="67"/>
      <c r="E185" s="67"/>
      <c r="G185" s="24"/>
    </row>
    <row r="186" spans="1:7">
      <c r="A186" s="5">
        <v>50003507</v>
      </c>
      <c r="B186" s="6" t="s">
        <v>185</v>
      </c>
      <c r="C186" s="4">
        <v>10000</v>
      </c>
      <c r="D186" s="1">
        <f>C186*0.55</f>
        <v>5500</v>
      </c>
      <c r="E186" s="27"/>
      <c r="G186" s="24"/>
    </row>
    <row r="187" spans="1:7">
      <c r="A187" s="5">
        <v>50003002</v>
      </c>
      <c r="B187" s="7" t="s">
        <v>144</v>
      </c>
      <c r="C187" s="4">
        <v>10000</v>
      </c>
      <c r="D187" s="1">
        <f t="shared" si="3"/>
        <v>5500</v>
      </c>
      <c r="E187" s="27"/>
      <c r="G187" s="24"/>
    </row>
    <row r="188" spans="1:7">
      <c r="A188" s="5">
        <v>50003003</v>
      </c>
      <c r="B188" s="7" t="s">
        <v>145</v>
      </c>
      <c r="C188" s="4">
        <v>10000</v>
      </c>
      <c r="D188" s="1">
        <f t="shared" si="3"/>
        <v>5500</v>
      </c>
      <c r="E188" s="27"/>
      <c r="G188" s="24"/>
    </row>
    <row r="189" spans="1:7">
      <c r="A189" s="5">
        <v>50003010</v>
      </c>
      <c r="B189" s="7" t="s">
        <v>146</v>
      </c>
      <c r="C189" s="4">
        <v>10000</v>
      </c>
      <c r="D189" s="1">
        <f t="shared" si="3"/>
        <v>5500</v>
      </c>
      <c r="E189" s="27"/>
      <c r="G189" s="24"/>
    </row>
    <row r="190" spans="1:7">
      <c r="A190" s="5">
        <v>50003011</v>
      </c>
      <c r="B190" s="7" t="s">
        <v>147</v>
      </c>
      <c r="C190" s="4">
        <v>10000</v>
      </c>
      <c r="D190" s="1">
        <f t="shared" si="3"/>
        <v>5500</v>
      </c>
      <c r="E190" s="27"/>
      <c r="G190" s="24"/>
    </row>
    <row r="191" spans="1:7">
      <c r="A191" s="5">
        <v>50003014</v>
      </c>
      <c r="B191" s="7" t="s">
        <v>148</v>
      </c>
      <c r="C191" s="4">
        <v>10000</v>
      </c>
      <c r="D191" s="1">
        <f t="shared" si="3"/>
        <v>5500</v>
      </c>
      <c r="E191" s="27"/>
      <c r="G191" s="24"/>
    </row>
    <row r="192" spans="1:7">
      <c r="A192" s="8">
        <v>50003015</v>
      </c>
      <c r="B192" s="7" t="s">
        <v>149</v>
      </c>
      <c r="C192" s="4">
        <v>10000</v>
      </c>
      <c r="D192" s="1">
        <f t="shared" si="3"/>
        <v>5500</v>
      </c>
      <c r="E192" s="27"/>
      <c r="G192" s="24"/>
    </row>
    <row r="193" spans="1:7">
      <c r="A193" s="8">
        <v>50003017</v>
      </c>
      <c r="B193" s="7" t="s">
        <v>150</v>
      </c>
      <c r="C193" s="4">
        <v>10000</v>
      </c>
      <c r="D193" s="1">
        <f t="shared" si="3"/>
        <v>5500</v>
      </c>
      <c r="E193" s="27"/>
      <c r="G193" s="24"/>
    </row>
    <row r="194" spans="1:7">
      <c r="A194" s="8">
        <v>50003018</v>
      </c>
      <c r="B194" s="7" t="s">
        <v>151</v>
      </c>
      <c r="C194" s="4">
        <v>10000</v>
      </c>
      <c r="D194" s="1">
        <f t="shared" si="3"/>
        <v>5500</v>
      </c>
      <c r="E194" s="27"/>
      <c r="G194" s="24"/>
    </row>
    <row r="195" spans="1:7">
      <c r="A195" s="8">
        <v>50003019</v>
      </c>
      <c r="B195" s="7" t="s">
        <v>152</v>
      </c>
      <c r="C195" s="4">
        <v>10000</v>
      </c>
      <c r="D195" s="1">
        <f t="shared" si="3"/>
        <v>5500</v>
      </c>
      <c r="E195" s="27"/>
      <c r="G195" s="24"/>
    </row>
    <row r="196" spans="1:7">
      <c r="A196" s="8">
        <v>50003021</v>
      </c>
      <c r="B196" s="7" t="s">
        <v>153</v>
      </c>
      <c r="C196" s="4">
        <v>10000</v>
      </c>
      <c r="D196" s="1">
        <f t="shared" si="3"/>
        <v>5500</v>
      </c>
      <c r="E196" s="27"/>
      <c r="G196" s="24"/>
    </row>
    <row r="197" spans="1:7">
      <c r="A197" s="8">
        <v>50003022</v>
      </c>
      <c r="B197" s="7" t="s">
        <v>154</v>
      </c>
      <c r="C197" s="4">
        <v>10000</v>
      </c>
      <c r="D197" s="1">
        <f t="shared" si="3"/>
        <v>5500</v>
      </c>
      <c r="E197" s="27"/>
      <c r="G197" s="24"/>
    </row>
    <row r="198" spans="1:7">
      <c r="A198" s="8">
        <v>50003023</v>
      </c>
      <c r="B198" s="7" t="s">
        <v>155</v>
      </c>
      <c r="C198" s="4">
        <v>10000</v>
      </c>
      <c r="D198" s="1">
        <f t="shared" si="3"/>
        <v>5500</v>
      </c>
      <c r="E198" s="27"/>
      <c r="G198" s="24"/>
    </row>
    <row r="199" spans="1:7">
      <c r="A199" s="8">
        <v>50003024</v>
      </c>
      <c r="B199" s="7" t="s">
        <v>156</v>
      </c>
      <c r="C199" s="4">
        <v>10000</v>
      </c>
      <c r="D199" s="1">
        <f t="shared" si="3"/>
        <v>5500</v>
      </c>
      <c r="E199" s="27"/>
      <c r="G199" s="24"/>
    </row>
    <row r="200" spans="1:7">
      <c r="A200" s="8">
        <v>50003025</v>
      </c>
      <c r="B200" s="7" t="s">
        <v>157</v>
      </c>
      <c r="C200" s="4">
        <v>10000</v>
      </c>
      <c r="D200" s="1">
        <f t="shared" si="3"/>
        <v>5500</v>
      </c>
      <c r="E200" s="27"/>
      <c r="G200" s="24"/>
    </row>
    <row r="201" spans="1:7">
      <c r="A201" s="8">
        <v>50003026</v>
      </c>
      <c r="B201" s="7" t="s">
        <v>158</v>
      </c>
      <c r="C201" s="4">
        <v>10000</v>
      </c>
      <c r="D201" s="1">
        <f t="shared" si="3"/>
        <v>5500</v>
      </c>
      <c r="E201" s="27"/>
      <c r="G201" s="24"/>
    </row>
    <row r="202" spans="1:7">
      <c r="A202" s="8">
        <v>50003028</v>
      </c>
      <c r="B202" s="7" t="s">
        <v>159</v>
      </c>
      <c r="C202" s="4">
        <v>10000</v>
      </c>
      <c r="D202" s="1">
        <f>C202*0.55</f>
        <v>5500</v>
      </c>
      <c r="E202" s="27"/>
      <c r="G202" s="24"/>
    </row>
    <row r="203" spans="1:7">
      <c r="A203" s="8">
        <v>50003029</v>
      </c>
      <c r="B203" s="7" t="s">
        <v>160</v>
      </c>
      <c r="C203" s="4">
        <v>10000</v>
      </c>
      <c r="D203" s="1">
        <f t="shared" ref="D203" si="4">C203*0.55</f>
        <v>5500</v>
      </c>
      <c r="E203" s="27"/>
      <c r="G203" s="24"/>
    </row>
    <row r="204" spans="1:7">
      <c r="A204" s="8">
        <v>50003040</v>
      </c>
      <c r="B204" s="7" t="s">
        <v>161</v>
      </c>
      <c r="C204" s="4">
        <v>10000</v>
      </c>
      <c r="D204" s="1">
        <f t="shared" si="3"/>
        <v>5500</v>
      </c>
      <c r="E204" s="27"/>
      <c r="G204" s="24"/>
    </row>
    <row r="205" spans="1:7">
      <c r="A205" s="8">
        <v>50003041</v>
      </c>
      <c r="B205" s="7" t="s">
        <v>162</v>
      </c>
      <c r="C205" s="4">
        <v>10000</v>
      </c>
      <c r="D205" s="1">
        <f t="shared" si="3"/>
        <v>5500</v>
      </c>
      <c r="E205" s="27"/>
      <c r="G205" s="24"/>
    </row>
    <row r="206" spans="1:7">
      <c r="A206" s="8">
        <v>50003042</v>
      </c>
      <c r="B206" s="7" t="s">
        <v>163</v>
      </c>
      <c r="C206" s="4">
        <v>10000</v>
      </c>
      <c r="D206" s="1">
        <f t="shared" si="3"/>
        <v>5500</v>
      </c>
      <c r="E206" s="27"/>
      <c r="G206" s="24"/>
    </row>
    <row r="207" spans="1:7">
      <c r="A207" s="8">
        <v>50003043</v>
      </c>
      <c r="B207" s="7" t="s">
        <v>164</v>
      </c>
      <c r="C207" s="4">
        <v>10000</v>
      </c>
      <c r="D207" s="1">
        <f t="shared" si="3"/>
        <v>5500</v>
      </c>
      <c r="E207" s="27"/>
      <c r="G207" s="24"/>
    </row>
    <row r="208" spans="1:7">
      <c r="A208" s="8">
        <v>50003044</v>
      </c>
      <c r="B208" s="7" t="s">
        <v>165</v>
      </c>
      <c r="C208" s="4">
        <v>10000</v>
      </c>
      <c r="D208" s="1">
        <f t="shared" si="3"/>
        <v>5500</v>
      </c>
      <c r="E208" s="27"/>
      <c r="G208" s="24"/>
    </row>
    <row r="209" spans="1:7">
      <c r="A209" s="8">
        <v>50003047</v>
      </c>
      <c r="B209" s="7" t="s">
        <v>166</v>
      </c>
      <c r="C209" s="4">
        <v>10000</v>
      </c>
      <c r="D209" s="1">
        <f t="shared" si="3"/>
        <v>5500</v>
      </c>
      <c r="E209" s="27"/>
      <c r="G209" s="24"/>
    </row>
    <row r="210" spans="1:7">
      <c r="A210" s="8">
        <v>50003050</v>
      </c>
      <c r="B210" s="7" t="s">
        <v>167</v>
      </c>
      <c r="C210" s="4">
        <v>10000</v>
      </c>
      <c r="D210" s="1">
        <f t="shared" si="3"/>
        <v>5500</v>
      </c>
      <c r="E210" s="27"/>
      <c r="G210" s="24"/>
    </row>
    <row r="211" spans="1:7">
      <c r="A211" s="8">
        <v>50003051</v>
      </c>
      <c r="B211" s="7" t="s">
        <v>168</v>
      </c>
      <c r="C211" s="4">
        <v>10000</v>
      </c>
      <c r="D211" s="1">
        <f t="shared" si="3"/>
        <v>5500</v>
      </c>
      <c r="E211" s="27"/>
      <c r="G211" s="24"/>
    </row>
    <row r="212" spans="1:7">
      <c r="A212" s="9">
        <v>50003060</v>
      </c>
      <c r="B212" s="7" t="s">
        <v>169</v>
      </c>
      <c r="C212" s="4">
        <v>10000</v>
      </c>
      <c r="D212" s="1">
        <f t="shared" si="3"/>
        <v>5500</v>
      </c>
      <c r="E212" s="27"/>
      <c r="G212" s="24"/>
    </row>
    <row r="213" spans="1:7">
      <c r="A213" s="8">
        <v>50003062</v>
      </c>
      <c r="B213" s="7" t="s">
        <v>170</v>
      </c>
      <c r="C213" s="4">
        <v>10000</v>
      </c>
      <c r="D213" s="1">
        <f t="shared" si="3"/>
        <v>5500</v>
      </c>
      <c r="E213" s="27"/>
      <c r="G213" s="24"/>
    </row>
    <row r="214" spans="1:7">
      <c r="A214" s="8">
        <v>50003064</v>
      </c>
      <c r="B214" s="7" t="s">
        <v>171</v>
      </c>
      <c r="C214" s="4">
        <v>10000</v>
      </c>
      <c r="D214" s="1">
        <f t="shared" si="3"/>
        <v>5500</v>
      </c>
      <c r="E214" s="27"/>
      <c r="G214" s="24"/>
    </row>
    <row r="215" spans="1:7">
      <c r="A215" s="8">
        <v>50003065</v>
      </c>
      <c r="B215" s="7" t="s">
        <v>172</v>
      </c>
      <c r="C215" s="4">
        <v>10000</v>
      </c>
      <c r="D215" s="1">
        <f t="shared" si="3"/>
        <v>5500</v>
      </c>
      <c r="E215" s="27"/>
      <c r="G215" s="24"/>
    </row>
    <row r="216" spans="1:7">
      <c r="A216" s="8">
        <v>50003072</v>
      </c>
      <c r="B216" s="7" t="s">
        <v>173</v>
      </c>
      <c r="C216" s="4">
        <v>10000</v>
      </c>
      <c r="D216" s="1">
        <f t="shared" si="3"/>
        <v>5500</v>
      </c>
      <c r="E216" s="27"/>
      <c r="G216" s="24"/>
    </row>
    <row r="217" spans="1:7">
      <c r="A217" s="8">
        <v>50003075</v>
      </c>
      <c r="B217" s="7" t="s">
        <v>174</v>
      </c>
      <c r="C217" s="4">
        <v>10000</v>
      </c>
      <c r="D217" s="1">
        <f t="shared" si="3"/>
        <v>5500</v>
      </c>
      <c r="E217" s="27"/>
      <c r="G217" s="24"/>
    </row>
    <row r="218" spans="1:7">
      <c r="A218" s="8">
        <v>50003091</v>
      </c>
      <c r="B218" s="7" t="s">
        <v>175</v>
      </c>
      <c r="C218" s="4">
        <v>10000</v>
      </c>
      <c r="D218" s="1">
        <f t="shared" si="3"/>
        <v>5500</v>
      </c>
      <c r="E218" s="27"/>
      <c r="G218" s="24"/>
    </row>
    <row r="219" spans="1:7">
      <c r="A219" s="8">
        <v>50003092</v>
      </c>
      <c r="B219" s="7" t="s">
        <v>176</v>
      </c>
      <c r="C219" s="4">
        <v>10000</v>
      </c>
      <c r="D219" s="1">
        <f t="shared" si="3"/>
        <v>5500</v>
      </c>
      <c r="E219" s="27"/>
      <c r="G219" s="24"/>
    </row>
    <row r="220" spans="1:7">
      <c r="A220" s="8">
        <v>50003093</v>
      </c>
      <c r="B220" s="7" t="s">
        <v>177</v>
      </c>
      <c r="C220" s="4">
        <v>10000</v>
      </c>
      <c r="D220" s="1">
        <f t="shared" si="3"/>
        <v>5500</v>
      </c>
      <c r="E220" s="27"/>
      <c r="G220" s="24"/>
    </row>
    <row r="221" spans="1:7">
      <c r="A221" s="8">
        <v>50003094</v>
      </c>
      <c r="B221" s="7" t="s">
        <v>178</v>
      </c>
      <c r="C221" s="4">
        <v>10000</v>
      </c>
      <c r="D221" s="1">
        <f t="shared" si="3"/>
        <v>5500</v>
      </c>
      <c r="E221" s="27"/>
      <c r="G221" s="24"/>
    </row>
    <row r="222" spans="1:7">
      <c r="A222" s="8">
        <v>50003095</v>
      </c>
      <c r="B222" s="7" t="s">
        <v>179</v>
      </c>
      <c r="C222" s="4">
        <v>10000</v>
      </c>
      <c r="D222" s="1">
        <f t="shared" si="3"/>
        <v>5500</v>
      </c>
      <c r="E222" s="27"/>
      <c r="G222" s="24"/>
    </row>
    <row r="223" spans="1:7">
      <c r="A223" s="8">
        <v>50003096</v>
      </c>
      <c r="B223" s="7" t="s">
        <v>180</v>
      </c>
      <c r="C223" s="4">
        <v>10000</v>
      </c>
      <c r="D223" s="1">
        <f t="shared" si="3"/>
        <v>5500</v>
      </c>
      <c r="E223" s="27"/>
      <c r="G223" s="24"/>
    </row>
    <row r="224" spans="1:7">
      <c r="A224" s="8">
        <v>50003097</v>
      </c>
      <c r="B224" s="7" t="s">
        <v>181</v>
      </c>
      <c r="C224" s="4">
        <v>10000</v>
      </c>
      <c r="D224" s="1">
        <f t="shared" si="3"/>
        <v>5500</v>
      </c>
      <c r="E224" s="27"/>
      <c r="G224" s="24"/>
    </row>
    <row r="225" spans="1:7">
      <c r="A225" s="8">
        <v>50003173</v>
      </c>
      <c r="B225" s="7" t="s">
        <v>182</v>
      </c>
      <c r="C225" s="4">
        <v>10000</v>
      </c>
      <c r="D225" s="1">
        <f t="shared" si="3"/>
        <v>5500</v>
      </c>
      <c r="E225" s="27"/>
      <c r="G225" s="24"/>
    </row>
    <row r="226" spans="1:7">
      <c r="A226" s="8">
        <v>50003192</v>
      </c>
      <c r="B226" s="7" t="s">
        <v>183</v>
      </c>
      <c r="C226" s="4">
        <v>10000</v>
      </c>
      <c r="D226" s="1">
        <f t="shared" si="3"/>
        <v>5500</v>
      </c>
      <c r="E226" s="27"/>
      <c r="G226" s="24"/>
    </row>
    <row r="227" spans="1:7">
      <c r="A227" s="8">
        <v>50003193</v>
      </c>
      <c r="B227" s="7" t="s">
        <v>184</v>
      </c>
      <c r="C227" s="4">
        <v>10000</v>
      </c>
      <c r="D227" s="1">
        <f t="shared" si="3"/>
        <v>5500</v>
      </c>
      <c r="E227" s="27"/>
      <c r="G227" s="24"/>
    </row>
    <row r="228" spans="1:7">
      <c r="A228" s="67" t="s">
        <v>374</v>
      </c>
      <c r="B228" s="67"/>
      <c r="C228" s="67"/>
      <c r="D228" s="67"/>
      <c r="E228" s="67"/>
      <c r="G228" s="24"/>
    </row>
    <row r="229" spans="1:7">
      <c r="A229" s="5">
        <v>52003001</v>
      </c>
      <c r="B229" s="6" t="s">
        <v>186</v>
      </c>
      <c r="C229" s="4">
        <v>10000</v>
      </c>
      <c r="D229" s="1">
        <f t="shared" si="3"/>
        <v>5500</v>
      </c>
      <c r="E229" s="27"/>
      <c r="G229" s="24"/>
    </row>
    <row r="230" spans="1:7">
      <c r="A230" s="5">
        <v>52003004</v>
      </c>
      <c r="B230" s="6" t="s">
        <v>187</v>
      </c>
      <c r="C230" s="4">
        <v>10000</v>
      </c>
      <c r="D230" s="1">
        <f t="shared" si="3"/>
        <v>5500</v>
      </c>
      <c r="E230" s="27"/>
      <c r="G230" s="24"/>
    </row>
    <row r="231" spans="1:7">
      <c r="A231" s="5">
        <v>52003014</v>
      </c>
      <c r="B231" s="6" t="s">
        <v>188</v>
      </c>
      <c r="C231" s="4">
        <v>10000</v>
      </c>
      <c r="D231" s="1">
        <f t="shared" si="3"/>
        <v>5500</v>
      </c>
      <c r="E231" s="27"/>
      <c r="G231" s="24"/>
    </row>
    <row r="232" spans="1:7">
      <c r="A232" s="5">
        <v>52003018</v>
      </c>
      <c r="B232" s="6" t="s">
        <v>189</v>
      </c>
      <c r="C232" s="4">
        <v>10000</v>
      </c>
      <c r="D232" s="1">
        <f t="shared" si="3"/>
        <v>5500</v>
      </c>
      <c r="E232" s="27"/>
      <c r="G232" s="24"/>
    </row>
    <row r="233" spans="1:7">
      <c r="A233" s="5">
        <v>52003021</v>
      </c>
      <c r="B233" s="6" t="s">
        <v>190</v>
      </c>
      <c r="C233" s="4">
        <v>10000</v>
      </c>
      <c r="D233" s="1">
        <f t="shared" si="3"/>
        <v>5500</v>
      </c>
      <c r="E233" s="27"/>
      <c r="G233" s="24"/>
    </row>
    <row r="234" spans="1:7">
      <c r="A234" s="5">
        <v>52003026</v>
      </c>
      <c r="B234" s="6" t="s">
        <v>191</v>
      </c>
      <c r="C234" s="4">
        <v>10000</v>
      </c>
      <c r="D234" s="1">
        <f t="shared" si="3"/>
        <v>5500</v>
      </c>
      <c r="E234" s="27"/>
      <c r="G234" s="24"/>
    </row>
    <row r="235" spans="1:7">
      <c r="A235" s="5">
        <v>52003029</v>
      </c>
      <c r="B235" s="6" t="s">
        <v>192</v>
      </c>
      <c r="C235" s="4">
        <v>10000</v>
      </c>
      <c r="D235" s="1">
        <f t="shared" si="3"/>
        <v>5500</v>
      </c>
      <c r="E235" s="27"/>
      <c r="G235" s="24"/>
    </row>
    <row r="236" spans="1:7">
      <c r="A236" s="5">
        <v>52003040</v>
      </c>
      <c r="B236" s="6" t="s">
        <v>193</v>
      </c>
      <c r="C236" s="4">
        <v>10000</v>
      </c>
      <c r="D236" s="1">
        <f t="shared" si="3"/>
        <v>5500</v>
      </c>
      <c r="E236" s="27"/>
      <c r="G236" s="24"/>
    </row>
    <row r="237" spans="1:7">
      <c r="A237" s="5">
        <v>52003041</v>
      </c>
      <c r="B237" s="6" t="s">
        <v>194</v>
      </c>
      <c r="C237" s="4">
        <v>10000</v>
      </c>
      <c r="D237" s="1">
        <f t="shared" si="3"/>
        <v>5500</v>
      </c>
      <c r="E237" s="27"/>
      <c r="G237" s="24"/>
    </row>
    <row r="238" spans="1:7">
      <c r="A238" s="5">
        <v>52003042</v>
      </c>
      <c r="B238" s="6" t="s">
        <v>195</v>
      </c>
      <c r="C238" s="4">
        <v>10000</v>
      </c>
      <c r="D238" s="1">
        <f t="shared" si="3"/>
        <v>5500</v>
      </c>
      <c r="E238" s="27"/>
      <c r="G238" s="24"/>
    </row>
    <row r="239" spans="1:7">
      <c r="A239" s="5">
        <v>52003047</v>
      </c>
      <c r="B239" s="6" t="s">
        <v>196</v>
      </c>
      <c r="C239" s="4">
        <v>10000</v>
      </c>
      <c r="D239" s="1">
        <f t="shared" si="3"/>
        <v>5500</v>
      </c>
      <c r="E239" s="27"/>
      <c r="G239" s="24"/>
    </row>
    <row r="240" spans="1:7">
      <c r="A240" s="5">
        <v>52003050</v>
      </c>
      <c r="B240" s="6" t="s">
        <v>197</v>
      </c>
      <c r="C240" s="4">
        <v>10000</v>
      </c>
      <c r="D240" s="1">
        <f t="shared" si="3"/>
        <v>5500</v>
      </c>
      <c r="E240" s="27"/>
      <c r="G240" s="24"/>
    </row>
    <row r="241" spans="1:7">
      <c r="A241" s="5">
        <v>52003051</v>
      </c>
      <c r="B241" s="6" t="s">
        <v>198</v>
      </c>
      <c r="C241" s="4">
        <v>10000</v>
      </c>
      <c r="D241" s="1">
        <f t="shared" si="3"/>
        <v>5500</v>
      </c>
      <c r="E241" s="27"/>
      <c r="G241" s="24"/>
    </row>
    <row r="242" spans="1:7">
      <c r="A242" s="5">
        <v>52003060</v>
      </c>
      <c r="B242" s="6" t="s">
        <v>199</v>
      </c>
      <c r="C242" s="4">
        <v>10000</v>
      </c>
      <c r="D242" s="1">
        <f t="shared" si="3"/>
        <v>5500</v>
      </c>
      <c r="E242" s="27"/>
      <c r="G242" s="24"/>
    </row>
    <row r="243" spans="1:7">
      <c r="A243" s="5">
        <v>52003061</v>
      </c>
      <c r="B243" s="6" t="s">
        <v>200</v>
      </c>
      <c r="C243" s="4">
        <v>10000</v>
      </c>
      <c r="D243" s="1">
        <f t="shared" si="3"/>
        <v>5500</v>
      </c>
      <c r="E243" s="27"/>
      <c r="G243" s="24"/>
    </row>
    <row r="244" spans="1:7">
      <c r="A244" s="5">
        <v>52003064</v>
      </c>
      <c r="B244" s="6" t="s">
        <v>201</v>
      </c>
      <c r="C244" s="4">
        <v>10000</v>
      </c>
      <c r="D244" s="1">
        <f t="shared" si="3"/>
        <v>5500</v>
      </c>
      <c r="E244" s="27"/>
      <c r="G244" s="24"/>
    </row>
    <row r="245" spans="1:7">
      <c r="A245" s="5">
        <v>52003065</v>
      </c>
      <c r="B245" s="6" t="s">
        <v>202</v>
      </c>
      <c r="C245" s="4">
        <v>10000</v>
      </c>
      <c r="D245" s="1">
        <f t="shared" si="3"/>
        <v>5500</v>
      </c>
      <c r="E245" s="27"/>
      <c r="G245" s="24"/>
    </row>
    <row r="246" spans="1:7">
      <c r="A246" s="5">
        <v>52003070</v>
      </c>
      <c r="B246" s="6" t="s">
        <v>203</v>
      </c>
      <c r="C246" s="4">
        <v>10000</v>
      </c>
      <c r="D246" s="1">
        <f t="shared" si="3"/>
        <v>5500</v>
      </c>
      <c r="E246" s="27"/>
      <c r="G246" s="24"/>
    </row>
    <row r="247" spans="1:7">
      <c r="A247" s="5">
        <v>52003071</v>
      </c>
      <c r="B247" s="6" t="s">
        <v>204</v>
      </c>
      <c r="C247" s="4">
        <v>10000</v>
      </c>
      <c r="D247" s="1">
        <f t="shared" si="3"/>
        <v>5500</v>
      </c>
      <c r="E247" s="27"/>
      <c r="G247" s="24"/>
    </row>
    <row r="248" spans="1:7">
      <c r="A248" s="5">
        <v>52003075</v>
      </c>
      <c r="B248" s="6" t="s">
        <v>205</v>
      </c>
      <c r="C248" s="4">
        <v>10000</v>
      </c>
      <c r="D248" s="1">
        <f t="shared" si="3"/>
        <v>5500</v>
      </c>
      <c r="E248" s="27"/>
      <c r="G248" s="24"/>
    </row>
    <row r="249" spans="1:7">
      <c r="A249" s="5">
        <v>52003080</v>
      </c>
      <c r="B249" s="6" t="s">
        <v>206</v>
      </c>
      <c r="C249" s="4">
        <v>10000</v>
      </c>
      <c r="D249" s="1">
        <f t="shared" si="3"/>
        <v>5500</v>
      </c>
      <c r="E249" s="27"/>
      <c r="G249" s="24"/>
    </row>
    <row r="250" spans="1:7">
      <c r="A250" s="5">
        <v>52003081</v>
      </c>
      <c r="B250" s="6" t="s">
        <v>207</v>
      </c>
      <c r="C250" s="4">
        <v>10000</v>
      </c>
      <c r="D250" s="1">
        <f t="shared" si="3"/>
        <v>5500</v>
      </c>
      <c r="E250" s="27"/>
      <c r="G250" s="24"/>
    </row>
    <row r="251" spans="1:7">
      <c r="A251" s="5">
        <v>52003082</v>
      </c>
      <c r="B251" s="6" t="s">
        <v>208</v>
      </c>
      <c r="C251" s="4">
        <v>10000</v>
      </c>
      <c r="D251" s="1">
        <f t="shared" ref="D251:D346" si="5">C251*0.55</f>
        <v>5500</v>
      </c>
      <c r="E251" s="27"/>
      <c r="G251" s="24"/>
    </row>
    <row r="252" spans="1:7">
      <c r="A252" s="5">
        <v>52003175</v>
      </c>
      <c r="B252" s="6" t="s">
        <v>209</v>
      </c>
      <c r="C252" s="4">
        <v>10000</v>
      </c>
      <c r="D252" s="1">
        <f t="shared" si="5"/>
        <v>5500</v>
      </c>
      <c r="E252" s="27"/>
      <c r="G252" s="24"/>
    </row>
    <row r="253" spans="1:7">
      <c r="A253" s="5">
        <v>52003188</v>
      </c>
      <c r="B253" s="6" t="s">
        <v>210</v>
      </c>
      <c r="C253" s="4">
        <v>10000</v>
      </c>
      <c r="D253" s="1">
        <f t="shared" si="5"/>
        <v>5500</v>
      </c>
      <c r="E253" s="27"/>
      <c r="G253" s="24"/>
    </row>
    <row r="254" spans="1:7">
      <c r="A254" s="81" t="s">
        <v>384</v>
      </c>
      <c r="B254" s="81"/>
      <c r="C254" s="81"/>
      <c r="D254" s="81"/>
      <c r="E254" s="81"/>
      <c r="G254" s="24"/>
    </row>
    <row r="255" spans="1:7">
      <c r="A255" s="5">
        <v>53003001</v>
      </c>
      <c r="B255" s="6" t="s">
        <v>391</v>
      </c>
      <c r="C255" s="4">
        <v>10000</v>
      </c>
      <c r="D255" s="1">
        <v>5500</v>
      </c>
      <c r="E255" s="27"/>
      <c r="G255" s="24"/>
    </row>
    <row r="256" spans="1:7">
      <c r="A256" s="5">
        <v>53003014</v>
      </c>
      <c r="B256" s="6" t="s">
        <v>392</v>
      </c>
      <c r="C256" s="4">
        <v>10000</v>
      </c>
      <c r="D256" s="1">
        <v>5500</v>
      </c>
      <c r="E256" s="27"/>
      <c r="G256" s="24"/>
    </row>
    <row r="257" spans="1:7">
      <c r="A257" s="5">
        <v>53003017</v>
      </c>
      <c r="B257" s="6" t="s">
        <v>393</v>
      </c>
      <c r="C257" s="4">
        <v>10000</v>
      </c>
      <c r="D257" s="1">
        <v>5500</v>
      </c>
      <c r="E257" s="27"/>
      <c r="G257" s="24"/>
    </row>
    <row r="258" spans="1:7">
      <c r="A258" s="5">
        <v>53003029</v>
      </c>
      <c r="B258" s="6" t="s">
        <v>394</v>
      </c>
      <c r="C258" s="4">
        <v>10000</v>
      </c>
      <c r="D258" s="1">
        <v>5500</v>
      </c>
      <c r="E258" s="27"/>
      <c r="G258" s="24"/>
    </row>
    <row r="259" spans="1:7">
      <c r="A259" s="5">
        <v>53003042</v>
      </c>
      <c r="B259" s="6" t="s">
        <v>395</v>
      </c>
      <c r="C259" s="4">
        <v>10000</v>
      </c>
      <c r="D259" s="1">
        <v>5500</v>
      </c>
      <c r="E259" s="27"/>
      <c r="G259" s="24"/>
    </row>
    <row r="260" spans="1:7">
      <c r="A260" s="5">
        <v>53003062</v>
      </c>
      <c r="B260" s="6" t="s">
        <v>396</v>
      </c>
      <c r="C260" s="4">
        <v>10000</v>
      </c>
      <c r="D260" s="1">
        <v>5500</v>
      </c>
      <c r="E260" s="27"/>
      <c r="G260" s="24"/>
    </row>
    <row r="261" spans="1:7">
      <c r="A261" s="5">
        <v>53003064</v>
      </c>
      <c r="B261" s="6" t="s">
        <v>397</v>
      </c>
      <c r="C261" s="4">
        <v>10000</v>
      </c>
      <c r="D261" s="1">
        <v>5500</v>
      </c>
      <c r="E261" s="27"/>
      <c r="G261" s="24"/>
    </row>
    <row r="262" spans="1:7">
      <c r="A262" s="82" t="s">
        <v>385</v>
      </c>
      <c r="B262" s="83"/>
      <c r="C262" s="83"/>
      <c r="D262" s="83"/>
      <c r="E262" s="83"/>
    </row>
    <row r="263" spans="1:7">
      <c r="A263" s="5">
        <v>20003001</v>
      </c>
      <c r="B263" s="6" t="s">
        <v>386</v>
      </c>
      <c r="C263" s="4">
        <v>10000</v>
      </c>
      <c r="D263" s="1">
        <f>C263*0.55</f>
        <v>5500</v>
      </c>
      <c r="E263" s="27"/>
      <c r="G263" s="24"/>
    </row>
    <row r="264" spans="1:7">
      <c r="A264" s="5">
        <v>20003004</v>
      </c>
      <c r="B264" s="6" t="s">
        <v>388</v>
      </c>
      <c r="C264" s="4">
        <v>10000</v>
      </c>
      <c r="D264" s="1">
        <f>C264*0.55</f>
        <v>5500</v>
      </c>
      <c r="E264" s="27"/>
      <c r="G264" s="24"/>
    </row>
    <row r="265" spans="1:7">
      <c r="A265" s="5">
        <v>20003014</v>
      </c>
      <c r="B265" s="6" t="s">
        <v>387</v>
      </c>
      <c r="C265" s="4">
        <v>10000</v>
      </c>
      <c r="D265" s="1">
        <f>C265*0.55</f>
        <v>5500</v>
      </c>
      <c r="E265" s="27"/>
      <c r="G265" s="24"/>
    </row>
    <row r="266" spans="1:7">
      <c r="A266" s="67" t="s">
        <v>376</v>
      </c>
      <c r="B266" s="67"/>
      <c r="C266" s="67"/>
      <c r="D266" s="67"/>
      <c r="E266" s="67"/>
      <c r="G266" s="24"/>
    </row>
    <row r="267" spans="1:7">
      <c r="A267" s="5">
        <v>82004000</v>
      </c>
      <c r="B267" s="6" t="s">
        <v>217</v>
      </c>
      <c r="C267" s="4">
        <v>9000</v>
      </c>
      <c r="D267" s="1">
        <f t="shared" si="5"/>
        <v>4950</v>
      </c>
      <c r="E267" s="27"/>
      <c r="G267" s="24"/>
    </row>
    <row r="268" spans="1:7">
      <c r="A268" s="5" t="s">
        <v>218</v>
      </c>
      <c r="B268" s="6" t="s">
        <v>219</v>
      </c>
      <c r="C268" s="4">
        <v>18000</v>
      </c>
      <c r="D268" s="1">
        <f t="shared" si="5"/>
        <v>9900</v>
      </c>
      <c r="E268" s="27"/>
      <c r="G268" s="24"/>
    </row>
    <row r="269" spans="1:7">
      <c r="A269" s="67" t="s">
        <v>377</v>
      </c>
      <c r="B269" s="67"/>
      <c r="C269" s="67"/>
      <c r="D269" s="67"/>
      <c r="E269" s="67"/>
      <c r="G269" s="24"/>
    </row>
    <row r="270" spans="1:7">
      <c r="A270" s="5">
        <v>60004000</v>
      </c>
      <c r="B270" s="6" t="s">
        <v>220</v>
      </c>
      <c r="C270" s="4">
        <v>9800</v>
      </c>
      <c r="D270" s="1">
        <f t="shared" si="5"/>
        <v>5390</v>
      </c>
      <c r="E270" s="27"/>
      <c r="G270" s="24"/>
    </row>
    <row r="271" spans="1:7">
      <c r="A271" s="5">
        <v>61504000</v>
      </c>
      <c r="B271" s="6" t="s">
        <v>221</v>
      </c>
      <c r="C271" s="4">
        <v>9800</v>
      </c>
      <c r="D271" s="1">
        <f t="shared" si="5"/>
        <v>5390</v>
      </c>
      <c r="E271" s="27"/>
      <c r="G271" s="24"/>
    </row>
    <row r="272" spans="1:7">
      <c r="A272" s="5">
        <v>61004000</v>
      </c>
      <c r="B272" s="6" t="s">
        <v>222</v>
      </c>
      <c r="C272" s="4">
        <v>9800</v>
      </c>
      <c r="D272" s="1">
        <f t="shared" si="5"/>
        <v>5390</v>
      </c>
      <c r="E272" s="27"/>
      <c r="G272" s="24"/>
    </row>
    <row r="273" spans="1:7">
      <c r="A273" s="5">
        <v>60504000</v>
      </c>
      <c r="B273" s="6" t="s">
        <v>223</v>
      </c>
      <c r="C273" s="4">
        <v>9800</v>
      </c>
      <c r="D273" s="1">
        <f t="shared" si="5"/>
        <v>5390</v>
      </c>
      <c r="E273" s="27"/>
      <c r="G273" s="24"/>
    </row>
    <row r="274" spans="1:7">
      <c r="A274" s="5">
        <v>62004000</v>
      </c>
      <c r="B274" s="6" t="s">
        <v>224</v>
      </c>
      <c r="C274" s="4">
        <v>9800</v>
      </c>
      <c r="D274" s="1">
        <f t="shared" si="5"/>
        <v>5390</v>
      </c>
      <c r="E274" s="27"/>
      <c r="G274" s="24"/>
    </row>
    <row r="275" spans="1:7">
      <c r="A275" s="79" t="s">
        <v>380</v>
      </c>
      <c r="B275" s="79"/>
      <c r="C275" s="79"/>
      <c r="D275" s="79"/>
      <c r="E275" s="79"/>
      <c r="G275" s="24"/>
    </row>
    <row r="276" spans="1:7">
      <c r="A276" s="5">
        <v>72201000</v>
      </c>
      <c r="B276" s="6" t="s">
        <v>238</v>
      </c>
      <c r="C276" s="4">
        <v>7800</v>
      </c>
      <c r="D276" s="1">
        <f t="shared" ref="D276:D283" si="6">C276*0.55</f>
        <v>4290</v>
      </c>
      <c r="E276" s="27"/>
      <c r="G276" s="24"/>
    </row>
    <row r="277" spans="1:7">
      <c r="A277" s="5">
        <v>72204000</v>
      </c>
      <c r="B277" s="6" t="s">
        <v>239</v>
      </c>
      <c r="C277" s="4">
        <v>22000</v>
      </c>
      <c r="D277" s="1">
        <f t="shared" si="6"/>
        <v>12100.000000000002</v>
      </c>
      <c r="E277" s="27"/>
      <c r="G277" s="24"/>
    </row>
    <row r="278" spans="1:7">
      <c r="A278" s="5">
        <v>72001000</v>
      </c>
      <c r="B278" s="6" t="s">
        <v>240</v>
      </c>
      <c r="C278" s="4">
        <v>7800</v>
      </c>
      <c r="D278" s="1">
        <f t="shared" si="6"/>
        <v>4290</v>
      </c>
      <c r="E278" s="27"/>
      <c r="G278" s="24"/>
    </row>
    <row r="279" spans="1:7">
      <c r="A279" s="5">
        <v>72004000</v>
      </c>
      <c r="B279" s="6" t="s">
        <v>241</v>
      </c>
      <c r="C279" s="4">
        <v>22000</v>
      </c>
      <c r="D279" s="1">
        <f t="shared" si="6"/>
        <v>12100.000000000002</v>
      </c>
      <c r="E279" s="27"/>
      <c r="G279" s="24"/>
    </row>
    <row r="280" spans="1:7">
      <c r="A280" s="14" t="s">
        <v>245</v>
      </c>
      <c r="B280" s="6" t="s">
        <v>398</v>
      </c>
      <c r="C280" s="4">
        <v>7800</v>
      </c>
      <c r="D280" s="1">
        <f t="shared" si="6"/>
        <v>4290</v>
      </c>
      <c r="E280" s="27"/>
      <c r="G280" s="24"/>
    </row>
    <row r="281" spans="1:7">
      <c r="A281" s="14" t="s">
        <v>247</v>
      </c>
      <c r="B281" s="6" t="s">
        <v>399</v>
      </c>
      <c r="C281" s="4">
        <v>22000</v>
      </c>
      <c r="D281" s="1">
        <f t="shared" si="6"/>
        <v>12100.000000000002</v>
      </c>
      <c r="E281" s="27"/>
      <c r="G281" s="24"/>
    </row>
    <row r="282" spans="1:7">
      <c r="A282" s="14" t="s">
        <v>249</v>
      </c>
      <c r="B282" s="6" t="s">
        <v>400</v>
      </c>
      <c r="C282" s="4">
        <v>7800</v>
      </c>
      <c r="D282" s="1">
        <f t="shared" si="6"/>
        <v>4290</v>
      </c>
      <c r="E282" s="27"/>
      <c r="G282" s="24"/>
    </row>
    <row r="283" spans="1:7">
      <c r="A283" s="14" t="s">
        <v>251</v>
      </c>
      <c r="B283" s="6" t="s">
        <v>401</v>
      </c>
      <c r="C283" s="4">
        <v>22000</v>
      </c>
      <c r="D283" s="1">
        <f t="shared" si="6"/>
        <v>12100.000000000002</v>
      </c>
      <c r="E283" s="27"/>
      <c r="G283" s="24"/>
    </row>
    <row r="284" spans="1:7">
      <c r="A284" s="67" t="s">
        <v>378</v>
      </c>
      <c r="B284" s="67"/>
      <c r="C284" s="67"/>
      <c r="D284" s="67"/>
      <c r="E284" s="67"/>
      <c r="G284" s="24"/>
    </row>
    <row r="285" spans="1:7">
      <c r="A285" s="14">
        <v>84008000</v>
      </c>
      <c r="B285" s="6" t="s">
        <v>225</v>
      </c>
      <c r="C285" s="4">
        <v>12000</v>
      </c>
      <c r="D285" s="1">
        <f t="shared" si="5"/>
        <v>6600.0000000000009</v>
      </c>
      <c r="E285" s="27"/>
      <c r="G285" s="24"/>
    </row>
    <row r="286" spans="1:7">
      <c r="A286" s="14" t="s">
        <v>307</v>
      </c>
      <c r="B286" s="6" t="s">
        <v>402</v>
      </c>
      <c r="C286" s="4">
        <v>7000</v>
      </c>
      <c r="D286" s="1">
        <f t="shared" si="5"/>
        <v>3850.0000000000005</v>
      </c>
      <c r="E286" s="27"/>
      <c r="G286" s="24"/>
    </row>
    <row r="287" spans="1:7">
      <c r="A287" s="14" t="s">
        <v>310</v>
      </c>
      <c r="B287" s="6" t="s">
        <v>406</v>
      </c>
      <c r="C287" s="4">
        <v>10000</v>
      </c>
      <c r="D287" s="1">
        <f>C287*0.55</f>
        <v>5500</v>
      </c>
      <c r="E287" s="27"/>
      <c r="G287" s="24"/>
    </row>
    <row r="288" spans="1:7">
      <c r="A288" s="36" t="s">
        <v>226</v>
      </c>
      <c r="B288" s="6" t="s">
        <v>403</v>
      </c>
      <c r="C288" s="4">
        <v>22000</v>
      </c>
      <c r="D288" s="1">
        <f t="shared" si="5"/>
        <v>12100.000000000002</v>
      </c>
      <c r="E288" s="27"/>
      <c r="G288" s="24"/>
    </row>
    <row r="289" spans="1:7">
      <c r="A289" s="36" t="s">
        <v>314</v>
      </c>
      <c r="B289" s="6" t="s">
        <v>404</v>
      </c>
      <c r="C289" s="4">
        <v>24000</v>
      </c>
      <c r="D289" s="1">
        <f t="shared" si="5"/>
        <v>13200.000000000002</v>
      </c>
      <c r="E289" s="27"/>
      <c r="G289" s="24"/>
    </row>
    <row r="290" spans="1:7">
      <c r="A290" s="14" t="s">
        <v>227</v>
      </c>
      <c r="B290" s="6" t="s">
        <v>405</v>
      </c>
      <c r="C290" s="4">
        <v>12000</v>
      </c>
      <c r="D290" s="1">
        <f t="shared" si="5"/>
        <v>6600.0000000000009</v>
      </c>
      <c r="E290" s="27"/>
      <c r="G290" s="24"/>
    </row>
    <row r="291" spans="1:7">
      <c r="A291" s="14">
        <v>81003000</v>
      </c>
      <c r="B291" s="6" t="s">
        <v>229</v>
      </c>
      <c r="C291" s="4">
        <v>10000</v>
      </c>
      <c r="D291" s="1">
        <f t="shared" si="5"/>
        <v>5500</v>
      </c>
      <c r="E291" s="27"/>
      <c r="G291" s="24"/>
    </row>
    <row r="292" spans="1:7">
      <c r="A292" s="14">
        <v>81508000</v>
      </c>
      <c r="B292" s="6" t="s">
        <v>230</v>
      </c>
      <c r="C292" s="4">
        <v>10000</v>
      </c>
      <c r="D292" s="1">
        <f t="shared" si="5"/>
        <v>5500</v>
      </c>
      <c r="E292" s="27"/>
      <c r="G292" s="24"/>
    </row>
    <row r="293" spans="1:7">
      <c r="A293" s="14">
        <v>81706000</v>
      </c>
      <c r="B293" s="6" t="s">
        <v>231</v>
      </c>
      <c r="C293" s="4">
        <v>10000</v>
      </c>
      <c r="D293" s="1">
        <f t="shared" si="5"/>
        <v>5500</v>
      </c>
      <c r="E293" s="27"/>
      <c r="G293" s="24"/>
    </row>
    <row r="294" spans="1:7">
      <c r="A294" s="14">
        <v>85304000</v>
      </c>
      <c r="B294" s="6" t="s">
        <v>232</v>
      </c>
      <c r="C294" s="4">
        <v>10000</v>
      </c>
      <c r="D294" s="1">
        <f t="shared" si="5"/>
        <v>5500</v>
      </c>
      <c r="E294" s="27"/>
      <c r="G294" s="24"/>
    </row>
    <row r="295" spans="1:7">
      <c r="A295" s="14">
        <v>86104000</v>
      </c>
      <c r="B295" s="6" t="s">
        <v>233</v>
      </c>
      <c r="C295" s="4">
        <v>10000</v>
      </c>
      <c r="D295" s="1">
        <f t="shared" si="5"/>
        <v>5500</v>
      </c>
      <c r="E295" s="27"/>
      <c r="G295" s="24"/>
    </row>
    <row r="296" spans="1:7">
      <c r="A296" s="14">
        <v>21608000</v>
      </c>
      <c r="B296" s="6" t="s">
        <v>282</v>
      </c>
      <c r="C296" s="4">
        <v>15000</v>
      </c>
      <c r="D296" s="1">
        <f t="shared" si="5"/>
        <v>8250</v>
      </c>
      <c r="E296" s="27"/>
      <c r="G296" s="24"/>
    </row>
    <row r="297" spans="1:7">
      <c r="A297" s="14">
        <v>80003000</v>
      </c>
      <c r="B297" s="6" t="s">
        <v>265</v>
      </c>
      <c r="C297" s="4">
        <v>10000</v>
      </c>
      <c r="D297" s="1">
        <f t="shared" si="5"/>
        <v>5500</v>
      </c>
      <c r="E297" s="27"/>
      <c r="G297" s="24"/>
    </row>
    <row r="298" spans="1:7">
      <c r="A298" s="14">
        <v>22008029</v>
      </c>
      <c r="B298" s="6" t="s">
        <v>285</v>
      </c>
      <c r="C298" s="4">
        <v>10000</v>
      </c>
      <c r="D298" s="1">
        <f t="shared" si="5"/>
        <v>5500</v>
      </c>
      <c r="E298" s="27"/>
      <c r="G298" s="24"/>
    </row>
    <row r="299" spans="1:7">
      <c r="A299" s="67" t="s">
        <v>379</v>
      </c>
      <c r="B299" s="67"/>
      <c r="C299" s="67"/>
      <c r="D299" s="67"/>
      <c r="E299" s="67"/>
      <c r="G299" s="24"/>
    </row>
    <row r="300" spans="1:7">
      <c r="A300" s="5" t="s">
        <v>234</v>
      </c>
      <c r="B300" s="6" t="s">
        <v>235</v>
      </c>
      <c r="C300" s="4">
        <v>12000</v>
      </c>
      <c r="D300" s="1">
        <f t="shared" si="5"/>
        <v>6600.0000000000009</v>
      </c>
      <c r="E300" s="27"/>
      <c r="G300" s="24"/>
    </row>
    <row r="301" spans="1:7">
      <c r="A301" s="5">
        <v>85205000</v>
      </c>
      <c r="B301" s="6" t="s">
        <v>236</v>
      </c>
      <c r="C301" s="4">
        <v>14000</v>
      </c>
      <c r="D301" s="1">
        <f t="shared" si="5"/>
        <v>7700.0000000000009</v>
      </c>
      <c r="E301" s="3"/>
      <c r="G301" s="24"/>
    </row>
    <row r="302" spans="1:7">
      <c r="A302" s="5">
        <v>85004000</v>
      </c>
      <c r="B302" s="6" t="s">
        <v>237</v>
      </c>
      <c r="C302" s="4">
        <v>8000</v>
      </c>
      <c r="D302" s="1">
        <f t="shared" si="5"/>
        <v>4400</v>
      </c>
      <c r="E302" s="3"/>
      <c r="G302" s="24"/>
    </row>
    <row r="303" spans="1:7">
      <c r="A303" s="5" t="s">
        <v>360</v>
      </c>
      <c r="B303" s="6" t="s">
        <v>407</v>
      </c>
      <c r="C303" s="4">
        <v>8000</v>
      </c>
      <c r="D303" s="1">
        <f t="shared" si="5"/>
        <v>4400</v>
      </c>
      <c r="E303" s="3"/>
      <c r="G303" s="24"/>
    </row>
    <row r="304" spans="1:7">
      <c r="A304" s="79" t="s">
        <v>381</v>
      </c>
      <c r="B304" s="79"/>
      <c r="C304" s="79"/>
      <c r="D304" s="79"/>
      <c r="E304" s="79"/>
      <c r="G304" s="24"/>
    </row>
    <row r="305" spans="1:7">
      <c r="A305" s="5" t="s">
        <v>253</v>
      </c>
      <c r="B305" s="6" t="s">
        <v>254</v>
      </c>
      <c r="C305" s="4">
        <v>12000</v>
      </c>
      <c r="D305" s="1">
        <f t="shared" si="5"/>
        <v>6600.0000000000009</v>
      </c>
      <c r="E305" s="27"/>
      <c r="G305" s="24"/>
    </row>
    <row r="306" spans="1:7">
      <c r="A306" s="5" t="s">
        <v>255</v>
      </c>
      <c r="B306" s="6" t="s">
        <v>256</v>
      </c>
      <c r="C306" s="4">
        <v>8000</v>
      </c>
      <c r="D306" s="1">
        <f t="shared" si="5"/>
        <v>4400</v>
      </c>
      <c r="E306" s="27"/>
      <c r="G306" s="24"/>
    </row>
    <row r="307" spans="1:7">
      <c r="A307" s="5">
        <v>21004000</v>
      </c>
      <c r="B307" s="6" t="s">
        <v>257</v>
      </c>
      <c r="C307" s="4">
        <v>10000</v>
      </c>
      <c r="D307" s="1">
        <f t="shared" si="5"/>
        <v>5500</v>
      </c>
      <c r="E307" s="27"/>
      <c r="G307" s="24"/>
    </row>
    <row r="308" spans="1:7">
      <c r="A308" s="5">
        <v>10508000</v>
      </c>
      <c r="B308" s="6" t="s">
        <v>284</v>
      </c>
      <c r="C308" s="4">
        <v>10000</v>
      </c>
      <c r="D308" s="1">
        <f>C308*0.55</f>
        <v>5500</v>
      </c>
      <c r="E308" s="3"/>
      <c r="G308" s="24"/>
    </row>
    <row r="309" spans="1:7">
      <c r="A309" s="5">
        <v>21208000</v>
      </c>
      <c r="B309" s="6" t="s">
        <v>408</v>
      </c>
      <c r="C309" s="4">
        <v>10000</v>
      </c>
      <c r="D309" s="1">
        <f>C309*0.55</f>
        <v>5500</v>
      </c>
      <c r="E309" s="3"/>
      <c r="G309" s="24"/>
    </row>
    <row r="310" spans="1:7">
      <c r="A310" s="79" t="s">
        <v>389</v>
      </c>
      <c r="B310" s="79"/>
      <c r="C310" s="79"/>
      <c r="D310" s="79"/>
      <c r="E310" s="84"/>
      <c r="G310" s="24"/>
    </row>
    <row r="311" spans="1:7">
      <c r="A311" s="5">
        <v>30203005</v>
      </c>
      <c r="B311" s="6" t="s">
        <v>258</v>
      </c>
      <c r="C311" s="4">
        <v>10000</v>
      </c>
      <c r="D311" s="1">
        <f t="shared" si="5"/>
        <v>5500</v>
      </c>
      <c r="E311" s="27"/>
      <c r="G311" s="24"/>
    </row>
    <row r="312" spans="1:7">
      <c r="A312" s="80" t="s">
        <v>383</v>
      </c>
      <c r="B312" s="80"/>
      <c r="C312" s="80"/>
      <c r="D312" s="80"/>
      <c r="E312" s="80"/>
      <c r="G312" s="24"/>
    </row>
    <row r="313" spans="1:7">
      <c r="A313" s="5">
        <v>40003001</v>
      </c>
      <c r="B313" s="6" t="s">
        <v>290</v>
      </c>
      <c r="C313" s="4">
        <v>7500</v>
      </c>
      <c r="D313" s="1">
        <f t="shared" ref="D313:D325" si="7">C313*0.55</f>
        <v>4125</v>
      </c>
      <c r="E313" s="3"/>
      <c r="G313" s="24"/>
    </row>
    <row r="314" spans="1:7">
      <c r="A314" s="5">
        <v>40003004</v>
      </c>
      <c r="B314" s="6" t="s">
        <v>291</v>
      </c>
      <c r="C314" s="4">
        <v>7500</v>
      </c>
      <c r="D314" s="1">
        <f t="shared" si="7"/>
        <v>4125</v>
      </c>
      <c r="E314" s="3"/>
      <c r="G314" s="24"/>
    </row>
    <row r="315" spans="1:7">
      <c r="A315" s="5">
        <v>40003005</v>
      </c>
      <c r="B315" s="6" t="s">
        <v>292</v>
      </c>
      <c r="C315" s="4">
        <v>7500</v>
      </c>
      <c r="D315" s="1">
        <f t="shared" si="7"/>
        <v>4125</v>
      </c>
      <c r="E315" s="3"/>
      <c r="G315" s="24"/>
    </row>
    <row r="316" spans="1:7">
      <c r="A316" s="5">
        <v>40003011</v>
      </c>
      <c r="B316" s="6" t="s">
        <v>293</v>
      </c>
      <c r="C316" s="4">
        <v>7500</v>
      </c>
      <c r="D316" s="1">
        <f t="shared" si="7"/>
        <v>4125</v>
      </c>
      <c r="E316" s="3"/>
      <c r="G316" s="24"/>
    </row>
    <row r="317" spans="1:7">
      <c r="A317" s="5">
        <v>40003014</v>
      </c>
      <c r="B317" s="6" t="s">
        <v>294</v>
      </c>
      <c r="C317" s="4">
        <v>7500</v>
      </c>
      <c r="D317" s="1">
        <f t="shared" si="7"/>
        <v>4125</v>
      </c>
      <c r="E317" s="3"/>
      <c r="G317" s="24"/>
    </row>
    <row r="318" spans="1:7">
      <c r="A318" s="5">
        <v>40003017</v>
      </c>
      <c r="B318" s="6" t="s">
        <v>295</v>
      </c>
      <c r="C318" s="4">
        <v>7500</v>
      </c>
      <c r="D318" s="1">
        <f t="shared" si="7"/>
        <v>4125</v>
      </c>
      <c r="E318" s="3"/>
      <c r="G318" s="24"/>
    </row>
    <row r="319" spans="1:7">
      <c r="A319" s="5">
        <v>40003018</v>
      </c>
      <c r="B319" s="6" t="s">
        <v>296</v>
      </c>
      <c r="C319" s="4">
        <v>7500</v>
      </c>
      <c r="D319" s="1">
        <f t="shared" si="7"/>
        <v>4125</v>
      </c>
      <c r="E319" s="3"/>
      <c r="G319" s="24"/>
    </row>
    <row r="320" spans="1:7">
      <c r="A320" s="5">
        <v>40003029</v>
      </c>
      <c r="B320" s="6" t="s">
        <v>297</v>
      </c>
      <c r="C320" s="4">
        <v>7500</v>
      </c>
      <c r="D320" s="1">
        <f t="shared" si="7"/>
        <v>4125</v>
      </c>
      <c r="E320" s="3"/>
      <c r="G320" s="24"/>
    </row>
    <row r="321" spans="1:7">
      <c r="A321" s="5">
        <v>40003042</v>
      </c>
      <c r="B321" s="6" t="s">
        <v>298</v>
      </c>
      <c r="C321" s="4">
        <v>7500</v>
      </c>
      <c r="D321" s="1">
        <f t="shared" si="7"/>
        <v>4125</v>
      </c>
      <c r="E321" s="3"/>
      <c r="G321" s="24"/>
    </row>
    <row r="322" spans="1:7">
      <c r="A322" s="5">
        <v>40003050</v>
      </c>
      <c r="B322" s="6" t="s">
        <v>299</v>
      </c>
      <c r="C322" s="4">
        <v>7500</v>
      </c>
      <c r="D322" s="1">
        <f t="shared" si="7"/>
        <v>4125</v>
      </c>
      <c r="E322" s="3"/>
      <c r="G322" s="24"/>
    </row>
    <row r="323" spans="1:7">
      <c r="A323" s="5">
        <v>40003052</v>
      </c>
      <c r="B323" s="6" t="s">
        <v>300</v>
      </c>
      <c r="C323" s="4">
        <v>7500</v>
      </c>
      <c r="D323" s="1">
        <f t="shared" si="7"/>
        <v>4125</v>
      </c>
      <c r="E323" s="3"/>
      <c r="G323" s="24"/>
    </row>
    <row r="324" spans="1:7">
      <c r="A324" s="5">
        <v>40003062</v>
      </c>
      <c r="B324" s="6" t="s">
        <v>301</v>
      </c>
      <c r="C324" s="4">
        <v>7500</v>
      </c>
      <c r="D324" s="1">
        <f t="shared" si="7"/>
        <v>4125</v>
      </c>
      <c r="E324" s="3"/>
      <c r="G324" s="24"/>
    </row>
    <row r="325" spans="1:7">
      <c r="A325" s="5">
        <v>40003064</v>
      </c>
      <c r="B325" s="6" t="s">
        <v>302</v>
      </c>
      <c r="C325" s="4">
        <v>7500</v>
      </c>
      <c r="D325" s="1">
        <f t="shared" si="7"/>
        <v>4125</v>
      </c>
      <c r="E325" s="3"/>
      <c r="G325" s="24"/>
    </row>
    <row r="326" spans="1:7">
      <c r="A326" s="67" t="s">
        <v>390</v>
      </c>
      <c r="B326" s="67"/>
      <c r="C326" s="67"/>
      <c r="D326" s="67"/>
      <c r="E326" s="67"/>
      <c r="G326" s="24"/>
    </row>
    <row r="327" spans="1:7">
      <c r="A327" s="5">
        <v>31003014</v>
      </c>
      <c r="B327" s="6" t="s">
        <v>259</v>
      </c>
      <c r="C327" s="4">
        <v>6000</v>
      </c>
      <c r="D327" s="1">
        <f t="shared" si="5"/>
        <v>3300.0000000000005</v>
      </c>
      <c r="E327" s="27"/>
      <c r="G327" s="24"/>
    </row>
    <row r="328" spans="1:7">
      <c r="A328" s="5">
        <v>31003004</v>
      </c>
      <c r="B328" s="6" t="s">
        <v>260</v>
      </c>
      <c r="C328" s="4">
        <v>6000</v>
      </c>
      <c r="D328" s="1">
        <f t="shared" si="5"/>
        <v>3300.0000000000005</v>
      </c>
      <c r="E328" s="27"/>
      <c r="G328" s="24"/>
    </row>
    <row r="329" spans="1:7">
      <c r="A329" s="5">
        <v>31003064</v>
      </c>
      <c r="B329" s="6" t="s">
        <v>261</v>
      </c>
      <c r="C329" s="4">
        <v>6000</v>
      </c>
      <c r="D329" s="1">
        <f t="shared" si="5"/>
        <v>3300.0000000000005</v>
      </c>
      <c r="E329" s="27"/>
      <c r="G329" s="24"/>
    </row>
    <row r="330" spans="1:7">
      <c r="A330" s="5">
        <v>31003017</v>
      </c>
      <c r="B330" s="6" t="s">
        <v>262</v>
      </c>
      <c r="C330" s="4">
        <v>6000</v>
      </c>
      <c r="D330" s="1">
        <f t="shared" si="5"/>
        <v>3300.0000000000005</v>
      </c>
      <c r="E330" s="27"/>
      <c r="G330" s="24"/>
    </row>
    <row r="331" spans="1:7">
      <c r="A331" s="5">
        <v>31003005</v>
      </c>
      <c r="B331" s="6" t="s">
        <v>263</v>
      </c>
      <c r="C331" s="4">
        <v>6000</v>
      </c>
      <c r="D331" s="1">
        <f t="shared" si="5"/>
        <v>3300.0000000000005</v>
      </c>
      <c r="E331" s="27"/>
      <c r="G331" s="24"/>
    </row>
    <row r="332" spans="1:7">
      <c r="A332" s="5">
        <v>31003001</v>
      </c>
      <c r="B332" s="6" t="s">
        <v>264</v>
      </c>
      <c r="C332" s="4">
        <v>6000</v>
      </c>
      <c r="D332" s="1">
        <f t="shared" si="5"/>
        <v>3300.0000000000005</v>
      </c>
      <c r="E332" s="27"/>
      <c r="G332" s="24"/>
    </row>
    <row r="333" spans="1:7">
      <c r="A333" s="67" t="s">
        <v>422</v>
      </c>
      <c r="B333" s="67"/>
      <c r="C333" s="67"/>
      <c r="D333" s="67"/>
      <c r="E333" s="67"/>
      <c r="G333" s="24"/>
    </row>
    <row r="334" spans="1:7">
      <c r="A334" s="5" t="s">
        <v>274</v>
      </c>
      <c r="B334" s="6" t="s">
        <v>275</v>
      </c>
      <c r="C334" s="4">
        <v>6000</v>
      </c>
      <c r="D334" s="1">
        <f t="shared" ref="D334:D339" si="8">C334*0.55</f>
        <v>3300.0000000000005</v>
      </c>
      <c r="E334" s="3"/>
      <c r="G334" s="24"/>
    </row>
    <row r="335" spans="1:7">
      <c r="A335" s="5" t="s">
        <v>276</v>
      </c>
      <c r="B335" s="6" t="s">
        <v>277</v>
      </c>
      <c r="C335" s="4">
        <v>6000</v>
      </c>
      <c r="D335" s="1">
        <f t="shared" si="8"/>
        <v>3300.0000000000005</v>
      </c>
      <c r="E335" s="3"/>
      <c r="G335" s="24"/>
    </row>
    <row r="336" spans="1:7">
      <c r="A336" s="5" t="s">
        <v>278</v>
      </c>
      <c r="B336" s="6" t="s">
        <v>412</v>
      </c>
      <c r="C336" s="4">
        <v>7500</v>
      </c>
      <c r="D336" s="1">
        <f t="shared" si="8"/>
        <v>4125</v>
      </c>
      <c r="E336" s="3"/>
      <c r="G336" s="24"/>
    </row>
    <row r="337" spans="1:7">
      <c r="A337" s="5" t="s">
        <v>279</v>
      </c>
      <c r="B337" s="6" t="s">
        <v>413</v>
      </c>
      <c r="C337" s="4">
        <v>7500</v>
      </c>
      <c r="D337" s="1">
        <f t="shared" si="8"/>
        <v>4125</v>
      </c>
      <c r="E337" s="3"/>
      <c r="G337" s="24"/>
    </row>
    <row r="338" spans="1:7">
      <c r="A338" s="5" t="s">
        <v>280</v>
      </c>
      <c r="B338" s="6" t="s">
        <v>414</v>
      </c>
      <c r="C338" s="4">
        <v>15000</v>
      </c>
      <c r="D338" s="1">
        <f t="shared" si="8"/>
        <v>8250</v>
      </c>
      <c r="E338" s="3"/>
      <c r="G338" s="24"/>
    </row>
    <row r="339" spans="1:7">
      <c r="A339" s="5" t="s">
        <v>281</v>
      </c>
      <c r="B339" s="6" t="s">
        <v>415</v>
      </c>
      <c r="C339" s="4">
        <v>15000</v>
      </c>
      <c r="D339" s="1">
        <f t="shared" si="8"/>
        <v>8250</v>
      </c>
      <c r="E339" s="3"/>
      <c r="G339" s="24"/>
    </row>
    <row r="340" spans="1:7">
      <c r="A340" s="67" t="s">
        <v>382</v>
      </c>
      <c r="B340" s="67"/>
      <c r="C340" s="67"/>
      <c r="D340" s="67"/>
      <c r="E340" s="67"/>
      <c r="G340" s="24"/>
    </row>
    <row r="341" spans="1:7">
      <c r="A341" s="5" t="s">
        <v>266</v>
      </c>
      <c r="B341" s="6" t="s">
        <v>267</v>
      </c>
      <c r="C341" s="4">
        <v>10000</v>
      </c>
      <c r="D341" s="1">
        <f t="shared" si="5"/>
        <v>5500</v>
      </c>
      <c r="E341" s="3"/>
      <c r="G341" s="24"/>
    </row>
    <row r="342" spans="1:7">
      <c r="A342" s="5" t="s">
        <v>268</v>
      </c>
      <c r="B342" s="6" t="s">
        <v>269</v>
      </c>
      <c r="C342" s="4">
        <v>6000</v>
      </c>
      <c r="D342" s="1">
        <f t="shared" si="5"/>
        <v>3300.0000000000005</v>
      </c>
      <c r="E342" s="3"/>
      <c r="G342" s="24"/>
    </row>
    <row r="343" spans="1:7">
      <c r="A343" s="5">
        <v>895</v>
      </c>
      <c r="B343" s="6" t="s">
        <v>270</v>
      </c>
      <c r="C343" s="4">
        <v>10000</v>
      </c>
      <c r="D343" s="1">
        <f t="shared" si="5"/>
        <v>5500</v>
      </c>
      <c r="E343" s="3"/>
      <c r="G343" s="24"/>
    </row>
    <row r="344" spans="1:7">
      <c r="A344" s="5" t="s">
        <v>271</v>
      </c>
      <c r="B344" s="6" t="s">
        <v>409</v>
      </c>
      <c r="C344" s="4">
        <v>20000</v>
      </c>
      <c r="D344" s="1">
        <f t="shared" si="5"/>
        <v>11000</v>
      </c>
      <c r="E344" s="3"/>
      <c r="G344" s="24"/>
    </row>
    <row r="345" spans="1:7">
      <c r="A345" s="5" t="s">
        <v>359</v>
      </c>
      <c r="B345" s="6" t="s">
        <v>410</v>
      </c>
      <c r="C345" s="4">
        <v>10000</v>
      </c>
      <c r="D345" s="1">
        <f t="shared" si="5"/>
        <v>5500</v>
      </c>
      <c r="E345" s="3"/>
      <c r="G345" s="24"/>
    </row>
    <row r="346" spans="1:7">
      <c r="A346" s="5" t="s">
        <v>273</v>
      </c>
      <c r="B346" s="6" t="s">
        <v>411</v>
      </c>
      <c r="C346" s="4">
        <v>9000</v>
      </c>
      <c r="D346" s="1">
        <f t="shared" si="5"/>
        <v>4950</v>
      </c>
      <c r="E346" s="3"/>
      <c r="G346" s="24"/>
    </row>
    <row r="347" spans="1:7">
      <c r="A347" s="5" t="s">
        <v>288</v>
      </c>
      <c r="B347" s="6" t="s">
        <v>420</v>
      </c>
      <c r="C347" s="4">
        <v>6000</v>
      </c>
      <c r="D347" s="1">
        <f t="shared" ref="D347" si="9">C347*0.55</f>
        <v>3300.0000000000005</v>
      </c>
      <c r="E347" s="3"/>
      <c r="G347" s="24"/>
    </row>
    <row r="348" spans="1:7">
      <c r="A348" s="5" t="s">
        <v>303</v>
      </c>
      <c r="B348" s="6" t="s">
        <v>416</v>
      </c>
      <c r="C348" s="4">
        <v>10000</v>
      </c>
      <c r="D348" s="1">
        <f>C348*0.55</f>
        <v>5500</v>
      </c>
      <c r="E348" s="3"/>
      <c r="G348" s="24"/>
    </row>
    <row r="349" spans="1:7">
      <c r="A349" s="5" t="s">
        <v>305</v>
      </c>
      <c r="B349" s="6" t="s">
        <v>417</v>
      </c>
      <c r="C349" s="4">
        <v>10000</v>
      </c>
      <c r="D349" s="1">
        <f>C349*0.55</f>
        <v>5500</v>
      </c>
      <c r="E349" s="3"/>
      <c r="G349" s="24"/>
    </row>
    <row r="350" spans="1:7">
      <c r="A350" s="5">
        <v>86366924006</v>
      </c>
      <c r="B350" s="6" t="s">
        <v>421</v>
      </c>
      <c r="C350" s="4">
        <v>15000</v>
      </c>
      <c r="D350" s="1">
        <f t="shared" ref="D350:D352" si="10">C350*0.55</f>
        <v>8250</v>
      </c>
      <c r="E350" s="3"/>
      <c r="G350" s="24"/>
    </row>
    <row r="351" spans="1:7">
      <c r="A351" s="5" t="s">
        <v>312</v>
      </c>
      <c r="B351" s="6" t="s">
        <v>418</v>
      </c>
      <c r="C351" s="4">
        <v>5000</v>
      </c>
      <c r="D351" s="1">
        <f t="shared" si="10"/>
        <v>2750</v>
      </c>
      <c r="E351" s="3"/>
      <c r="G351" s="24"/>
    </row>
    <row r="352" spans="1:7">
      <c r="A352" s="5" t="s">
        <v>361</v>
      </c>
      <c r="B352" s="6" t="s">
        <v>419</v>
      </c>
      <c r="C352" s="4">
        <v>14000</v>
      </c>
      <c r="D352" s="1">
        <f t="shared" si="10"/>
        <v>7700.0000000000009</v>
      </c>
      <c r="E352" s="3"/>
      <c r="G352" s="24"/>
    </row>
    <row r="353" spans="1:7">
      <c r="A353" s="5" t="s">
        <v>362</v>
      </c>
      <c r="B353" s="6" t="s">
        <v>363</v>
      </c>
      <c r="C353" s="4">
        <v>15000</v>
      </c>
      <c r="D353" s="1">
        <f>C353*0.55</f>
        <v>8250</v>
      </c>
      <c r="E353" s="3"/>
      <c r="G353" s="24"/>
    </row>
    <row r="354" spans="1:7">
      <c r="A354" s="5" t="s">
        <v>364</v>
      </c>
      <c r="B354" s="6" t="s">
        <v>365</v>
      </c>
      <c r="C354" s="4">
        <v>17000</v>
      </c>
      <c r="D354" s="1">
        <f>C354*0.55</f>
        <v>9350</v>
      </c>
      <c r="E354" s="3"/>
      <c r="G354" s="24"/>
    </row>
    <row r="355" spans="1:7">
      <c r="A355" s="5" t="s">
        <v>366</v>
      </c>
      <c r="B355" s="6" t="s">
        <v>367</v>
      </c>
      <c r="C355" s="4">
        <v>17000</v>
      </c>
      <c r="D355" s="1">
        <f>C355*0.55</f>
        <v>9350</v>
      </c>
      <c r="E355" s="3"/>
      <c r="G355" s="24"/>
    </row>
    <row r="356" spans="1:7">
      <c r="A356" s="5" t="s">
        <v>368</v>
      </c>
      <c r="B356" s="6" t="s">
        <v>369</v>
      </c>
      <c r="C356" s="4">
        <v>12000</v>
      </c>
      <c r="D356" s="1">
        <f t="shared" ref="D356" si="11">C356*0.55</f>
        <v>6600.0000000000009</v>
      </c>
      <c r="E356" s="3"/>
      <c r="G356" s="24"/>
    </row>
    <row r="357" spans="1:7">
      <c r="A357" s="18"/>
      <c r="B357" s="18"/>
      <c r="C357" s="18"/>
      <c r="D357" s="19"/>
      <c r="G357" s="24"/>
    </row>
    <row r="358" spans="1:7">
      <c r="A358" s="18"/>
      <c r="B358" s="18"/>
      <c r="C358" s="18"/>
      <c r="D358" s="19"/>
      <c r="G358" s="24"/>
    </row>
  </sheetData>
  <sortState ref="A255:E261">
    <sortCondition ref="A255:A261"/>
  </sortState>
  <mergeCells count="21">
    <mergeCell ref="A2:D2"/>
    <mergeCell ref="A115:E115"/>
    <mergeCell ref="A128:E128"/>
    <mergeCell ref="A166:E166"/>
    <mergeCell ref="A185:E185"/>
    <mergeCell ref="A87:E87"/>
    <mergeCell ref="A136:E136"/>
    <mergeCell ref="A228:E228"/>
    <mergeCell ref="A304:E304"/>
    <mergeCell ref="A340:E340"/>
    <mergeCell ref="A312:E312"/>
    <mergeCell ref="A254:E254"/>
    <mergeCell ref="A262:E262"/>
    <mergeCell ref="A310:E310"/>
    <mergeCell ref="A326:E326"/>
    <mergeCell ref="A333:E333"/>
    <mergeCell ref="A266:E266"/>
    <mergeCell ref="A269:E269"/>
    <mergeCell ref="A284:E284"/>
    <mergeCell ref="A299:E299"/>
    <mergeCell ref="A275:E27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T205"/>
  <sheetViews>
    <sheetView topLeftCell="A19" workbookViewId="0">
      <selection activeCell="L4" sqref="L4"/>
    </sheetView>
  </sheetViews>
  <sheetFormatPr defaultRowHeight="16.5"/>
  <cols>
    <col min="1" max="1" width="6.875" customWidth="1"/>
    <col min="2" max="2" width="24.75" style="38" customWidth="1"/>
    <col min="3" max="3" width="8.875" style="39" customWidth="1"/>
    <col min="4" max="4" width="9" style="31"/>
    <col min="5" max="7" width="3.75" style="31" customWidth="1"/>
    <col min="8" max="8" width="4.375" style="31" customWidth="1"/>
    <col min="9" max="10" width="3.75" style="31" customWidth="1"/>
    <col min="11" max="11" width="4.75" style="31" customWidth="1"/>
  </cols>
  <sheetData>
    <row r="1" spans="1:19">
      <c r="E1" s="49"/>
      <c r="F1" s="31" t="s">
        <v>951</v>
      </c>
      <c r="H1" s="50"/>
      <c r="I1" s="31" t="s">
        <v>950</v>
      </c>
    </row>
    <row r="2" spans="1:19">
      <c r="A2" s="35" t="s">
        <v>527</v>
      </c>
      <c r="B2" s="46" t="s">
        <v>942</v>
      </c>
      <c r="C2" s="41" t="s">
        <v>943</v>
      </c>
      <c r="D2" s="32" t="s">
        <v>905</v>
      </c>
      <c r="E2" s="87" t="s">
        <v>941</v>
      </c>
      <c r="F2" s="67"/>
      <c r="G2" s="67"/>
      <c r="H2" s="67"/>
      <c r="I2" s="67"/>
      <c r="J2" s="67"/>
      <c r="K2" s="68"/>
      <c r="L2" s="35" t="s">
        <v>906</v>
      </c>
      <c r="M2" s="3"/>
      <c r="N2" s="3"/>
    </row>
    <row r="3" spans="1:19">
      <c r="A3" s="87" t="s">
        <v>907</v>
      </c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  <c r="M3" s="3"/>
      <c r="N3" s="3"/>
    </row>
    <row r="4" spans="1:19">
      <c r="A4" s="3" t="s">
        <v>528</v>
      </c>
      <c r="B4" s="33" t="s">
        <v>529</v>
      </c>
      <c r="C4" s="40">
        <v>10000</v>
      </c>
      <c r="D4" s="1">
        <f>C4*0.6</f>
        <v>6000</v>
      </c>
      <c r="E4" s="47" t="s">
        <v>917</v>
      </c>
      <c r="F4" s="3" t="s">
        <v>918</v>
      </c>
      <c r="G4" s="48" t="s">
        <v>919</v>
      </c>
      <c r="H4" s="3" t="s">
        <v>920</v>
      </c>
      <c r="I4" s="3" t="s">
        <v>921</v>
      </c>
      <c r="J4" s="44"/>
      <c r="K4" s="44"/>
      <c r="L4" s="3"/>
      <c r="M4" s="3" t="s">
        <v>949</v>
      </c>
      <c r="N4" s="3" t="s">
        <v>948</v>
      </c>
      <c r="P4" t="s">
        <v>946</v>
      </c>
      <c r="S4" t="s">
        <v>945</v>
      </c>
    </row>
    <row r="5" spans="1:19">
      <c r="A5" s="3" t="s">
        <v>530</v>
      </c>
      <c r="B5" s="33" t="s">
        <v>531</v>
      </c>
      <c r="C5" s="40">
        <v>10000</v>
      </c>
      <c r="D5" s="1">
        <f t="shared" ref="D5:D70" si="0">C5*0.6</f>
        <v>6000</v>
      </c>
      <c r="E5" s="47" t="s">
        <v>917</v>
      </c>
      <c r="F5" s="3" t="s">
        <v>918</v>
      </c>
      <c r="G5" s="48" t="s">
        <v>919</v>
      </c>
      <c r="H5" s="3" t="s">
        <v>920</v>
      </c>
      <c r="I5" s="3" t="s">
        <v>921</v>
      </c>
      <c r="J5" s="44"/>
      <c r="K5" s="44"/>
      <c r="L5" s="3"/>
      <c r="M5" s="3" t="s">
        <v>949</v>
      </c>
      <c r="N5" s="3" t="s">
        <v>948</v>
      </c>
    </row>
    <row r="6" spans="1:19">
      <c r="A6" s="3" t="s">
        <v>532</v>
      </c>
      <c r="B6" s="33" t="s">
        <v>533</v>
      </c>
      <c r="C6" s="40">
        <v>10000</v>
      </c>
      <c r="D6" s="1">
        <f t="shared" si="0"/>
        <v>6000</v>
      </c>
      <c r="E6" s="47" t="s">
        <v>917</v>
      </c>
      <c r="F6" s="3" t="s">
        <v>918</v>
      </c>
      <c r="G6" s="48" t="s">
        <v>919</v>
      </c>
      <c r="H6" s="3" t="s">
        <v>920</v>
      </c>
      <c r="I6" s="3" t="s">
        <v>921</v>
      </c>
      <c r="J6" s="44"/>
      <c r="K6" s="44"/>
      <c r="L6" s="3"/>
      <c r="M6" s="3" t="s">
        <v>949</v>
      </c>
      <c r="N6" s="3" t="s">
        <v>948</v>
      </c>
    </row>
    <row r="7" spans="1:19">
      <c r="A7" s="3" t="s">
        <v>534</v>
      </c>
      <c r="B7" s="33" t="s">
        <v>535</v>
      </c>
      <c r="C7" s="40">
        <v>10000</v>
      </c>
      <c r="D7" s="1">
        <f t="shared" si="0"/>
        <v>6000</v>
      </c>
      <c r="E7" s="47" t="s">
        <v>917</v>
      </c>
      <c r="F7" s="3" t="s">
        <v>918</v>
      </c>
      <c r="G7" s="48" t="s">
        <v>919</v>
      </c>
      <c r="H7" s="3" t="s">
        <v>920</v>
      </c>
      <c r="I7" s="3" t="s">
        <v>921</v>
      </c>
      <c r="J7" s="44"/>
      <c r="K7" s="44"/>
      <c r="L7" s="3"/>
      <c r="M7" s="3" t="s">
        <v>949</v>
      </c>
      <c r="N7" s="3" t="s">
        <v>948</v>
      </c>
    </row>
    <row r="8" spans="1:19">
      <c r="A8" s="3" t="s">
        <v>536</v>
      </c>
      <c r="B8" s="33" t="s">
        <v>537</v>
      </c>
      <c r="C8" s="40">
        <v>10000</v>
      </c>
      <c r="D8" s="1">
        <f t="shared" si="0"/>
        <v>6000</v>
      </c>
      <c r="E8" s="4"/>
      <c r="F8" s="4"/>
      <c r="G8" s="44"/>
      <c r="H8" s="3" t="s">
        <v>920</v>
      </c>
      <c r="I8" s="3" t="s">
        <v>921</v>
      </c>
      <c r="J8" s="44"/>
      <c r="K8" s="44"/>
      <c r="L8" s="3"/>
      <c r="M8" s="3"/>
      <c r="N8" s="3"/>
    </row>
    <row r="9" spans="1:19">
      <c r="A9" s="3" t="s">
        <v>538</v>
      </c>
      <c r="B9" s="33" t="s">
        <v>539</v>
      </c>
      <c r="C9" s="40">
        <v>10000</v>
      </c>
      <c r="D9" s="1">
        <f t="shared" si="0"/>
        <v>6000</v>
      </c>
      <c r="E9" s="4"/>
      <c r="F9" s="4"/>
      <c r="G9" s="44"/>
      <c r="H9" s="3" t="s">
        <v>920</v>
      </c>
      <c r="I9" s="3" t="s">
        <v>921</v>
      </c>
      <c r="J9" s="44"/>
      <c r="K9" s="44"/>
      <c r="L9" s="3"/>
      <c r="M9" s="3"/>
      <c r="N9" s="3"/>
    </row>
    <row r="10" spans="1:19">
      <c r="A10" s="3" t="s">
        <v>540</v>
      </c>
      <c r="B10" s="33" t="s">
        <v>541</v>
      </c>
      <c r="C10" s="40">
        <v>10000</v>
      </c>
      <c r="D10" s="1">
        <f t="shared" si="0"/>
        <v>6000</v>
      </c>
      <c r="E10" s="4"/>
      <c r="F10" s="3" t="s">
        <v>923</v>
      </c>
      <c r="G10" s="4"/>
      <c r="H10" s="3" t="s">
        <v>920</v>
      </c>
      <c r="I10" s="3" t="s">
        <v>921</v>
      </c>
      <c r="J10" s="44"/>
      <c r="K10" s="44"/>
      <c r="L10" s="3"/>
      <c r="M10" s="3"/>
      <c r="N10" s="3"/>
    </row>
    <row r="11" spans="1:19">
      <c r="A11" s="3" t="s">
        <v>542</v>
      </c>
      <c r="B11" s="33" t="s">
        <v>543</v>
      </c>
      <c r="C11" s="40">
        <v>10000</v>
      </c>
      <c r="D11" s="1">
        <f t="shared" si="0"/>
        <v>6000</v>
      </c>
      <c r="E11" s="4"/>
      <c r="F11" s="3" t="s">
        <v>923</v>
      </c>
      <c r="G11" s="4"/>
      <c r="H11" s="3" t="s">
        <v>920</v>
      </c>
      <c r="I11" s="3" t="s">
        <v>921</v>
      </c>
      <c r="J11" s="44"/>
      <c r="K11" s="44"/>
      <c r="L11" s="3"/>
      <c r="M11" s="3"/>
      <c r="N11" s="3"/>
    </row>
    <row r="12" spans="1:19">
      <c r="A12" s="3" t="s">
        <v>544</v>
      </c>
      <c r="B12" s="33" t="s">
        <v>545</v>
      </c>
      <c r="C12" s="40">
        <v>10000</v>
      </c>
      <c r="D12" s="1">
        <f t="shared" si="0"/>
        <v>6000</v>
      </c>
      <c r="E12" s="47" t="s">
        <v>922</v>
      </c>
      <c r="F12" s="3" t="s">
        <v>923</v>
      </c>
      <c r="G12" s="4"/>
      <c r="H12" s="3" t="s">
        <v>920</v>
      </c>
      <c r="I12" s="3" t="s">
        <v>921</v>
      </c>
      <c r="J12" s="44"/>
      <c r="K12" s="44"/>
      <c r="L12" s="3"/>
      <c r="M12" s="3"/>
      <c r="N12" s="3" t="s">
        <v>948</v>
      </c>
    </row>
    <row r="13" spans="1:19">
      <c r="A13" s="3" t="s">
        <v>546</v>
      </c>
      <c r="B13" s="33" t="s">
        <v>547</v>
      </c>
      <c r="C13" s="40">
        <v>10000</v>
      </c>
      <c r="D13" s="1">
        <f t="shared" si="0"/>
        <v>6000</v>
      </c>
      <c r="E13" s="4"/>
      <c r="F13" s="3" t="s">
        <v>923</v>
      </c>
      <c r="G13" s="4"/>
      <c r="H13" s="3" t="s">
        <v>920</v>
      </c>
      <c r="I13" s="3" t="s">
        <v>921</v>
      </c>
      <c r="J13" s="44"/>
      <c r="K13" s="44"/>
      <c r="L13" s="3"/>
      <c r="M13" s="3"/>
      <c r="N13" s="3"/>
    </row>
    <row r="14" spans="1:19">
      <c r="A14" s="3" t="s">
        <v>548</v>
      </c>
      <c r="B14" s="33" t="s">
        <v>549</v>
      </c>
      <c r="C14" s="40">
        <v>10000</v>
      </c>
      <c r="D14" s="1">
        <f t="shared" si="0"/>
        <v>6000</v>
      </c>
      <c r="E14" s="4"/>
      <c r="F14" s="3" t="s">
        <v>923</v>
      </c>
      <c r="G14" s="4"/>
      <c r="H14" s="3" t="s">
        <v>920</v>
      </c>
      <c r="I14" s="3" t="s">
        <v>921</v>
      </c>
      <c r="J14" s="44"/>
      <c r="K14" s="44"/>
      <c r="L14" s="3"/>
      <c r="M14" s="3"/>
      <c r="N14" s="3"/>
    </row>
    <row r="15" spans="1:19">
      <c r="A15" s="3" t="s">
        <v>550</v>
      </c>
      <c r="B15" s="33" t="s">
        <v>551</v>
      </c>
      <c r="C15" s="40">
        <v>10000</v>
      </c>
      <c r="D15" s="1">
        <f t="shared" si="0"/>
        <v>6000</v>
      </c>
      <c r="E15" s="4"/>
      <c r="F15" s="3" t="s">
        <v>923</v>
      </c>
      <c r="G15" s="4"/>
      <c r="H15" s="3" t="s">
        <v>920</v>
      </c>
      <c r="I15" s="3" t="s">
        <v>921</v>
      </c>
      <c r="J15" s="44"/>
      <c r="K15" s="44"/>
      <c r="L15" s="3"/>
      <c r="M15" s="3"/>
      <c r="N15" s="3"/>
    </row>
    <row r="16" spans="1:19">
      <c r="A16" s="3" t="s">
        <v>552</v>
      </c>
      <c r="B16" s="33" t="s">
        <v>553</v>
      </c>
      <c r="C16" s="40">
        <v>10000</v>
      </c>
      <c r="D16" s="1">
        <f t="shared" si="0"/>
        <v>6000</v>
      </c>
      <c r="E16" s="47" t="s">
        <v>922</v>
      </c>
      <c r="F16" s="3" t="s">
        <v>923</v>
      </c>
      <c r="G16" s="4"/>
      <c r="H16" s="3" t="s">
        <v>920</v>
      </c>
      <c r="I16" s="3" t="s">
        <v>921</v>
      </c>
      <c r="J16" s="44"/>
      <c r="K16" s="44"/>
      <c r="L16" s="3"/>
      <c r="M16" s="3"/>
      <c r="N16" s="3"/>
    </row>
    <row r="17" spans="1:14">
      <c r="A17" s="3" t="s">
        <v>554</v>
      </c>
      <c r="B17" s="33" t="s">
        <v>555</v>
      </c>
      <c r="C17" s="40">
        <v>10000</v>
      </c>
      <c r="D17" s="1">
        <f t="shared" si="0"/>
        <v>6000</v>
      </c>
      <c r="E17" s="4"/>
      <c r="F17" s="3" t="s">
        <v>923</v>
      </c>
      <c r="G17" s="4"/>
      <c r="H17" s="3" t="s">
        <v>920</v>
      </c>
      <c r="I17" s="3" t="s">
        <v>921</v>
      </c>
      <c r="J17" s="44"/>
      <c r="K17" s="44"/>
      <c r="L17" s="3"/>
      <c r="M17" s="3"/>
      <c r="N17" s="3"/>
    </row>
    <row r="18" spans="1:14">
      <c r="A18" s="3" t="s">
        <v>556</v>
      </c>
      <c r="B18" s="33" t="s">
        <v>557</v>
      </c>
      <c r="C18" s="40">
        <v>10000</v>
      </c>
      <c r="D18" s="1">
        <f t="shared" si="0"/>
        <v>6000</v>
      </c>
      <c r="E18" s="4"/>
      <c r="F18" s="3" t="s">
        <v>923</v>
      </c>
      <c r="G18" s="4"/>
      <c r="H18" s="3" t="s">
        <v>920</v>
      </c>
      <c r="I18" s="3" t="s">
        <v>921</v>
      </c>
      <c r="J18" s="44"/>
      <c r="K18" s="44"/>
      <c r="L18" s="3"/>
      <c r="M18" s="3"/>
      <c r="N18" s="3"/>
    </row>
    <row r="19" spans="1:14">
      <c r="A19" s="3" t="s">
        <v>558</v>
      </c>
      <c r="B19" s="33" t="s">
        <v>559</v>
      </c>
      <c r="C19" s="40">
        <v>10000</v>
      </c>
      <c r="D19" s="1">
        <f t="shared" si="0"/>
        <v>6000</v>
      </c>
      <c r="E19" s="4"/>
      <c r="F19" s="3" t="s">
        <v>923</v>
      </c>
      <c r="G19" s="4"/>
      <c r="H19" s="3" t="s">
        <v>920</v>
      </c>
      <c r="I19" s="3" t="s">
        <v>921</v>
      </c>
      <c r="J19" s="44"/>
      <c r="K19" s="44"/>
      <c r="L19" s="3"/>
      <c r="M19" s="3"/>
      <c r="N19" s="3"/>
    </row>
    <row r="20" spans="1:14">
      <c r="A20" s="3" t="s">
        <v>560</v>
      </c>
      <c r="B20" s="33" t="s">
        <v>561</v>
      </c>
      <c r="C20" s="40">
        <v>10000</v>
      </c>
      <c r="D20" s="1">
        <f t="shared" si="0"/>
        <v>6000</v>
      </c>
      <c r="E20" s="4"/>
      <c r="F20" s="4"/>
      <c r="G20" s="4"/>
      <c r="H20" s="3" t="s">
        <v>920</v>
      </c>
      <c r="I20" s="3" t="s">
        <v>921</v>
      </c>
      <c r="J20" s="44"/>
      <c r="K20" s="44"/>
      <c r="L20" s="3"/>
      <c r="M20" s="3"/>
      <c r="N20" s="3"/>
    </row>
    <row r="21" spans="1:14">
      <c r="A21" s="3" t="s">
        <v>562</v>
      </c>
      <c r="B21" s="33" t="s">
        <v>563</v>
      </c>
      <c r="C21" s="40">
        <v>10000</v>
      </c>
      <c r="D21" s="1">
        <f t="shared" si="0"/>
        <v>6000</v>
      </c>
      <c r="E21" s="47" t="s">
        <v>922</v>
      </c>
      <c r="F21" s="4"/>
      <c r="G21" s="4"/>
      <c r="H21" s="3" t="s">
        <v>920</v>
      </c>
      <c r="I21" s="3" t="s">
        <v>921</v>
      </c>
      <c r="J21" s="44"/>
      <c r="K21" s="44"/>
      <c r="L21" s="3"/>
      <c r="M21" s="3"/>
      <c r="N21" s="3" t="s">
        <v>948</v>
      </c>
    </row>
    <row r="22" spans="1:14">
      <c r="A22" s="3" t="s">
        <v>564</v>
      </c>
      <c r="B22" s="33" t="s">
        <v>565</v>
      </c>
      <c r="C22" s="40">
        <v>10000</v>
      </c>
      <c r="D22" s="1">
        <f t="shared" si="0"/>
        <v>6000</v>
      </c>
      <c r="E22" s="4"/>
      <c r="F22" s="4"/>
      <c r="G22" s="4"/>
      <c r="H22" s="3" t="s">
        <v>920</v>
      </c>
      <c r="I22" s="3" t="s">
        <v>921</v>
      </c>
      <c r="J22" s="44"/>
      <c r="K22" s="44"/>
      <c r="L22" s="3"/>
      <c r="M22" s="3"/>
      <c r="N22" s="3"/>
    </row>
    <row r="23" spans="1:14">
      <c r="A23" s="3" t="s">
        <v>566</v>
      </c>
      <c r="B23" s="33" t="s">
        <v>567</v>
      </c>
      <c r="C23" s="40">
        <v>10000</v>
      </c>
      <c r="D23" s="1">
        <f t="shared" si="0"/>
        <v>6000</v>
      </c>
      <c r="E23" s="4"/>
      <c r="F23" s="3" t="s">
        <v>923</v>
      </c>
      <c r="G23" s="4"/>
      <c r="H23" s="3" t="s">
        <v>920</v>
      </c>
      <c r="I23" s="3" t="s">
        <v>921</v>
      </c>
      <c r="J23" s="44"/>
      <c r="K23" s="44"/>
      <c r="L23" s="3"/>
      <c r="M23" s="3"/>
      <c r="N23" s="3"/>
    </row>
    <row r="24" spans="1:14">
      <c r="A24" s="3" t="s">
        <v>568</v>
      </c>
      <c r="B24" s="33" t="s">
        <v>924</v>
      </c>
      <c r="C24" s="40">
        <v>10000</v>
      </c>
      <c r="D24" s="1">
        <f t="shared" si="0"/>
        <v>6000</v>
      </c>
      <c r="E24" s="4"/>
      <c r="F24" s="3" t="s">
        <v>923</v>
      </c>
      <c r="G24" s="4"/>
      <c r="H24" s="3" t="s">
        <v>920</v>
      </c>
      <c r="I24" s="3" t="s">
        <v>921</v>
      </c>
      <c r="J24" s="44"/>
      <c r="K24" s="44"/>
      <c r="L24" s="3"/>
      <c r="M24" s="3"/>
      <c r="N24" s="3"/>
    </row>
    <row r="25" spans="1:14">
      <c r="A25" s="3" t="s">
        <v>569</v>
      </c>
      <c r="B25" s="33" t="s">
        <v>570</v>
      </c>
      <c r="C25" s="40">
        <v>10000</v>
      </c>
      <c r="D25" s="1">
        <f t="shared" si="0"/>
        <v>6000</v>
      </c>
      <c r="E25" s="4"/>
      <c r="F25" s="4"/>
      <c r="G25" s="4"/>
      <c r="H25" s="3" t="s">
        <v>920</v>
      </c>
      <c r="I25" s="3" t="s">
        <v>921</v>
      </c>
      <c r="J25" s="44"/>
      <c r="K25" s="44"/>
      <c r="L25" s="3"/>
      <c r="M25" s="3"/>
      <c r="N25" s="3"/>
    </row>
    <row r="26" spans="1:14">
      <c r="A26" s="3" t="s">
        <v>571</v>
      </c>
      <c r="B26" s="33" t="s">
        <v>572</v>
      </c>
      <c r="C26" s="40">
        <v>10000</v>
      </c>
      <c r="D26" s="1">
        <f t="shared" si="0"/>
        <v>6000</v>
      </c>
      <c r="E26" s="4"/>
      <c r="F26" s="4"/>
      <c r="G26" s="4"/>
      <c r="H26" s="3" t="s">
        <v>920</v>
      </c>
      <c r="I26" s="3" t="s">
        <v>921</v>
      </c>
      <c r="J26" s="44"/>
      <c r="K26" s="44"/>
      <c r="L26" s="3"/>
      <c r="M26" s="3"/>
      <c r="N26" s="3"/>
    </row>
    <row r="27" spans="1:14">
      <c r="A27" s="3" t="s">
        <v>573</v>
      </c>
      <c r="B27" s="33" t="s">
        <v>574</v>
      </c>
      <c r="C27" s="40">
        <v>10000</v>
      </c>
      <c r="D27" s="1">
        <f t="shared" si="0"/>
        <v>6000</v>
      </c>
      <c r="E27" s="4"/>
      <c r="F27" s="4"/>
      <c r="G27" s="4"/>
      <c r="H27" s="3" t="s">
        <v>920</v>
      </c>
      <c r="I27" s="3" t="s">
        <v>921</v>
      </c>
      <c r="J27" s="44"/>
      <c r="K27" s="44"/>
      <c r="L27" s="3"/>
      <c r="M27" s="3"/>
      <c r="N27" s="3"/>
    </row>
    <row r="28" spans="1:14">
      <c r="A28" s="3" t="s">
        <v>575</v>
      </c>
      <c r="B28" s="33" t="s">
        <v>576</v>
      </c>
      <c r="C28" s="40">
        <v>10000</v>
      </c>
      <c r="D28" s="1">
        <f t="shared" si="0"/>
        <v>6000</v>
      </c>
      <c r="E28" s="4"/>
      <c r="F28" s="4"/>
      <c r="G28" s="4"/>
      <c r="H28" s="3" t="s">
        <v>920</v>
      </c>
      <c r="I28" s="3" t="s">
        <v>921</v>
      </c>
      <c r="J28" s="44"/>
      <c r="K28" s="44"/>
      <c r="L28" s="3"/>
      <c r="M28" s="3"/>
      <c r="N28" s="3"/>
    </row>
    <row r="29" spans="1:14">
      <c r="A29" s="3" t="s">
        <v>577</v>
      </c>
      <c r="B29" s="33" t="s">
        <v>578</v>
      </c>
      <c r="C29" s="40">
        <v>10000</v>
      </c>
      <c r="D29" s="1">
        <f t="shared" si="0"/>
        <v>6000</v>
      </c>
      <c r="E29" s="4"/>
      <c r="F29" s="4"/>
      <c r="G29" s="4"/>
      <c r="H29" s="3" t="s">
        <v>920</v>
      </c>
      <c r="I29" s="3" t="s">
        <v>921</v>
      </c>
      <c r="J29" s="44"/>
      <c r="K29" s="44"/>
      <c r="L29" s="3"/>
      <c r="M29" s="3"/>
      <c r="N29" s="3"/>
    </row>
    <row r="30" spans="1:14">
      <c r="A30" s="3" t="s">
        <v>579</v>
      </c>
      <c r="B30" s="33" t="s">
        <v>925</v>
      </c>
      <c r="C30" s="40">
        <v>10000</v>
      </c>
      <c r="D30" s="1">
        <f t="shared" si="0"/>
        <v>6000</v>
      </c>
      <c r="E30" s="4"/>
      <c r="F30" s="3" t="s">
        <v>923</v>
      </c>
      <c r="G30" s="4"/>
      <c r="H30" s="3" t="s">
        <v>920</v>
      </c>
      <c r="I30" s="3" t="s">
        <v>921</v>
      </c>
      <c r="J30" s="44"/>
      <c r="K30" s="44"/>
      <c r="L30" s="3"/>
      <c r="M30" s="3"/>
      <c r="N30" s="3"/>
    </row>
    <row r="31" spans="1:14">
      <c r="A31" s="3" t="s">
        <v>580</v>
      </c>
      <c r="B31" s="33" t="s">
        <v>581</v>
      </c>
      <c r="C31" s="40">
        <v>10000</v>
      </c>
      <c r="D31" s="1">
        <f t="shared" si="0"/>
        <v>6000</v>
      </c>
      <c r="E31" s="4"/>
      <c r="F31" s="3" t="s">
        <v>923</v>
      </c>
      <c r="G31" s="4"/>
      <c r="H31" s="3" t="s">
        <v>920</v>
      </c>
      <c r="I31" s="3" t="s">
        <v>921</v>
      </c>
      <c r="J31" s="44"/>
      <c r="K31" s="44"/>
      <c r="L31" s="3"/>
      <c r="M31" s="3"/>
      <c r="N31" s="3"/>
    </row>
    <row r="32" spans="1:14">
      <c r="A32" s="3" t="s">
        <v>582</v>
      </c>
      <c r="B32" s="33" t="s">
        <v>926</v>
      </c>
      <c r="C32" s="40">
        <v>10000</v>
      </c>
      <c r="D32" s="1">
        <f t="shared" si="0"/>
        <v>6000</v>
      </c>
      <c r="E32" s="4"/>
      <c r="F32" s="4"/>
      <c r="G32" s="4"/>
      <c r="H32" s="3" t="s">
        <v>920</v>
      </c>
      <c r="I32" s="3" t="s">
        <v>921</v>
      </c>
      <c r="J32" s="44"/>
      <c r="K32" s="44"/>
      <c r="L32" s="3"/>
      <c r="M32" s="3"/>
      <c r="N32" s="3"/>
    </row>
    <row r="33" spans="1:14">
      <c r="A33" s="3" t="s">
        <v>583</v>
      </c>
      <c r="B33" s="33" t="s">
        <v>584</v>
      </c>
      <c r="C33" s="40">
        <v>10000</v>
      </c>
      <c r="D33" s="1">
        <f t="shared" si="0"/>
        <v>6000</v>
      </c>
      <c r="E33" s="4"/>
      <c r="F33" s="4"/>
      <c r="G33" s="4"/>
      <c r="H33" s="3" t="s">
        <v>920</v>
      </c>
      <c r="I33" s="3" t="s">
        <v>921</v>
      </c>
      <c r="J33" s="44"/>
      <c r="K33" s="44"/>
      <c r="L33" s="3"/>
      <c r="M33" s="3"/>
      <c r="N33" s="3"/>
    </row>
    <row r="34" spans="1:14">
      <c r="A34" s="3" t="s">
        <v>585</v>
      </c>
      <c r="B34" s="33" t="s">
        <v>586</v>
      </c>
      <c r="C34" s="40">
        <v>10000</v>
      </c>
      <c r="D34" s="1">
        <f t="shared" si="0"/>
        <v>6000</v>
      </c>
      <c r="E34" s="4"/>
      <c r="F34" s="4"/>
      <c r="G34" s="4"/>
      <c r="H34" s="3" t="s">
        <v>920</v>
      </c>
      <c r="I34" s="3" t="s">
        <v>921</v>
      </c>
      <c r="J34" s="44"/>
      <c r="K34" s="44"/>
      <c r="L34" s="3"/>
      <c r="M34" s="3"/>
      <c r="N34" s="3"/>
    </row>
    <row r="35" spans="1:14">
      <c r="A35" s="3" t="s">
        <v>587</v>
      </c>
      <c r="B35" s="33" t="s">
        <v>588</v>
      </c>
      <c r="C35" s="40">
        <v>10000</v>
      </c>
      <c r="D35" s="1">
        <f t="shared" si="0"/>
        <v>6000</v>
      </c>
      <c r="E35" s="4"/>
      <c r="F35" s="3" t="s">
        <v>923</v>
      </c>
      <c r="G35" s="4"/>
      <c r="H35" s="4"/>
      <c r="I35" s="4"/>
      <c r="J35" s="4"/>
      <c r="K35" s="4"/>
      <c r="L35" s="3"/>
      <c r="M35" s="3"/>
      <c r="N35" s="3"/>
    </row>
    <row r="36" spans="1:14">
      <c r="A36" s="3" t="s">
        <v>589</v>
      </c>
      <c r="B36" s="33" t="s">
        <v>590</v>
      </c>
      <c r="C36" s="40">
        <v>10000</v>
      </c>
      <c r="D36" s="1">
        <f t="shared" si="0"/>
        <v>6000</v>
      </c>
      <c r="E36" s="4"/>
      <c r="F36" s="3" t="s">
        <v>923</v>
      </c>
      <c r="G36" s="4"/>
      <c r="H36" s="4"/>
      <c r="I36" s="4"/>
      <c r="J36" s="4"/>
      <c r="K36" s="4"/>
      <c r="L36" s="3"/>
      <c r="M36" s="3"/>
      <c r="N36" s="3"/>
    </row>
    <row r="37" spans="1:14">
      <c r="A37" s="3" t="s">
        <v>591</v>
      </c>
      <c r="B37" s="33" t="s">
        <v>592</v>
      </c>
      <c r="C37" s="40">
        <v>10000</v>
      </c>
      <c r="D37" s="1">
        <f t="shared" si="0"/>
        <v>6000</v>
      </c>
      <c r="E37" s="47" t="s">
        <v>917</v>
      </c>
      <c r="F37" s="44"/>
      <c r="G37" s="4"/>
      <c r="H37" s="3" t="s">
        <v>920</v>
      </c>
      <c r="I37" s="3" t="s">
        <v>921</v>
      </c>
      <c r="J37" s="44"/>
      <c r="K37" s="44"/>
      <c r="L37" s="3"/>
      <c r="M37" s="3"/>
      <c r="N37" s="3" t="s">
        <v>948</v>
      </c>
    </row>
    <row r="38" spans="1:14">
      <c r="A38" s="3" t="s">
        <v>593</v>
      </c>
      <c r="B38" s="33" t="s">
        <v>594</v>
      </c>
      <c r="C38" s="40">
        <v>10000</v>
      </c>
      <c r="D38" s="1">
        <f t="shared" si="0"/>
        <v>6000</v>
      </c>
      <c r="E38" s="47" t="s">
        <v>917</v>
      </c>
      <c r="F38" s="3" t="s">
        <v>918</v>
      </c>
      <c r="G38" s="48" t="s">
        <v>919</v>
      </c>
      <c r="H38" s="3" t="s">
        <v>920</v>
      </c>
      <c r="I38" s="3" t="s">
        <v>921</v>
      </c>
      <c r="J38" s="44"/>
      <c r="K38" s="44"/>
      <c r="L38" s="3"/>
      <c r="M38" s="3" t="s">
        <v>949</v>
      </c>
      <c r="N38" s="3" t="s">
        <v>948</v>
      </c>
    </row>
    <row r="39" spans="1:14">
      <c r="A39" s="3" t="s">
        <v>595</v>
      </c>
      <c r="B39" s="33" t="s">
        <v>596</v>
      </c>
      <c r="C39" s="40">
        <v>10000</v>
      </c>
      <c r="D39" s="1">
        <f t="shared" si="0"/>
        <v>6000</v>
      </c>
      <c r="E39" s="47" t="s">
        <v>917</v>
      </c>
      <c r="F39" s="3" t="s">
        <v>918</v>
      </c>
      <c r="G39" s="48" t="s">
        <v>919</v>
      </c>
      <c r="H39" s="3" t="s">
        <v>920</v>
      </c>
      <c r="I39" s="3" t="s">
        <v>921</v>
      </c>
      <c r="J39" s="44"/>
      <c r="K39" s="44"/>
      <c r="L39" s="3"/>
      <c r="M39" s="3" t="s">
        <v>949</v>
      </c>
      <c r="N39" s="3" t="s">
        <v>948</v>
      </c>
    </row>
    <row r="40" spans="1:14">
      <c r="A40" s="3" t="s">
        <v>597</v>
      </c>
      <c r="B40" s="33" t="s">
        <v>598</v>
      </c>
      <c r="C40" s="40">
        <v>10000</v>
      </c>
      <c r="D40" s="1">
        <f t="shared" si="0"/>
        <v>6000</v>
      </c>
      <c r="E40" s="47" t="s">
        <v>917</v>
      </c>
      <c r="F40" s="3" t="s">
        <v>918</v>
      </c>
      <c r="G40" s="4"/>
      <c r="H40" s="3" t="s">
        <v>920</v>
      </c>
      <c r="I40" s="4"/>
      <c r="J40" s="4"/>
      <c r="K40" s="4"/>
      <c r="L40" s="3"/>
      <c r="M40" s="3"/>
      <c r="N40" s="3" t="s">
        <v>948</v>
      </c>
    </row>
    <row r="41" spans="1:14">
      <c r="A41" s="3" t="s">
        <v>599</v>
      </c>
      <c r="B41" s="33" t="s">
        <v>600</v>
      </c>
      <c r="C41" s="40">
        <v>10000</v>
      </c>
      <c r="D41" s="1">
        <f t="shared" si="0"/>
        <v>6000</v>
      </c>
      <c r="E41" s="47" t="s">
        <v>917</v>
      </c>
      <c r="F41" s="3" t="s">
        <v>918</v>
      </c>
      <c r="G41" s="4"/>
      <c r="H41" s="3" t="s">
        <v>920</v>
      </c>
      <c r="I41" s="4"/>
      <c r="J41" s="4"/>
      <c r="K41" s="4"/>
      <c r="L41" s="3"/>
      <c r="M41" s="3"/>
      <c r="N41" s="3" t="s">
        <v>948</v>
      </c>
    </row>
    <row r="42" spans="1:14">
      <c r="A42" s="3" t="s">
        <v>601</v>
      </c>
      <c r="B42" s="33" t="s">
        <v>602</v>
      </c>
      <c r="C42" s="40">
        <v>10000</v>
      </c>
      <c r="D42" s="1">
        <f t="shared" si="0"/>
        <v>6000</v>
      </c>
      <c r="E42" s="47" t="s">
        <v>917</v>
      </c>
      <c r="F42" s="3" t="s">
        <v>918</v>
      </c>
      <c r="G42" s="48" t="s">
        <v>919</v>
      </c>
      <c r="H42" s="3" t="s">
        <v>920</v>
      </c>
      <c r="I42" s="4"/>
      <c r="J42" s="4"/>
      <c r="K42" s="4"/>
      <c r="L42" s="3"/>
      <c r="M42" s="3" t="s">
        <v>949</v>
      </c>
      <c r="N42" s="3" t="s">
        <v>948</v>
      </c>
    </row>
    <row r="43" spans="1:14">
      <c r="A43" s="87" t="s">
        <v>908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8"/>
      <c r="M43" s="3"/>
      <c r="N43" s="3"/>
    </row>
    <row r="44" spans="1:14">
      <c r="A44" s="3" t="s">
        <v>603</v>
      </c>
      <c r="B44" s="33" t="s">
        <v>947</v>
      </c>
      <c r="C44" s="40">
        <v>11000</v>
      </c>
      <c r="D44" s="1">
        <f t="shared" si="0"/>
        <v>6600</v>
      </c>
      <c r="E44" s="47" t="s">
        <v>917</v>
      </c>
      <c r="F44" s="3" t="s">
        <v>918</v>
      </c>
      <c r="G44" s="48" t="s">
        <v>919</v>
      </c>
      <c r="H44" s="3" t="s">
        <v>920</v>
      </c>
      <c r="I44" s="3" t="s">
        <v>921</v>
      </c>
      <c r="J44" s="44"/>
      <c r="K44" s="44"/>
      <c r="L44" s="3"/>
      <c r="M44" s="3" t="s">
        <v>949</v>
      </c>
      <c r="N44" s="3" t="s">
        <v>948</v>
      </c>
    </row>
    <row r="45" spans="1:14">
      <c r="A45" s="3" t="s">
        <v>604</v>
      </c>
      <c r="B45" s="33" t="s">
        <v>605</v>
      </c>
      <c r="C45" s="40">
        <v>11000</v>
      </c>
      <c r="D45" s="1">
        <f t="shared" si="0"/>
        <v>6600</v>
      </c>
      <c r="E45" s="47" t="s">
        <v>917</v>
      </c>
      <c r="F45" s="3" t="s">
        <v>918</v>
      </c>
      <c r="G45" s="48" t="s">
        <v>919</v>
      </c>
      <c r="H45" s="3" t="s">
        <v>920</v>
      </c>
      <c r="I45" s="3" t="s">
        <v>921</v>
      </c>
      <c r="J45" s="44"/>
      <c r="K45" s="44"/>
      <c r="L45" s="3"/>
      <c r="M45" s="3" t="s">
        <v>949</v>
      </c>
      <c r="N45" s="3" t="s">
        <v>948</v>
      </c>
    </row>
    <row r="46" spans="1:14">
      <c r="A46" s="3" t="s">
        <v>606</v>
      </c>
      <c r="B46" s="33" t="s">
        <v>607</v>
      </c>
      <c r="C46" s="40">
        <v>11000</v>
      </c>
      <c r="D46" s="1">
        <f t="shared" si="0"/>
        <v>6600</v>
      </c>
      <c r="E46" s="47" t="s">
        <v>917</v>
      </c>
      <c r="F46" s="3" t="s">
        <v>918</v>
      </c>
      <c r="G46" s="48" t="s">
        <v>919</v>
      </c>
      <c r="H46" s="3" t="s">
        <v>920</v>
      </c>
      <c r="I46" s="3" t="s">
        <v>921</v>
      </c>
      <c r="J46" s="44"/>
      <c r="K46" s="44"/>
      <c r="L46" s="3"/>
      <c r="M46" s="3" t="s">
        <v>949</v>
      </c>
      <c r="N46" s="3" t="s">
        <v>948</v>
      </c>
    </row>
    <row r="47" spans="1:14">
      <c r="A47" s="3" t="s">
        <v>608</v>
      </c>
      <c r="B47" s="33" t="s">
        <v>609</v>
      </c>
      <c r="C47" s="40">
        <v>11000</v>
      </c>
      <c r="D47" s="1">
        <f t="shared" si="0"/>
        <v>6600</v>
      </c>
      <c r="E47" s="47" t="s">
        <v>917</v>
      </c>
      <c r="F47" s="3" t="s">
        <v>918</v>
      </c>
      <c r="G47" s="48" t="s">
        <v>919</v>
      </c>
      <c r="H47" s="3" t="s">
        <v>920</v>
      </c>
      <c r="I47" s="3" t="s">
        <v>921</v>
      </c>
      <c r="J47" s="44"/>
      <c r="K47" s="44"/>
      <c r="L47" s="3"/>
      <c r="M47" s="3" t="s">
        <v>949</v>
      </c>
      <c r="N47" s="3" t="s">
        <v>948</v>
      </c>
    </row>
    <row r="48" spans="1:14">
      <c r="A48" s="3" t="s">
        <v>610</v>
      </c>
      <c r="B48" s="33" t="s">
        <v>927</v>
      </c>
      <c r="C48" s="40">
        <v>11000</v>
      </c>
      <c r="D48" s="1">
        <f t="shared" si="0"/>
        <v>6600</v>
      </c>
      <c r="E48" s="4"/>
      <c r="F48" s="4"/>
      <c r="G48" s="4"/>
      <c r="H48" s="4"/>
      <c r="I48" s="3" t="s">
        <v>921</v>
      </c>
      <c r="J48" s="44"/>
      <c r="K48" s="44"/>
      <c r="L48" s="3"/>
      <c r="M48" s="3"/>
      <c r="N48" s="3"/>
    </row>
    <row r="49" spans="1:14">
      <c r="A49" s="3" t="s">
        <v>611</v>
      </c>
      <c r="B49" s="33" t="s">
        <v>612</v>
      </c>
      <c r="C49" s="40">
        <v>11000</v>
      </c>
      <c r="D49" s="1">
        <f t="shared" si="0"/>
        <v>6600</v>
      </c>
      <c r="E49" s="4"/>
      <c r="F49" s="3" t="s">
        <v>918</v>
      </c>
      <c r="G49" s="44"/>
      <c r="H49" s="3" t="s">
        <v>920</v>
      </c>
      <c r="I49" s="3" t="s">
        <v>921</v>
      </c>
      <c r="J49" s="44"/>
      <c r="K49" s="44"/>
      <c r="L49" s="3"/>
      <c r="M49" s="3"/>
      <c r="N49" s="3"/>
    </row>
    <row r="50" spans="1:14">
      <c r="A50" s="3" t="s">
        <v>613</v>
      </c>
      <c r="B50" s="33" t="s">
        <v>614</v>
      </c>
      <c r="C50" s="40">
        <v>11000</v>
      </c>
      <c r="D50" s="1">
        <f t="shared" si="0"/>
        <v>6600</v>
      </c>
      <c r="E50" s="4"/>
      <c r="F50" s="3" t="s">
        <v>918</v>
      </c>
      <c r="G50" s="44"/>
      <c r="H50" s="3" t="s">
        <v>920</v>
      </c>
      <c r="I50" s="3" t="s">
        <v>921</v>
      </c>
      <c r="J50" s="44"/>
      <c r="K50" s="44"/>
      <c r="L50" s="3"/>
      <c r="M50" s="3"/>
      <c r="N50" s="3"/>
    </row>
    <row r="51" spans="1:14">
      <c r="A51" s="3" t="s">
        <v>615</v>
      </c>
      <c r="B51" s="33" t="s">
        <v>616</v>
      </c>
      <c r="C51" s="40">
        <v>11000</v>
      </c>
      <c r="D51" s="1">
        <f t="shared" si="0"/>
        <v>6600</v>
      </c>
      <c r="E51" s="47" t="s">
        <v>917</v>
      </c>
      <c r="F51" s="3" t="s">
        <v>918</v>
      </c>
      <c r="G51" s="44"/>
      <c r="H51" s="3" t="s">
        <v>920</v>
      </c>
      <c r="I51" s="3" t="s">
        <v>921</v>
      </c>
      <c r="J51" s="44"/>
      <c r="K51" s="44"/>
      <c r="L51" s="3"/>
      <c r="M51" s="3"/>
      <c r="N51" s="3" t="s">
        <v>948</v>
      </c>
    </row>
    <row r="52" spans="1:14">
      <c r="A52" s="3" t="s">
        <v>617</v>
      </c>
      <c r="B52" s="33" t="s">
        <v>618</v>
      </c>
      <c r="C52" s="40">
        <v>11000</v>
      </c>
      <c r="D52" s="1">
        <f t="shared" si="0"/>
        <v>6600</v>
      </c>
      <c r="E52" s="47" t="s">
        <v>917</v>
      </c>
      <c r="F52" s="3" t="s">
        <v>918</v>
      </c>
      <c r="G52" s="44"/>
      <c r="H52" s="3" t="s">
        <v>920</v>
      </c>
      <c r="I52" s="3" t="s">
        <v>921</v>
      </c>
      <c r="J52" s="44"/>
      <c r="K52" s="44"/>
      <c r="L52" s="3"/>
      <c r="M52" s="3"/>
      <c r="N52" s="3" t="s">
        <v>948</v>
      </c>
    </row>
    <row r="53" spans="1:14">
      <c r="A53" s="3" t="s">
        <v>619</v>
      </c>
      <c r="B53" s="33" t="s">
        <v>620</v>
      </c>
      <c r="C53" s="40">
        <v>11000</v>
      </c>
      <c r="D53" s="1">
        <f t="shared" si="0"/>
        <v>6600</v>
      </c>
      <c r="E53" s="4"/>
      <c r="F53" s="4"/>
      <c r="G53" s="4"/>
      <c r="H53" s="3" t="s">
        <v>920</v>
      </c>
      <c r="I53" s="3" t="s">
        <v>921</v>
      </c>
      <c r="J53" s="44"/>
      <c r="K53" s="44"/>
      <c r="L53" s="3"/>
      <c r="M53" s="3"/>
      <c r="N53" s="3"/>
    </row>
    <row r="54" spans="1:14">
      <c r="A54" s="3" t="s">
        <v>621</v>
      </c>
      <c r="B54" s="33" t="s">
        <v>622</v>
      </c>
      <c r="C54" s="40">
        <v>11000</v>
      </c>
      <c r="D54" s="1">
        <f t="shared" si="0"/>
        <v>6600</v>
      </c>
      <c r="E54" s="4"/>
      <c r="F54" s="4"/>
      <c r="G54" s="4"/>
      <c r="H54" s="3" t="s">
        <v>920</v>
      </c>
      <c r="I54" s="3" t="s">
        <v>921</v>
      </c>
      <c r="J54" s="44"/>
      <c r="K54" s="44"/>
      <c r="L54" s="3"/>
      <c r="M54" s="3"/>
      <c r="N54" s="3"/>
    </row>
    <row r="55" spans="1:14">
      <c r="A55" s="3" t="s">
        <v>623</v>
      </c>
      <c r="B55" s="33" t="s">
        <v>624</v>
      </c>
      <c r="C55" s="40">
        <v>11000</v>
      </c>
      <c r="D55" s="1">
        <f t="shared" si="0"/>
        <v>6600</v>
      </c>
      <c r="E55" s="4"/>
      <c r="F55" s="4"/>
      <c r="G55" s="4"/>
      <c r="H55" s="3" t="s">
        <v>920</v>
      </c>
      <c r="I55" s="3" t="s">
        <v>921</v>
      </c>
      <c r="J55" s="44"/>
      <c r="K55" s="44"/>
      <c r="L55" s="3"/>
      <c r="M55" s="3"/>
      <c r="N55" s="3"/>
    </row>
    <row r="56" spans="1:14">
      <c r="A56" s="3" t="s">
        <v>625</v>
      </c>
      <c r="B56" s="33" t="s">
        <v>626</v>
      </c>
      <c r="C56" s="40">
        <v>11000</v>
      </c>
      <c r="D56" s="1">
        <f t="shared" si="0"/>
        <v>6600</v>
      </c>
      <c r="E56" s="47" t="s">
        <v>917</v>
      </c>
      <c r="F56" s="3" t="s">
        <v>918</v>
      </c>
      <c r="G56" s="44"/>
      <c r="H56" s="3" t="s">
        <v>920</v>
      </c>
      <c r="I56" s="3" t="s">
        <v>921</v>
      </c>
      <c r="J56" s="44"/>
      <c r="K56" s="44"/>
      <c r="L56" s="3"/>
      <c r="M56" s="3"/>
      <c r="N56" s="3" t="s">
        <v>948</v>
      </c>
    </row>
    <row r="57" spans="1:14">
      <c r="A57" s="3" t="s">
        <v>627</v>
      </c>
      <c r="B57" s="33" t="s">
        <v>628</v>
      </c>
      <c r="C57" s="40">
        <v>11000</v>
      </c>
      <c r="D57" s="1">
        <f t="shared" si="0"/>
        <v>6600</v>
      </c>
      <c r="E57" s="4"/>
      <c r="F57" s="3" t="s">
        <v>918</v>
      </c>
      <c r="G57" s="44"/>
      <c r="H57" s="3" t="s">
        <v>920</v>
      </c>
      <c r="I57" s="3" t="s">
        <v>921</v>
      </c>
      <c r="J57" s="44"/>
      <c r="K57" s="44"/>
      <c r="L57" s="3"/>
      <c r="M57" s="3"/>
      <c r="N57" s="3"/>
    </row>
    <row r="58" spans="1:14">
      <c r="A58" s="3" t="s">
        <v>629</v>
      </c>
      <c r="B58" s="33" t="s">
        <v>630</v>
      </c>
      <c r="C58" s="40">
        <v>11000</v>
      </c>
      <c r="D58" s="1">
        <f t="shared" si="0"/>
        <v>6600</v>
      </c>
      <c r="E58" s="4"/>
      <c r="F58" s="3" t="s">
        <v>918</v>
      </c>
      <c r="G58" s="44"/>
      <c r="H58" s="3" t="s">
        <v>920</v>
      </c>
      <c r="I58" s="3" t="s">
        <v>921</v>
      </c>
      <c r="J58" s="44"/>
      <c r="K58" s="44"/>
      <c r="L58" s="3"/>
      <c r="M58" s="3"/>
      <c r="N58" s="3"/>
    </row>
    <row r="59" spans="1:14">
      <c r="A59" s="3" t="s">
        <v>631</v>
      </c>
      <c r="B59" s="33" t="s">
        <v>632</v>
      </c>
      <c r="C59" s="40">
        <v>11000</v>
      </c>
      <c r="D59" s="1">
        <f t="shared" si="0"/>
        <v>6600</v>
      </c>
      <c r="E59" s="47" t="s">
        <v>917</v>
      </c>
      <c r="F59" s="3" t="s">
        <v>918</v>
      </c>
      <c r="G59" s="48" t="s">
        <v>919</v>
      </c>
      <c r="H59" s="3" t="s">
        <v>920</v>
      </c>
      <c r="I59" s="3" t="s">
        <v>921</v>
      </c>
      <c r="J59" s="44"/>
      <c r="K59" s="44"/>
      <c r="L59" s="3"/>
      <c r="M59" s="3" t="s">
        <v>949</v>
      </c>
      <c r="N59" s="3" t="s">
        <v>948</v>
      </c>
    </row>
    <row r="60" spans="1:14">
      <c r="A60" s="3" t="s">
        <v>633</v>
      </c>
      <c r="B60" s="33" t="s">
        <v>634</v>
      </c>
      <c r="C60" s="40">
        <v>11000</v>
      </c>
      <c r="D60" s="1">
        <f t="shared" si="0"/>
        <v>6600</v>
      </c>
      <c r="E60" s="47" t="s">
        <v>917</v>
      </c>
      <c r="F60" s="3" t="s">
        <v>918</v>
      </c>
      <c r="G60" s="48" t="s">
        <v>919</v>
      </c>
      <c r="H60" s="3" t="s">
        <v>920</v>
      </c>
      <c r="I60" s="3" t="s">
        <v>921</v>
      </c>
      <c r="J60" s="44"/>
      <c r="K60" s="44"/>
      <c r="L60" s="3"/>
      <c r="M60" s="3" t="s">
        <v>949</v>
      </c>
      <c r="N60" s="3" t="s">
        <v>948</v>
      </c>
    </row>
    <row r="61" spans="1:14">
      <c r="A61" s="3" t="s">
        <v>635</v>
      </c>
      <c r="B61" s="33" t="s">
        <v>636</v>
      </c>
      <c r="C61" s="40">
        <v>11000</v>
      </c>
      <c r="D61" s="1">
        <f t="shared" si="0"/>
        <v>6600</v>
      </c>
      <c r="E61" s="4"/>
      <c r="F61" s="3" t="s">
        <v>918</v>
      </c>
      <c r="G61" s="44"/>
      <c r="H61" s="3" t="s">
        <v>920</v>
      </c>
      <c r="I61" s="3" t="s">
        <v>921</v>
      </c>
      <c r="J61" s="44"/>
      <c r="K61" s="44"/>
      <c r="L61" s="3"/>
      <c r="M61" s="3"/>
      <c r="N61" s="3"/>
    </row>
    <row r="62" spans="1:14">
      <c r="A62" s="3" t="s">
        <v>637</v>
      </c>
      <c r="B62" s="33" t="s">
        <v>638</v>
      </c>
      <c r="C62" s="40">
        <v>11000</v>
      </c>
      <c r="D62" s="1">
        <f t="shared" si="0"/>
        <v>6600</v>
      </c>
      <c r="E62" s="4"/>
      <c r="F62" s="3" t="s">
        <v>918</v>
      </c>
      <c r="G62" s="44"/>
      <c r="H62" s="3" t="s">
        <v>920</v>
      </c>
      <c r="I62" s="3" t="s">
        <v>921</v>
      </c>
      <c r="J62" s="44"/>
      <c r="K62" s="44"/>
      <c r="L62" s="3"/>
      <c r="M62" s="3"/>
      <c r="N62" s="3"/>
    </row>
    <row r="63" spans="1:14">
      <c r="A63" s="3" t="s">
        <v>639</v>
      </c>
      <c r="B63" s="33" t="s">
        <v>640</v>
      </c>
      <c r="C63" s="40">
        <v>11000</v>
      </c>
      <c r="D63" s="1">
        <f t="shared" si="0"/>
        <v>6600</v>
      </c>
      <c r="E63" s="4"/>
      <c r="F63" s="3" t="s">
        <v>918</v>
      </c>
      <c r="G63" s="44"/>
      <c r="H63" s="3" t="s">
        <v>920</v>
      </c>
      <c r="I63" s="3" t="s">
        <v>921</v>
      </c>
      <c r="J63" s="44"/>
      <c r="K63" s="44"/>
      <c r="L63" s="3"/>
      <c r="M63" s="3"/>
      <c r="N63" s="3"/>
    </row>
    <row r="64" spans="1:14">
      <c r="A64" s="3" t="s">
        <v>641</v>
      </c>
      <c r="B64" s="33" t="s">
        <v>642</v>
      </c>
      <c r="C64" s="40">
        <v>11000</v>
      </c>
      <c r="D64" s="1">
        <f t="shared" si="0"/>
        <v>6600</v>
      </c>
      <c r="E64" s="4"/>
      <c r="F64" s="45"/>
      <c r="G64" s="44"/>
      <c r="H64" s="3" t="s">
        <v>920</v>
      </c>
      <c r="I64" s="3" t="s">
        <v>921</v>
      </c>
      <c r="J64" s="44"/>
      <c r="K64" s="44"/>
      <c r="L64" s="3"/>
      <c r="M64" s="3"/>
      <c r="N64" s="3"/>
    </row>
    <row r="65" spans="1:20">
      <c r="A65" s="3" t="s">
        <v>643</v>
      </c>
      <c r="B65" s="33" t="s">
        <v>644</v>
      </c>
      <c r="C65" s="40">
        <v>11000</v>
      </c>
      <c r="D65" s="1">
        <f t="shared" si="0"/>
        <v>6600</v>
      </c>
      <c r="E65" s="4"/>
      <c r="F65" s="3" t="s">
        <v>918</v>
      </c>
      <c r="G65" s="44"/>
      <c r="H65" s="3" t="s">
        <v>920</v>
      </c>
      <c r="I65" s="3" t="s">
        <v>921</v>
      </c>
      <c r="J65" s="44"/>
      <c r="K65" s="44"/>
      <c r="L65" s="3"/>
      <c r="M65" s="3"/>
      <c r="N65" s="3"/>
    </row>
    <row r="66" spans="1:20">
      <c r="A66" s="3" t="s">
        <v>645</v>
      </c>
      <c r="B66" s="33" t="s">
        <v>646</v>
      </c>
      <c r="C66" s="40">
        <v>11000</v>
      </c>
      <c r="D66" s="1">
        <f t="shared" si="0"/>
        <v>6600</v>
      </c>
      <c r="E66" s="4"/>
      <c r="F66" s="3" t="s">
        <v>918</v>
      </c>
      <c r="G66" s="44"/>
      <c r="H66" s="3" t="s">
        <v>920</v>
      </c>
      <c r="I66" s="3" t="s">
        <v>921</v>
      </c>
      <c r="J66" s="44"/>
      <c r="K66" s="44"/>
      <c r="L66" s="3"/>
      <c r="M66" s="3"/>
      <c r="N66" s="3"/>
    </row>
    <row r="67" spans="1:20">
      <c r="A67" s="87" t="s">
        <v>909</v>
      </c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8"/>
      <c r="M67" s="3"/>
      <c r="N67" s="3"/>
    </row>
    <row r="68" spans="1:20">
      <c r="A68" s="3" t="s">
        <v>647</v>
      </c>
      <c r="B68" s="33" t="s">
        <v>648</v>
      </c>
      <c r="C68" s="40">
        <v>8000</v>
      </c>
      <c r="D68" s="1">
        <f t="shared" si="0"/>
        <v>4800</v>
      </c>
      <c r="E68" s="4"/>
      <c r="F68" s="4"/>
      <c r="G68" s="4"/>
      <c r="H68" s="1" t="s">
        <v>920</v>
      </c>
      <c r="I68" s="1" t="s">
        <v>921</v>
      </c>
      <c r="J68" s="1" t="s">
        <v>928</v>
      </c>
      <c r="K68" s="4"/>
      <c r="L68" s="3"/>
      <c r="M68" s="3"/>
      <c r="N68" s="3"/>
      <c r="P68" s="42" t="s">
        <v>930</v>
      </c>
      <c r="T68" t="s">
        <v>945</v>
      </c>
    </row>
    <row r="69" spans="1:20">
      <c r="A69" s="3" t="s">
        <v>649</v>
      </c>
      <c r="B69" s="33" t="s">
        <v>650</v>
      </c>
      <c r="C69" s="40">
        <v>8000</v>
      </c>
      <c r="D69" s="1">
        <f t="shared" si="0"/>
        <v>4800</v>
      </c>
      <c r="E69" s="4"/>
      <c r="F69" s="4"/>
      <c r="G69" s="4"/>
      <c r="H69" s="1" t="s">
        <v>920</v>
      </c>
      <c r="I69" s="1" t="s">
        <v>921</v>
      </c>
      <c r="J69" s="4"/>
      <c r="K69" s="4"/>
      <c r="L69" s="3"/>
      <c r="M69" s="3"/>
      <c r="N69" s="3"/>
      <c r="P69" t="s">
        <v>931</v>
      </c>
      <c r="T69" t="s">
        <v>945</v>
      </c>
    </row>
    <row r="70" spans="1:20">
      <c r="A70" s="3" t="s">
        <v>651</v>
      </c>
      <c r="B70" s="33" t="s">
        <v>652</v>
      </c>
      <c r="C70" s="40">
        <v>8000</v>
      </c>
      <c r="D70" s="1">
        <f t="shared" si="0"/>
        <v>4800</v>
      </c>
      <c r="E70" s="4"/>
      <c r="F70" s="4"/>
      <c r="G70" s="4"/>
      <c r="H70" s="1" t="s">
        <v>920</v>
      </c>
      <c r="I70" s="1" t="s">
        <v>921</v>
      </c>
      <c r="J70" s="1" t="s">
        <v>928</v>
      </c>
      <c r="K70" s="4"/>
      <c r="L70" s="3"/>
      <c r="M70" s="3"/>
      <c r="N70" s="3"/>
      <c r="P70" t="s">
        <v>932</v>
      </c>
      <c r="T70" t="s">
        <v>945</v>
      </c>
    </row>
    <row r="71" spans="1:20">
      <c r="A71" s="3" t="s">
        <v>653</v>
      </c>
      <c r="B71" s="33" t="s">
        <v>654</v>
      </c>
      <c r="C71" s="40">
        <v>8000</v>
      </c>
      <c r="D71" s="1">
        <f t="shared" ref="D71:D137" si="1">C71*0.6</f>
        <v>4800</v>
      </c>
      <c r="E71" s="4"/>
      <c r="F71" s="4"/>
      <c r="G71" s="4"/>
      <c r="H71" s="1" t="s">
        <v>920</v>
      </c>
      <c r="I71" s="1" t="s">
        <v>921</v>
      </c>
      <c r="J71" s="1" t="s">
        <v>928</v>
      </c>
      <c r="K71" s="4"/>
      <c r="L71" s="3"/>
      <c r="M71" s="3"/>
      <c r="N71" s="3"/>
      <c r="P71" s="43" t="s">
        <v>938</v>
      </c>
      <c r="T71" t="s">
        <v>945</v>
      </c>
    </row>
    <row r="72" spans="1:20">
      <c r="A72" s="3" t="s">
        <v>655</v>
      </c>
      <c r="B72" s="33" t="s">
        <v>656</v>
      </c>
      <c r="C72" s="40">
        <v>8000</v>
      </c>
      <c r="D72" s="1">
        <f t="shared" si="1"/>
        <v>4800</v>
      </c>
      <c r="E72" s="4"/>
      <c r="F72" s="4"/>
      <c r="G72" s="4"/>
      <c r="H72" s="1" t="s">
        <v>920</v>
      </c>
      <c r="I72" s="1" t="s">
        <v>921</v>
      </c>
      <c r="J72" s="4"/>
      <c r="K72" s="4"/>
      <c r="L72" s="3"/>
      <c r="M72" s="3"/>
      <c r="N72" s="3"/>
      <c r="P72" t="s">
        <v>939</v>
      </c>
      <c r="T72" t="s">
        <v>945</v>
      </c>
    </row>
    <row r="73" spans="1:20">
      <c r="A73" s="3" t="s">
        <v>657</v>
      </c>
      <c r="B73" s="33" t="s">
        <v>658</v>
      </c>
      <c r="C73" s="40">
        <v>8000</v>
      </c>
      <c r="D73" s="1">
        <f t="shared" si="1"/>
        <v>4800</v>
      </c>
      <c r="E73" s="4"/>
      <c r="F73" s="4"/>
      <c r="G73" s="4"/>
      <c r="H73" s="1" t="s">
        <v>920</v>
      </c>
      <c r="I73" s="1" t="s">
        <v>921</v>
      </c>
      <c r="J73" s="4"/>
      <c r="K73" s="4"/>
      <c r="L73" s="3"/>
      <c r="M73" s="3"/>
      <c r="N73" s="3"/>
    </row>
    <row r="74" spans="1:20">
      <c r="A74" s="3" t="s">
        <v>659</v>
      </c>
      <c r="B74" s="33" t="s">
        <v>660</v>
      </c>
      <c r="C74" s="40">
        <v>8000</v>
      </c>
      <c r="D74" s="1">
        <f t="shared" si="1"/>
        <v>4800</v>
      </c>
      <c r="E74" s="4"/>
      <c r="F74" s="4"/>
      <c r="G74" s="4"/>
      <c r="H74" s="1" t="s">
        <v>920</v>
      </c>
      <c r="I74" s="1" t="s">
        <v>921</v>
      </c>
      <c r="J74" s="4"/>
      <c r="K74" s="4"/>
      <c r="L74" s="3"/>
      <c r="M74" s="3"/>
      <c r="N74" s="3"/>
    </row>
    <row r="75" spans="1:20">
      <c r="A75" s="3" t="s">
        <v>661</v>
      </c>
      <c r="B75" s="33" t="s">
        <v>662</v>
      </c>
      <c r="C75" s="40">
        <v>8000</v>
      </c>
      <c r="D75" s="1">
        <f t="shared" si="1"/>
        <v>4800</v>
      </c>
      <c r="E75" s="4"/>
      <c r="F75" s="4"/>
      <c r="G75" s="4"/>
      <c r="H75" s="1" t="s">
        <v>920</v>
      </c>
      <c r="I75" s="1" t="s">
        <v>921</v>
      </c>
      <c r="J75" s="4"/>
      <c r="K75" s="4"/>
      <c r="L75" s="3"/>
      <c r="M75" s="3"/>
      <c r="N75" s="3"/>
    </row>
    <row r="76" spans="1:20">
      <c r="A76" s="3" t="s">
        <v>663</v>
      </c>
      <c r="B76" s="33" t="s">
        <v>664</v>
      </c>
      <c r="C76" s="40">
        <v>8000</v>
      </c>
      <c r="D76" s="1">
        <f t="shared" si="1"/>
        <v>4800</v>
      </c>
      <c r="E76" s="4"/>
      <c r="F76" s="4"/>
      <c r="G76" s="4"/>
      <c r="H76" s="1" t="s">
        <v>920</v>
      </c>
      <c r="I76" s="1" t="s">
        <v>921</v>
      </c>
      <c r="J76" s="1" t="s">
        <v>928</v>
      </c>
      <c r="K76" s="4"/>
      <c r="L76" s="3"/>
      <c r="M76" s="3"/>
      <c r="N76" s="3"/>
    </row>
    <row r="77" spans="1:20">
      <c r="A77" s="3" t="s">
        <v>665</v>
      </c>
      <c r="B77" s="33" t="s">
        <v>666</v>
      </c>
      <c r="C77" s="40">
        <v>8000</v>
      </c>
      <c r="D77" s="1">
        <f t="shared" si="1"/>
        <v>4800</v>
      </c>
      <c r="E77" s="4"/>
      <c r="F77" s="4"/>
      <c r="G77" s="4"/>
      <c r="H77" s="1" t="s">
        <v>920</v>
      </c>
      <c r="I77" s="1" t="s">
        <v>921</v>
      </c>
      <c r="J77" s="4"/>
      <c r="K77" s="4"/>
      <c r="L77" s="3"/>
      <c r="M77" s="3"/>
      <c r="N77" s="3"/>
    </row>
    <row r="78" spans="1:20">
      <c r="A78" s="3" t="s">
        <v>667</v>
      </c>
      <c r="B78" s="33" t="s">
        <v>668</v>
      </c>
      <c r="C78" s="40">
        <v>8000</v>
      </c>
      <c r="D78" s="1">
        <f t="shared" si="1"/>
        <v>4800</v>
      </c>
      <c r="E78" s="4"/>
      <c r="F78" s="4"/>
      <c r="G78" s="4"/>
      <c r="H78" s="1" t="s">
        <v>920</v>
      </c>
      <c r="I78" s="1" t="s">
        <v>921</v>
      </c>
      <c r="J78" s="4"/>
      <c r="K78" s="4"/>
      <c r="L78" s="3"/>
      <c r="M78" s="3"/>
      <c r="N78" s="3"/>
    </row>
    <row r="79" spans="1:20">
      <c r="A79" s="3" t="s">
        <v>669</v>
      </c>
      <c r="B79" s="33" t="s">
        <v>670</v>
      </c>
      <c r="C79" s="40">
        <v>8000</v>
      </c>
      <c r="D79" s="1">
        <f t="shared" si="1"/>
        <v>4800</v>
      </c>
      <c r="E79" s="4"/>
      <c r="F79" s="4"/>
      <c r="G79" s="4"/>
      <c r="H79" s="1" t="s">
        <v>920</v>
      </c>
      <c r="I79" s="1" t="s">
        <v>921</v>
      </c>
      <c r="J79" s="4"/>
      <c r="K79" s="4"/>
      <c r="L79" s="3"/>
      <c r="M79" s="3"/>
      <c r="N79" s="3"/>
    </row>
    <row r="80" spans="1:20">
      <c r="A80" s="3" t="s">
        <v>671</v>
      </c>
      <c r="B80" s="33" t="s">
        <v>672</v>
      </c>
      <c r="C80" s="40">
        <v>8000</v>
      </c>
      <c r="D80" s="1">
        <f t="shared" si="1"/>
        <v>4800</v>
      </c>
      <c r="E80" s="4"/>
      <c r="F80" s="4"/>
      <c r="G80" s="4"/>
      <c r="H80" s="1" t="s">
        <v>920</v>
      </c>
      <c r="I80" s="1" t="s">
        <v>921</v>
      </c>
      <c r="J80" s="4"/>
      <c r="K80" s="4"/>
      <c r="L80" s="3"/>
      <c r="M80" s="3"/>
      <c r="N80" s="3"/>
    </row>
    <row r="81" spans="1:14">
      <c r="A81" s="3" t="s">
        <v>673</v>
      </c>
      <c r="B81" s="33" t="s">
        <v>674</v>
      </c>
      <c r="C81" s="40">
        <v>8000</v>
      </c>
      <c r="D81" s="1">
        <f t="shared" si="1"/>
        <v>4800</v>
      </c>
      <c r="E81" s="4"/>
      <c r="F81" s="4"/>
      <c r="G81" s="4"/>
      <c r="H81" s="1" t="s">
        <v>920</v>
      </c>
      <c r="I81" s="1" t="s">
        <v>921</v>
      </c>
      <c r="J81" s="4"/>
      <c r="K81" s="4"/>
      <c r="L81" s="3"/>
      <c r="M81" s="3"/>
      <c r="N81" s="3"/>
    </row>
    <row r="82" spans="1:14">
      <c r="A82" s="3" t="s">
        <v>675</v>
      </c>
      <c r="B82" s="33" t="s">
        <v>676</v>
      </c>
      <c r="C82" s="40">
        <v>8000</v>
      </c>
      <c r="D82" s="1">
        <f t="shared" si="1"/>
        <v>4800</v>
      </c>
      <c r="E82" s="4"/>
      <c r="F82" s="4"/>
      <c r="G82" s="4"/>
      <c r="H82" s="1" t="s">
        <v>920</v>
      </c>
      <c r="I82" s="1" t="s">
        <v>921</v>
      </c>
      <c r="J82" s="4"/>
      <c r="K82" s="4"/>
      <c r="L82" s="3"/>
      <c r="M82" s="3"/>
      <c r="N82" s="3"/>
    </row>
    <row r="83" spans="1:14">
      <c r="A83" s="3" t="s">
        <v>677</v>
      </c>
      <c r="B83" s="33" t="s">
        <v>678</v>
      </c>
      <c r="C83" s="40">
        <v>8000</v>
      </c>
      <c r="D83" s="1">
        <f t="shared" si="1"/>
        <v>4800</v>
      </c>
      <c r="E83" s="4"/>
      <c r="F83" s="4"/>
      <c r="G83" s="4"/>
      <c r="H83" s="1" t="s">
        <v>920</v>
      </c>
      <c r="I83" s="1" t="s">
        <v>921</v>
      </c>
      <c r="J83" s="4"/>
      <c r="K83" s="4"/>
      <c r="L83" s="3"/>
      <c r="M83" s="3"/>
      <c r="N83" s="3"/>
    </row>
    <row r="84" spans="1:14">
      <c r="A84" s="3" t="s">
        <v>679</v>
      </c>
      <c r="B84" s="33" t="s">
        <v>680</v>
      </c>
      <c r="C84" s="40">
        <v>8000</v>
      </c>
      <c r="D84" s="1">
        <f t="shared" si="1"/>
        <v>4800</v>
      </c>
      <c r="E84" s="4"/>
      <c r="F84" s="4"/>
      <c r="G84" s="4"/>
      <c r="H84" s="1" t="s">
        <v>920</v>
      </c>
      <c r="I84" s="1" t="s">
        <v>921</v>
      </c>
      <c r="J84" s="4"/>
      <c r="K84" s="4"/>
      <c r="L84" s="3"/>
      <c r="M84" s="3"/>
      <c r="N84" s="3"/>
    </row>
    <row r="85" spans="1:14">
      <c r="A85" s="3" t="s">
        <v>681</v>
      </c>
      <c r="B85" s="33" t="s">
        <v>682</v>
      </c>
      <c r="C85" s="40">
        <v>8000</v>
      </c>
      <c r="D85" s="1">
        <f t="shared" si="1"/>
        <v>4800</v>
      </c>
      <c r="E85" s="4"/>
      <c r="F85" s="4"/>
      <c r="G85" s="4"/>
      <c r="H85" s="1" t="s">
        <v>920</v>
      </c>
      <c r="I85" s="1" t="s">
        <v>921</v>
      </c>
      <c r="J85" s="4"/>
      <c r="K85" s="4"/>
      <c r="L85" s="3"/>
      <c r="M85" s="3"/>
      <c r="N85" s="3"/>
    </row>
    <row r="86" spans="1:14">
      <c r="A86" s="3" t="s">
        <v>683</v>
      </c>
      <c r="B86" s="33" t="s">
        <v>684</v>
      </c>
      <c r="C86" s="40">
        <v>8000</v>
      </c>
      <c r="D86" s="1">
        <f t="shared" si="1"/>
        <v>4800</v>
      </c>
      <c r="E86" s="4"/>
      <c r="F86" s="4"/>
      <c r="G86" s="4"/>
      <c r="H86" s="1" t="s">
        <v>920</v>
      </c>
      <c r="I86" s="1" t="s">
        <v>921</v>
      </c>
      <c r="J86" s="4"/>
      <c r="K86" s="4"/>
      <c r="L86" s="3"/>
      <c r="M86" s="3"/>
      <c r="N86" s="3"/>
    </row>
    <row r="87" spans="1:14">
      <c r="A87" s="3" t="s">
        <v>685</v>
      </c>
      <c r="B87" s="33" t="s">
        <v>686</v>
      </c>
      <c r="C87" s="40">
        <v>8000</v>
      </c>
      <c r="D87" s="1">
        <f t="shared" si="1"/>
        <v>4800</v>
      </c>
      <c r="E87" s="4"/>
      <c r="F87" s="4"/>
      <c r="G87" s="4"/>
      <c r="H87" s="1" t="s">
        <v>920</v>
      </c>
      <c r="I87" s="1" t="s">
        <v>921</v>
      </c>
      <c r="J87" s="4"/>
      <c r="K87" s="4"/>
      <c r="L87" s="3"/>
      <c r="M87" s="3"/>
      <c r="N87" s="3"/>
    </row>
    <row r="88" spans="1:14">
      <c r="A88" s="3" t="s">
        <v>687</v>
      </c>
      <c r="B88" s="33" t="s">
        <v>688</v>
      </c>
      <c r="C88" s="40">
        <v>8000</v>
      </c>
      <c r="D88" s="1">
        <f t="shared" si="1"/>
        <v>4800</v>
      </c>
      <c r="E88" s="4"/>
      <c r="F88" s="4"/>
      <c r="G88" s="4"/>
      <c r="H88" s="1" t="s">
        <v>920</v>
      </c>
      <c r="I88" s="1" t="s">
        <v>921</v>
      </c>
      <c r="J88" s="4"/>
      <c r="K88" s="4"/>
      <c r="L88" s="3"/>
      <c r="M88" s="3"/>
      <c r="N88" s="3"/>
    </row>
    <row r="89" spans="1:14">
      <c r="A89" s="3" t="s">
        <v>689</v>
      </c>
      <c r="B89" s="33" t="s">
        <v>690</v>
      </c>
      <c r="C89" s="40">
        <v>8000</v>
      </c>
      <c r="D89" s="1">
        <f t="shared" si="1"/>
        <v>4800</v>
      </c>
      <c r="E89" s="4"/>
      <c r="F89" s="4"/>
      <c r="G89" s="4"/>
      <c r="H89" s="1" t="s">
        <v>920</v>
      </c>
      <c r="I89" s="1" t="s">
        <v>921</v>
      </c>
      <c r="J89" s="4"/>
      <c r="K89" s="4"/>
      <c r="L89" s="3"/>
      <c r="M89" s="3"/>
      <c r="N89" s="3"/>
    </row>
    <row r="90" spans="1:14">
      <c r="A90" s="3" t="s">
        <v>691</v>
      </c>
      <c r="B90" s="33" t="s">
        <v>692</v>
      </c>
      <c r="C90" s="40">
        <v>8000</v>
      </c>
      <c r="D90" s="1">
        <f t="shared" si="1"/>
        <v>4800</v>
      </c>
      <c r="E90" s="4"/>
      <c r="F90" s="4"/>
      <c r="G90" s="4"/>
      <c r="H90" s="1" t="s">
        <v>920</v>
      </c>
      <c r="I90" s="1" t="s">
        <v>921</v>
      </c>
      <c r="J90" s="4"/>
      <c r="K90" s="4"/>
      <c r="L90" s="3"/>
      <c r="M90" s="3"/>
      <c r="N90" s="3"/>
    </row>
    <row r="91" spans="1:14">
      <c r="A91" s="3" t="s">
        <v>693</v>
      </c>
      <c r="B91" s="33" t="s">
        <v>694</v>
      </c>
      <c r="C91" s="40">
        <v>8000</v>
      </c>
      <c r="D91" s="1">
        <f t="shared" si="1"/>
        <v>4800</v>
      </c>
      <c r="E91" s="4"/>
      <c r="F91" s="4"/>
      <c r="G91" s="4"/>
      <c r="H91" s="1" t="s">
        <v>920</v>
      </c>
      <c r="I91" s="1" t="s">
        <v>921</v>
      </c>
      <c r="J91" s="4"/>
      <c r="K91" s="4"/>
      <c r="L91" s="3"/>
      <c r="M91" s="3"/>
      <c r="N91" s="3"/>
    </row>
    <row r="92" spans="1:14">
      <c r="A92" s="3" t="s">
        <v>695</v>
      </c>
      <c r="B92" s="33" t="s">
        <v>696</v>
      </c>
      <c r="C92" s="40">
        <v>8000</v>
      </c>
      <c r="D92" s="1">
        <f t="shared" si="1"/>
        <v>4800</v>
      </c>
      <c r="E92" s="4"/>
      <c r="F92" s="4"/>
      <c r="G92" s="4"/>
      <c r="H92" s="1" t="s">
        <v>920</v>
      </c>
      <c r="I92" s="1" t="s">
        <v>921</v>
      </c>
      <c r="J92" s="4"/>
      <c r="K92" s="4"/>
      <c r="L92" s="3"/>
      <c r="M92" s="3"/>
      <c r="N92" s="3"/>
    </row>
    <row r="93" spans="1:14">
      <c r="A93" s="3" t="s">
        <v>697</v>
      </c>
      <c r="B93" s="33" t="s">
        <v>698</v>
      </c>
      <c r="C93" s="40">
        <v>8000</v>
      </c>
      <c r="D93" s="1">
        <f t="shared" si="1"/>
        <v>4800</v>
      </c>
      <c r="E93" s="4"/>
      <c r="F93" s="4"/>
      <c r="G93" s="4"/>
      <c r="H93" s="1" t="s">
        <v>920</v>
      </c>
      <c r="I93" s="1" t="s">
        <v>921</v>
      </c>
      <c r="J93" s="1" t="s">
        <v>928</v>
      </c>
      <c r="K93" s="4"/>
      <c r="L93" s="3"/>
      <c r="M93" s="3"/>
      <c r="N93" s="3"/>
    </row>
    <row r="94" spans="1:14">
      <c r="A94" s="3" t="s">
        <v>699</v>
      </c>
      <c r="B94" s="33" t="s">
        <v>700</v>
      </c>
      <c r="C94" s="40">
        <v>8000</v>
      </c>
      <c r="D94" s="1">
        <f t="shared" si="1"/>
        <v>4800</v>
      </c>
      <c r="E94" s="4"/>
      <c r="F94" s="4"/>
      <c r="G94" s="4"/>
      <c r="H94" s="1" t="s">
        <v>920</v>
      </c>
      <c r="I94" s="1" t="s">
        <v>921</v>
      </c>
      <c r="J94" s="4"/>
      <c r="K94" s="4"/>
      <c r="L94" s="3"/>
      <c r="M94" s="3"/>
      <c r="N94" s="3"/>
    </row>
    <row r="95" spans="1:14">
      <c r="A95" s="3" t="s">
        <v>701</v>
      </c>
      <c r="B95" s="33" t="s">
        <v>702</v>
      </c>
      <c r="C95" s="40">
        <v>8000</v>
      </c>
      <c r="D95" s="1">
        <f t="shared" si="1"/>
        <v>4800</v>
      </c>
      <c r="E95" s="4"/>
      <c r="F95" s="4"/>
      <c r="G95" s="4"/>
      <c r="H95" s="1" t="s">
        <v>920</v>
      </c>
      <c r="I95" s="1" t="s">
        <v>921</v>
      </c>
      <c r="J95" s="4"/>
      <c r="K95" s="4"/>
      <c r="L95" s="3"/>
      <c r="M95" s="3"/>
      <c r="N95" s="3"/>
    </row>
    <row r="96" spans="1:14">
      <c r="A96" s="3" t="s">
        <v>703</v>
      </c>
      <c r="B96" s="33" t="s">
        <v>704</v>
      </c>
      <c r="C96" s="40">
        <v>8000</v>
      </c>
      <c r="D96" s="1">
        <f t="shared" si="1"/>
        <v>4800</v>
      </c>
      <c r="E96" s="4"/>
      <c r="F96" s="4"/>
      <c r="G96" s="4"/>
      <c r="H96" s="1" t="s">
        <v>920</v>
      </c>
      <c r="I96" s="1" t="s">
        <v>921</v>
      </c>
      <c r="J96" s="4"/>
      <c r="K96" s="4"/>
      <c r="L96" s="3"/>
      <c r="M96" s="3"/>
      <c r="N96" s="3"/>
    </row>
    <row r="97" spans="1:17">
      <c r="A97" s="3" t="s">
        <v>705</v>
      </c>
      <c r="B97" s="33" t="s">
        <v>706</v>
      </c>
      <c r="C97" s="40">
        <v>8000</v>
      </c>
      <c r="D97" s="1">
        <f t="shared" si="1"/>
        <v>4800</v>
      </c>
      <c r="E97" s="4"/>
      <c r="F97" s="4"/>
      <c r="G97" s="4"/>
      <c r="H97" s="1" t="s">
        <v>920</v>
      </c>
      <c r="I97" s="1" t="s">
        <v>921</v>
      </c>
      <c r="J97" s="4"/>
      <c r="K97" s="4"/>
      <c r="L97" s="3"/>
      <c r="M97" s="3"/>
      <c r="N97" s="3"/>
    </row>
    <row r="98" spans="1:17">
      <c r="A98" s="3" t="s">
        <v>707</v>
      </c>
      <c r="B98" s="33" t="s">
        <v>708</v>
      </c>
      <c r="C98" s="40">
        <v>8000</v>
      </c>
      <c r="D98" s="1">
        <f t="shared" si="1"/>
        <v>4800</v>
      </c>
      <c r="E98" s="4"/>
      <c r="F98" s="4"/>
      <c r="G98" s="4"/>
      <c r="H98" s="1" t="s">
        <v>920</v>
      </c>
      <c r="I98" s="1" t="s">
        <v>921</v>
      </c>
      <c r="J98" s="4"/>
      <c r="K98" s="4"/>
      <c r="L98" s="3"/>
      <c r="M98" s="3"/>
      <c r="N98" s="3"/>
    </row>
    <row r="99" spans="1:17">
      <c r="A99" s="3" t="s">
        <v>709</v>
      </c>
      <c r="B99" s="33" t="s">
        <v>710</v>
      </c>
      <c r="C99" s="40">
        <v>8000</v>
      </c>
      <c r="D99" s="1">
        <f t="shared" si="1"/>
        <v>4800</v>
      </c>
      <c r="E99" s="4"/>
      <c r="F99" s="4"/>
      <c r="G99" s="4"/>
      <c r="H99" s="1" t="s">
        <v>920</v>
      </c>
      <c r="I99" s="1" t="s">
        <v>921</v>
      </c>
      <c r="J99" s="4"/>
      <c r="K99" s="4"/>
      <c r="L99" s="3"/>
      <c r="M99" s="3"/>
      <c r="N99" s="3"/>
    </row>
    <row r="100" spans="1:17">
      <c r="A100" s="3" t="s">
        <v>711</v>
      </c>
      <c r="B100" s="33" t="s">
        <v>712</v>
      </c>
      <c r="C100" s="40">
        <v>8000</v>
      </c>
      <c r="D100" s="1">
        <f t="shared" si="1"/>
        <v>4800</v>
      </c>
      <c r="E100" s="4"/>
      <c r="F100" s="4"/>
      <c r="G100" s="4"/>
      <c r="H100" s="1" t="s">
        <v>920</v>
      </c>
      <c r="I100" s="1" t="s">
        <v>921</v>
      </c>
      <c r="J100" s="4"/>
      <c r="K100" s="4"/>
      <c r="L100" s="3"/>
      <c r="M100" s="3"/>
      <c r="N100" s="3"/>
    </row>
    <row r="101" spans="1:17">
      <c r="A101" s="3" t="s">
        <v>713</v>
      </c>
      <c r="B101" s="33" t="s">
        <v>714</v>
      </c>
      <c r="C101" s="40">
        <v>8000</v>
      </c>
      <c r="D101" s="1">
        <f t="shared" si="1"/>
        <v>4800</v>
      </c>
      <c r="E101" s="4"/>
      <c r="F101" s="4"/>
      <c r="G101" s="4"/>
      <c r="H101" s="1" t="s">
        <v>920</v>
      </c>
      <c r="I101" s="1" t="s">
        <v>921</v>
      </c>
      <c r="J101" s="1" t="s">
        <v>928</v>
      </c>
      <c r="K101" s="4"/>
      <c r="L101" s="3"/>
      <c r="M101" s="3"/>
      <c r="N101" s="3"/>
    </row>
    <row r="102" spans="1:17">
      <c r="A102" s="3" t="s">
        <v>715</v>
      </c>
      <c r="B102" s="33" t="s">
        <v>716</v>
      </c>
      <c r="C102" s="40">
        <v>8000</v>
      </c>
      <c r="D102" s="1">
        <f t="shared" si="1"/>
        <v>4800</v>
      </c>
      <c r="E102" s="4"/>
      <c r="F102" s="4"/>
      <c r="G102" s="4"/>
      <c r="H102" s="1" t="s">
        <v>920</v>
      </c>
      <c r="I102" s="1" t="s">
        <v>921</v>
      </c>
      <c r="J102" s="4"/>
      <c r="K102" s="4"/>
      <c r="L102" s="3"/>
      <c r="M102" s="3"/>
      <c r="N102" s="3"/>
    </row>
    <row r="103" spans="1:17">
      <c r="A103" s="87" t="s">
        <v>933</v>
      </c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8"/>
      <c r="M103" s="3"/>
      <c r="N103" s="3"/>
    </row>
    <row r="104" spans="1:17">
      <c r="A104" s="3" t="s">
        <v>717</v>
      </c>
      <c r="B104" s="33" t="s">
        <v>718</v>
      </c>
      <c r="C104" s="40">
        <v>11000</v>
      </c>
      <c r="D104" s="1">
        <f t="shared" si="1"/>
        <v>6600</v>
      </c>
      <c r="E104" s="4"/>
      <c r="F104" s="4"/>
      <c r="G104" s="48" t="s">
        <v>919</v>
      </c>
      <c r="H104" s="3" t="s">
        <v>920</v>
      </c>
      <c r="I104" s="3" t="s">
        <v>921</v>
      </c>
      <c r="J104" s="4"/>
      <c r="K104" s="4"/>
      <c r="L104" s="3"/>
      <c r="M104" s="3" t="s">
        <v>949</v>
      </c>
      <c r="N104" s="3"/>
    </row>
    <row r="105" spans="1:17">
      <c r="A105" s="3" t="s">
        <v>719</v>
      </c>
      <c r="B105" s="33" t="s">
        <v>720</v>
      </c>
      <c r="C105" s="40">
        <v>11000</v>
      </c>
      <c r="D105" s="1">
        <f t="shared" si="1"/>
        <v>6600</v>
      </c>
      <c r="E105" s="4"/>
      <c r="F105" s="4"/>
      <c r="G105" s="4"/>
      <c r="H105" s="3" t="s">
        <v>920</v>
      </c>
      <c r="I105" s="3" t="s">
        <v>921</v>
      </c>
      <c r="J105" s="4"/>
      <c r="K105" s="4"/>
      <c r="L105" s="3"/>
      <c r="M105" s="3"/>
      <c r="N105" s="3"/>
    </row>
    <row r="106" spans="1:17">
      <c r="A106" s="3" t="s">
        <v>721</v>
      </c>
      <c r="B106" s="33" t="s">
        <v>722</v>
      </c>
      <c r="C106" s="40">
        <v>11000</v>
      </c>
      <c r="D106" s="1">
        <f t="shared" si="1"/>
        <v>6600</v>
      </c>
      <c r="E106" s="4"/>
      <c r="F106" s="4"/>
      <c r="G106" s="4"/>
      <c r="H106" s="3" t="s">
        <v>920</v>
      </c>
      <c r="I106" s="3" t="s">
        <v>921</v>
      </c>
      <c r="J106" s="4"/>
      <c r="K106" s="4"/>
      <c r="L106" s="3"/>
      <c r="M106" s="3"/>
      <c r="N106" s="3"/>
    </row>
    <row r="107" spans="1:17">
      <c r="A107" s="3" t="s">
        <v>723</v>
      </c>
      <c r="B107" s="33" t="s">
        <v>724</v>
      </c>
      <c r="C107" s="40">
        <v>11000</v>
      </c>
      <c r="D107" s="1">
        <f t="shared" si="1"/>
        <v>6600</v>
      </c>
      <c r="E107" s="4"/>
      <c r="F107" s="4"/>
      <c r="G107" s="4"/>
      <c r="H107" s="3" t="s">
        <v>920</v>
      </c>
      <c r="I107" s="3" t="s">
        <v>921</v>
      </c>
      <c r="J107" s="4"/>
      <c r="K107" s="4"/>
      <c r="L107" s="3"/>
      <c r="M107" s="3"/>
      <c r="N107" s="3"/>
    </row>
    <row r="108" spans="1:17">
      <c r="A108" s="3" t="s">
        <v>725</v>
      </c>
      <c r="B108" s="33" t="s">
        <v>726</v>
      </c>
      <c r="C108" s="40">
        <v>11000</v>
      </c>
      <c r="D108" s="1">
        <f t="shared" si="1"/>
        <v>6600</v>
      </c>
      <c r="E108" s="4"/>
      <c r="F108" s="4"/>
      <c r="G108" s="48" t="s">
        <v>919</v>
      </c>
      <c r="H108" s="3" t="s">
        <v>920</v>
      </c>
      <c r="I108" s="3" t="s">
        <v>921</v>
      </c>
      <c r="J108" s="4"/>
      <c r="K108" s="4"/>
      <c r="L108" s="3"/>
      <c r="M108" s="3" t="s">
        <v>949</v>
      </c>
      <c r="N108" s="3"/>
    </row>
    <row r="109" spans="1:17">
      <c r="A109" s="3" t="s">
        <v>727</v>
      </c>
      <c r="B109" s="33" t="s">
        <v>728</v>
      </c>
      <c r="C109" s="40">
        <v>11000</v>
      </c>
      <c r="D109" s="1">
        <f t="shared" si="1"/>
        <v>6600</v>
      </c>
      <c r="E109" s="4"/>
      <c r="F109" s="4"/>
      <c r="G109" s="48" t="s">
        <v>919</v>
      </c>
      <c r="H109" s="3" t="s">
        <v>920</v>
      </c>
      <c r="I109" s="3" t="s">
        <v>921</v>
      </c>
      <c r="J109" s="4"/>
      <c r="K109" s="4"/>
      <c r="L109" s="3"/>
      <c r="M109" s="3" t="s">
        <v>949</v>
      </c>
      <c r="N109" s="3"/>
    </row>
    <row r="110" spans="1:17">
      <c r="A110" s="3" t="s">
        <v>729</v>
      </c>
      <c r="B110" s="33" t="s">
        <v>730</v>
      </c>
      <c r="C110" s="40">
        <v>11000</v>
      </c>
      <c r="D110" s="1">
        <f t="shared" si="1"/>
        <v>6600</v>
      </c>
      <c r="E110" s="4"/>
      <c r="F110" s="4"/>
      <c r="G110" s="4"/>
      <c r="H110" s="3" t="s">
        <v>920</v>
      </c>
      <c r="I110" s="3" t="s">
        <v>921</v>
      </c>
      <c r="J110" s="4"/>
      <c r="K110" s="4"/>
      <c r="L110" s="3"/>
      <c r="M110" s="3"/>
      <c r="N110" s="3"/>
    </row>
    <row r="111" spans="1:17">
      <c r="A111" s="3" t="s">
        <v>731</v>
      </c>
      <c r="B111" s="33" t="s">
        <v>732</v>
      </c>
      <c r="C111" s="40">
        <v>11000</v>
      </c>
      <c r="D111" s="1">
        <f t="shared" si="1"/>
        <v>6600</v>
      </c>
      <c r="E111" s="4"/>
      <c r="F111" s="4"/>
      <c r="G111" s="4"/>
      <c r="H111" s="3" t="s">
        <v>920</v>
      </c>
      <c r="I111" s="3" t="s">
        <v>921</v>
      </c>
      <c r="J111" s="4"/>
      <c r="K111" s="4"/>
      <c r="L111" s="3"/>
      <c r="M111" s="3"/>
      <c r="N111" s="3"/>
    </row>
    <row r="112" spans="1:17">
      <c r="A112" s="3" t="s">
        <v>733</v>
      </c>
      <c r="B112" s="33" t="s">
        <v>734</v>
      </c>
      <c r="C112" s="40">
        <v>11000</v>
      </c>
      <c r="D112" s="1">
        <f t="shared" si="1"/>
        <v>6600</v>
      </c>
      <c r="E112" s="4"/>
      <c r="F112" s="4"/>
      <c r="G112" s="4"/>
      <c r="H112" s="3" t="s">
        <v>920</v>
      </c>
      <c r="I112" s="3" t="s">
        <v>921</v>
      </c>
      <c r="J112" s="4"/>
      <c r="K112" s="4"/>
      <c r="L112" s="3"/>
      <c r="M112" s="3"/>
      <c r="N112" s="3"/>
      <c r="Q112" t="s">
        <v>934</v>
      </c>
    </row>
    <row r="113" spans="1:17">
      <c r="A113" s="3" t="s">
        <v>735</v>
      </c>
      <c r="B113" s="33" t="s">
        <v>736</v>
      </c>
      <c r="C113" s="40">
        <v>11000</v>
      </c>
      <c r="D113" s="1">
        <f t="shared" si="1"/>
        <v>6600</v>
      </c>
      <c r="E113" s="4"/>
      <c r="F113" s="4"/>
      <c r="G113" s="4"/>
      <c r="H113" s="3" t="s">
        <v>920</v>
      </c>
      <c r="I113" s="3" t="s">
        <v>921</v>
      </c>
      <c r="J113" s="4"/>
      <c r="K113" s="4"/>
      <c r="L113" s="3"/>
      <c r="M113" s="3"/>
      <c r="N113" s="3"/>
      <c r="Q113" t="s">
        <v>935</v>
      </c>
    </row>
    <row r="114" spans="1:17">
      <c r="A114" s="3" t="s">
        <v>737</v>
      </c>
      <c r="B114" s="33" t="s">
        <v>738</v>
      </c>
      <c r="C114" s="40">
        <v>11000</v>
      </c>
      <c r="D114" s="1">
        <f t="shared" si="1"/>
        <v>6600</v>
      </c>
      <c r="E114" s="4"/>
      <c r="F114" s="4"/>
      <c r="G114" s="4"/>
      <c r="H114" s="3" t="s">
        <v>920</v>
      </c>
      <c r="I114" s="3" t="s">
        <v>921</v>
      </c>
      <c r="J114" s="4"/>
      <c r="K114" s="4"/>
      <c r="L114" s="3"/>
      <c r="M114" s="3"/>
      <c r="N114" s="3"/>
      <c r="Q114" t="s">
        <v>936</v>
      </c>
    </row>
    <row r="115" spans="1:17">
      <c r="A115" s="3" t="s">
        <v>739</v>
      </c>
      <c r="B115" s="33" t="s">
        <v>740</v>
      </c>
      <c r="C115" s="40">
        <v>11000</v>
      </c>
      <c r="D115" s="1">
        <f t="shared" si="1"/>
        <v>6600</v>
      </c>
      <c r="E115" s="4"/>
      <c r="F115" s="4"/>
      <c r="G115" s="4"/>
      <c r="H115" s="3" t="s">
        <v>920</v>
      </c>
      <c r="I115" s="3" t="s">
        <v>921</v>
      </c>
      <c r="J115" s="4"/>
      <c r="K115" s="4"/>
      <c r="L115" s="3"/>
      <c r="M115" s="3"/>
      <c r="N115" s="3"/>
      <c r="Q115" t="s">
        <v>937</v>
      </c>
    </row>
    <row r="116" spans="1:17">
      <c r="A116" s="3" t="s">
        <v>741</v>
      </c>
      <c r="B116" s="33" t="s">
        <v>742</v>
      </c>
      <c r="C116" s="40">
        <v>11000</v>
      </c>
      <c r="D116" s="1">
        <f t="shared" si="1"/>
        <v>6600</v>
      </c>
      <c r="E116" s="4"/>
      <c r="F116" s="4"/>
      <c r="G116" s="4"/>
      <c r="H116" s="3" t="s">
        <v>920</v>
      </c>
      <c r="I116" s="3" t="s">
        <v>921</v>
      </c>
      <c r="J116" s="4"/>
      <c r="K116" s="4"/>
      <c r="L116" s="3"/>
      <c r="M116" s="3"/>
      <c r="N116" s="3"/>
    </row>
    <row r="117" spans="1:17">
      <c r="A117" s="3" t="s">
        <v>743</v>
      </c>
      <c r="B117" s="33" t="s">
        <v>744</v>
      </c>
      <c r="C117" s="40">
        <v>11000</v>
      </c>
      <c r="D117" s="1">
        <f t="shared" si="1"/>
        <v>6600</v>
      </c>
      <c r="E117" s="4"/>
      <c r="F117" s="4"/>
      <c r="G117" s="4"/>
      <c r="H117" s="3" t="s">
        <v>920</v>
      </c>
      <c r="I117" s="3" t="s">
        <v>921</v>
      </c>
      <c r="J117" s="4"/>
      <c r="K117" s="4"/>
      <c r="L117" s="3"/>
      <c r="M117" s="3"/>
      <c r="N117" s="3"/>
    </row>
    <row r="118" spans="1:17">
      <c r="A118" s="3" t="s">
        <v>745</v>
      </c>
      <c r="B118" s="33" t="s">
        <v>746</v>
      </c>
      <c r="C118" s="40">
        <v>11000</v>
      </c>
      <c r="D118" s="1">
        <f t="shared" si="1"/>
        <v>6600</v>
      </c>
      <c r="E118" s="4"/>
      <c r="F118" s="4"/>
      <c r="G118" s="4"/>
      <c r="H118" s="3" t="s">
        <v>920</v>
      </c>
      <c r="I118" s="3" t="s">
        <v>921</v>
      </c>
      <c r="J118" s="4"/>
      <c r="K118" s="4"/>
      <c r="L118" s="3"/>
      <c r="M118" s="3"/>
      <c r="N118" s="3"/>
    </row>
    <row r="119" spans="1:17">
      <c r="A119" s="3" t="s">
        <v>747</v>
      </c>
      <c r="B119" s="33" t="s">
        <v>748</v>
      </c>
      <c r="C119" s="40">
        <v>11000</v>
      </c>
      <c r="D119" s="1">
        <f t="shared" si="1"/>
        <v>6600</v>
      </c>
      <c r="E119" s="4"/>
      <c r="F119" s="4"/>
      <c r="G119" s="4"/>
      <c r="H119" s="3" t="s">
        <v>920</v>
      </c>
      <c r="I119" s="3" t="s">
        <v>921</v>
      </c>
      <c r="J119" s="4"/>
      <c r="K119" s="4"/>
      <c r="L119" s="3"/>
      <c r="M119" s="3"/>
      <c r="N119" s="3"/>
    </row>
    <row r="120" spans="1:17">
      <c r="A120" s="87" t="s">
        <v>910</v>
      </c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8"/>
      <c r="M120" s="3"/>
      <c r="N120" s="3"/>
    </row>
    <row r="121" spans="1:17">
      <c r="A121" s="3" t="s">
        <v>749</v>
      </c>
      <c r="B121" s="33" t="s">
        <v>750</v>
      </c>
      <c r="C121" s="40">
        <v>10000</v>
      </c>
      <c r="D121" s="1">
        <f t="shared" si="1"/>
        <v>6000</v>
      </c>
      <c r="E121" s="4"/>
      <c r="F121" s="4"/>
      <c r="G121" s="4"/>
      <c r="H121" s="3" t="s">
        <v>920</v>
      </c>
      <c r="I121" s="3" t="s">
        <v>921</v>
      </c>
      <c r="J121" s="4"/>
      <c r="K121" s="4"/>
      <c r="L121" s="3"/>
      <c r="M121" s="3"/>
      <c r="N121" s="3"/>
    </row>
    <row r="122" spans="1:17">
      <c r="A122" s="3" t="s">
        <v>751</v>
      </c>
      <c r="B122" s="33" t="s">
        <v>752</v>
      </c>
      <c r="C122" s="40">
        <v>10000</v>
      </c>
      <c r="D122" s="1">
        <f t="shared" si="1"/>
        <v>6000</v>
      </c>
      <c r="E122" s="4"/>
      <c r="F122" s="4"/>
      <c r="G122" s="4"/>
      <c r="H122" s="3" t="s">
        <v>920</v>
      </c>
      <c r="I122" s="3" t="s">
        <v>921</v>
      </c>
      <c r="J122" s="4"/>
      <c r="K122" s="4"/>
      <c r="L122" s="3"/>
      <c r="M122" s="3"/>
      <c r="N122" s="3"/>
    </row>
    <row r="123" spans="1:17">
      <c r="A123" s="3" t="s">
        <v>753</v>
      </c>
      <c r="B123" s="33" t="s">
        <v>754</v>
      </c>
      <c r="C123" s="40">
        <v>10000</v>
      </c>
      <c r="D123" s="1">
        <f t="shared" si="1"/>
        <v>6000</v>
      </c>
      <c r="E123" s="4"/>
      <c r="F123" s="4"/>
      <c r="G123" s="4"/>
      <c r="H123" s="3" t="s">
        <v>920</v>
      </c>
      <c r="I123" s="3" t="s">
        <v>921</v>
      </c>
      <c r="J123" s="4"/>
      <c r="K123" s="4"/>
      <c r="L123" s="3"/>
      <c r="M123" s="3"/>
      <c r="N123" s="3"/>
    </row>
    <row r="124" spans="1:17">
      <c r="A124" s="3" t="s">
        <v>755</v>
      </c>
      <c r="B124" s="33" t="s">
        <v>756</v>
      </c>
      <c r="C124" s="40">
        <v>10000</v>
      </c>
      <c r="D124" s="1">
        <f t="shared" si="1"/>
        <v>6000</v>
      </c>
      <c r="E124" s="4"/>
      <c r="F124" s="4"/>
      <c r="G124" s="4"/>
      <c r="H124" s="3" t="s">
        <v>920</v>
      </c>
      <c r="I124" s="3" t="s">
        <v>921</v>
      </c>
      <c r="J124" s="4"/>
      <c r="K124" s="4"/>
      <c r="L124" s="3"/>
      <c r="M124" s="3"/>
      <c r="N124" s="3"/>
    </row>
    <row r="125" spans="1:17">
      <c r="A125" s="3" t="s">
        <v>757</v>
      </c>
      <c r="B125" s="33" t="s">
        <v>758</v>
      </c>
      <c r="C125" s="40">
        <v>10000</v>
      </c>
      <c r="D125" s="1">
        <f t="shared" si="1"/>
        <v>6000</v>
      </c>
      <c r="E125" s="4"/>
      <c r="F125" s="4"/>
      <c r="G125" s="4"/>
      <c r="H125" s="3" t="s">
        <v>920</v>
      </c>
      <c r="I125" s="3" t="s">
        <v>921</v>
      </c>
      <c r="J125" s="4"/>
      <c r="K125" s="4"/>
      <c r="L125" s="3"/>
      <c r="M125" s="3"/>
      <c r="N125" s="3"/>
    </row>
    <row r="126" spans="1:17">
      <c r="A126" s="3" t="s">
        <v>759</v>
      </c>
      <c r="B126" s="33" t="s">
        <v>760</v>
      </c>
      <c r="C126" s="40">
        <v>10000</v>
      </c>
      <c r="D126" s="1">
        <f t="shared" si="1"/>
        <v>6000</v>
      </c>
      <c r="E126" s="4"/>
      <c r="F126" s="4"/>
      <c r="G126" s="4"/>
      <c r="H126" s="3" t="s">
        <v>920</v>
      </c>
      <c r="I126" s="3" t="s">
        <v>921</v>
      </c>
      <c r="J126" s="4"/>
      <c r="K126" s="4"/>
      <c r="L126" s="3"/>
      <c r="M126" s="3"/>
      <c r="N126" s="3"/>
    </row>
    <row r="127" spans="1:17">
      <c r="A127" s="3" t="s">
        <v>761</v>
      </c>
      <c r="B127" s="33" t="s">
        <v>762</v>
      </c>
      <c r="C127" s="40">
        <v>10000</v>
      </c>
      <c r="D127" s="1">
        <f t="shared" si="1"/>
        <v>6000</v>
      </c>
      <c r="E127" s="4"/>
      <c r="F127" s="4"/>
      <c r="G127" s="4"/>
      <c r="H127" s="3" t="s">
        <v>920</v>
      </c>
      <c r="I127" s="3" t="s">
        <v>921</v>
      </c>
      <c r="J127" s="4"/>
      <c r="K127" s="4"/>
      <c r="L127" s="3"/>
      <c r="M127" s="3"/>
      <c r="N127" s="3"/>
    </row>
    <row r="128" spans="1:17">
      <c r="A128" s="3" t="s">
        <v>763</v>
      </c>
      <c r="B128" s="33" t="s">
        <v>764</v>
      </c>
      <c r="C128" s="40">
        <v>10000</v>
      </c>
      <c r="D128" s="1">
        <f t="shared" si="1"/>
        <v>6000</v>
      </c>
      <c r="E128" s="4"/>
      <c r="F128" s="4"/>
      <c r="G128" s="4"/>
      <c r="H128" s="3" t="s">
        <v>920</v>
      </c>
      <c r="I128" s="3" t="s">
        <v>921</v>
      </c>
      <c r="J128" s="4"/>
      <c r="K128" s="4"/>
      <c r="L128" s="3"/>
      <c r="M128" s="3"/>
      <c r="N128" s="3"/>
    </row>
    <row r="129" spans="1:14">
      <c r="A129" s="3" t="s">
        <v>765</v>
      </c>
      <c r="B129" s="33" t="s">
        <v>766</v>
      </c>
      <c r="C129" s="40">
        <v>10000</v>
      </c>
      <c r="D129" s="1">
        <f t="shared" si="1"/>
        <v>6000</v>
      </c>
      <c r="E129" s="4"/>
      <c r="F129" s="4"/>
      <c r="G129" s="4"/>
      <c r="H129" s="3" t="s">
        <v>920</v>
      </c>
      <c r="I129" s="3" t="s">
        <v>921</v>
      </c>
      <c r="J129" s="4"/>
      <c r="K129" s="4"/>
      <c r="L129" s="3"/>
      <c r="M129" s="3"/>
      <c r="N129" s="3"/>
    </row>
    <row r="130" spans="1:14">
      <c r="A130" s="3" t="s">
        <v>767</v>
      </c>
      <c r="B130" s="33" t="s">
        <v>768</v>
      </c>
      <c r="C130" s="40">
        <v>10000</v>
      </c>
      <c r="D130" s="1">
        <f t="shared" si="1"/>
        <v>6000</v>
      </c>
      <c r="E130" s="4"/>
      <c r="F130" s="4"/>
      <c r="G130" s="4"/>
      <c r="H130" s="3" t="s">
        <v>920</v>
      </c>
      <c r="I130" s="3" t="s">
        <v>921</v>
      </c>
      <c r="J130" s="4"/>
      <c r="K130" s="4"/>
      <c r="L130" s="3"/>
      <c r="M130" s="3"/>
      <c r="N130" s="3"/>
    </row>
    <row r="131" spans="1:14">
      <c r="A131" s="87" t="s">
        <v>911</v>
      </c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8"/>
      <c r="M131" s="3"/>
      <c r="N131" s="3"/>
    </row>
    <row r="132" spans="1:14">
      <c r="A132" s="3" t="s">
        <v>769</v>
      </c>
      <c r="B132" s="34" t="s">
        <v>770</v>
      </c>
      <c r="C132" s="40">
        <v>7000</v>
      </c>
      <c r="D132" s="1">
        <f t="shared" si="1"/>
        <v>4200</v>
      </c>
      <c r="E132" s="4"/>
      <c r="F132" s="3" t="s">
        <v>918</v>
      </c>
      <c r="G132" s="4"/>
      <c r="H132" s="4"/>
      <c r="I132" s="4"/>
      <c r="J132" s="4"/>
      <c r="K132" s="4"/>
      <c r="L132" s="3"/>
      <c r="M132" s="3"/>
      <c r="N132" s="3"/>
    </row>
    <row r="133" spans="1:14">
      <c r="A133" s="3" t="s">
        <v>771</v>
      </c>
      <c r="B133" s="33" t="s">
        <v>772</v>
      </c>
      <c r="C133" s="40">
        <v>7000</v>
      </c>
      <c r="D133" s="1">
        <f t="shared" si="1"/>
        <v>4200</v>
      </c>
      <c r="E133" s="4"/>
      <c r="F133" s="3" t="s">
        <v>918</v>
      </c>
      <c r="G133" s="4"/>
      <c r="H133" s="4"/>
      <c r="I133" s="4"/>
      <c r="J133" s="4"/>
      <c r="K133" s="4"/>
      <c r="L133" s="3"/>
      <c r="M133" s="3"/>
      <c r="N133" s="3"/>
    </row>
    <row r="134" spans="1:14">
      <c r="A134" s="3" t="s">
        <v>773</v>
      </c>
      <c r="B134" s="33" t="s">
        <v>774</v>
      </c>
      <c r="C134" s="40">
        <v>7000</v>
      </c>
      <c r="D134" s="1">
        <f t="shared" si="1"/>
        <v>4200</v>
      </c>
      <c r="E134" s="4"/>
      <c r="F134" s="3" t="s">
        <v>918</v>
      </c>
      <c r="G134" s="4"/>
      <c r="H134" s="4"/>
      <c r="I134" s="4"/>
      <c r="J134" s="4"/>
      <c r="K134" s="4"/>
      <c r="L134" s="3"/>
      <c r="M134" s="3"/>
      <c r="N134" s="3"/>
    </row>
    <row r="135" spans="1:14">
      <c r="A135" s="3" t="s">
        <v>775</v>
      </c>
      <c r="B135" s="33" t="s">
        <v>776</v>
      </c>
      <c r="C135" s="40">
        <v>7000</v>
      </c>
      <c r="D135" s="1">
        <f t="shared" si="1"/>
        <v>4200</v>
      </c>
      <c r="E135" s="4"/>
      <c r="F135" s="3" t="s">
        <v>918</v>
      </c>
      <c r="G135" s="4"/>
      <c r="H135" s="4"/>
      <c r="I135" s="4"/>
      <c r="J135" s="4"/>
      <c r="K135" s="4"/>
      <c r="L135" s="3"/>
      <c r="M135" s="3"/>
      <c r="N135" s="3"/>
    </row>
    <row r="136" spans="1:14">
      <c r="A136" s="3" t="s">
        <v>777</v>
      </c>
      <c r="B136" s="33" t="s">
        <v>778</v>
      </c>
      <c r="C136" s="40">
        <v>7000</v>
      </c>
      <c r="D136" s="1">
        <f t="shared" si="1"/>
        <v>4200</v>
      </c>
      <c r="E136" s="4"/>
      <c r="F136" s="3" t="s">
        <v>918</v>
      </c>
      <c r="G136" s="4"/>
      <c r="H136" s="4"/>
      <c r="I136" s="4"/>
      <c r="J136" s="4"/>
      <c r="K136" s="4"/>
      <c r="L136" s="3"/>
      <c r="M136" s="3"/>
      <c r="N136" s="3"/>
    </row>
    <row r="137" spans="1:14">
      <c r="A137" s="3" t="s">
        <v>779</v>
      </c>
      <c r="B137" s="33" t="s">
        <v>780</v>
      </c>
      <c r="C137" s="40">
        <v>7000</v>
      </c>
      <c r="D137" s="1">
        <f t="shared" si="1"/>
        <v>4200</v>
      </c>
      <c r="E137" s="4"/>
      <c r="F137" s="3" t="s">
        <v>918</v>
      </c>
      <c r="G137" s="4"/>
      <c r="H137" s="4"/>
      <c r="I137" s="4"/>
      <c r="J137" s="4"/>
      <c r="K137" s="4"/>
      <c r="L137" s="3"/>
      <c r="M137" s="3"/>
      <c r="N137" s="3"/>
    </row>
    <row r="138" spans="1:14">
      <c r="A138" s="3" t="s">
        <v>781</v>
      </c>
      <c r="B138" s="33" t="s">
        <v>782</v>
      </c>
      <c r="C138" s="40">
        <v>7000</v>
      </c>
      <c r="D138" s="1">
        <f t="shared" ref="D138:D205" si="2">C138*0.6</f>
        <v>4200</v>
      </c>
      <c r="E138" s="4"/>
      <c r="F138" s="3" t="s">
        <v>918</v>
      </c>
      <c r="G138" s="4"/>
      <c r="H138" s="4"/>
      <c r="I138" s="4"/>
      <c r="J138" s="4"/>
      <c r="K138" s="4"/>
      <c r="L138" s="3"/>
      <c r="M138" s="3"/>
      <c r="N138" s="3"/>
    </row>
    <row r="139" spans="1:14">
      <c r="A139" s="3" t="s">
        <v>783</v>
      </c>
      <c r="B139" s="33" t="s">
        <v>784</v>
      </c>
      <c r="C139" s="40">
        <v>7000</v>
      </c>
      <c r="D139" s="1">
        <f t="shared" si="2"/>
        <v>4200</v>
      </c>
      <c r="E139" s="4"/>
      <c r="F139" s="3" t="s">
        <v>918</v>
      </c>
      <c r="G139" s="4"/>
      <c r="H139" s="4"/>
      <c r="I139" s="4"/>
      <c r="J139" s="4"/>
      <c r="K139" s="4"/>
      <c r="L139" s="3"/>
      <c r="M139" s="3"/>
      <c r="N139" s="3"/>
    </row>
    <row r="140" spans="1:14">
      <c r="A140" s="3" t="s">
        <v>785</v>
      </c>
      <c r="B140" s="33" t="s">
        <v>786</v>
      </c>
      <c r="C140" s="40">
        <v>7000</v>
      </c>
      <c r="D140" s="1">
        <f t="shared" si="2"/>
        <v>4200</v>
      </c>
      <c r="E140" s="4"/>
      <c r="F140" s="3" t="s">
        <v>918</v>
      </c>
      <c r="G140" s="4"/>
      <c r="H140" s="4"/>
      <c r="I140" s="4"/>
      <c r="J140" s="4"/>
      <c r="K140" s="4"/>
      <c r="L140" s="3"/>
      <c r="M140" s="3"/>
      <c r="N140" s="3"/>
    </row>
    <row r="141" spans="1:14">
      <c r="A141" s="3" t="s">
        <v>787</v>
      </c>
      <c r="B141" s="33" t="s">
        <v>788</v>
      </c>
      <c r="C141" s="40">
        <v>7000</v>
      </c>
      <c r="D141" s="1">
        <f t="shared" si="2"/>
        <v>4200</v>
      </c>
      <c r="E141" s="4"/>
      <c r="F141" s="3" t="s">
        <v>918</v>
      </c>
      <c r="G141" s="4"/>
      <c r="H141" s="4"/>
      <c r="I141" s="4"/>
      <c r="J141" s="4"/>
      <c r="K141" s="4"/>
      <c r="L141" s="3"/>
      <c r="M141" s="3"/>
      <c r="N141" s="3"/>
    </row>
    <row r="142" spans="1:14">
      <c r="A142" s="3" t="s">
        <v>789</v>
      </c>
      <c r="B142" s="33" t="s">
        <v>790</v>
      </c>
      <c r="C142" s="40">
        <v>7000</v>
      </c>
      <c r="D142" s="1">
        <f t="shared" si="2"/>
        <v>4200</v>
      </c>
      <c r="E142" s="4"/>
      <c r="F142" s="3" t="s">
        <v>918</v>
      </c>
      <c r="G142" s="4"/>
      <c r="H142" s="4"/>
      <c r="I142" s="4"/>
      <c r="J142" s="4"/>
      <c r="K142" s="4"/>
      <c r="L142" s="3"/>
      <c r="M142" s="3"/>
      <c r="N142" s="3"/>
    </row>
    <row r="143" spans="1:14">
      <c r="A143" s="3" t="s">
        <v>791</v>
      </c>
      <c r="B143" s="33" t="s">
        <v>792</v>
      </c>
      <c r="C143" s="40">
        <v>7000</v>
      </c>
      <c r="D143" s="1">
        <f t="shared" si="2"/>
        <v>4200</v>
      </c>
      <c r="E143" s="4"/>
      <c r="F143" s="3" t="s">
        <v>918</v>
      </c>
      <c r="G143" s="4"/>
      <c r="H143" s="4"/>
      <c r="I143" s="4"/>
      <c r="J143" s="4"/>
      <c r="K143" s="4"/>
      <c r="L143" s="3"/>
      <c r="M143" s="3"/>
      <c r="N143" s="3"/>
    </row>
    <row r="144" spans="1:14">
      <c r="A144" s="3" t="s">
        <v>793</v>
      </c>
      <c r="B144" s="33" t="s">
        <v>794</v>
      </c>
      <c r="C144" s="40">
        <v>7000</v>
      </c>
      <c r="D144" s="1">
        <f t="shared" si="2"/>
        <v>4200</v>
      </c>
      <c r="E144" s="4"/>
      <c r="F144" s="3" t="s">
        <v>918</v>
      </c>
      <c r="G144" s="4"/>
      <c r="H144" s="4"/>
      <c r="I144" s="4"/>
      <c r="J144" s="4"/>
      <c r="K144" s="4"/>
      <c r="L144" s="3"/>
      <c r="M144" s="3"/>
      <c r="N144" s="3"/>
    </row>
    <row r="145" spans="1:14">
      <c r="A145" s="87" t="s">
        <v>912</v>
      </c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8"/>
      <c r="M145" s="3"/>
      <c r="N145" s="3"/>
    </row>
    <row r="146" spans="1:14">
      <c r="A146" s="3" t="s">
        <v>795</v>
      </c>
      <c r="B146" s="33" t="s">
        <v>796</v>
      </c>
      <c r="C146" s="40">
        <v>30000</v>
      </c>
      <c r="D146" s="1">
        <f t="shared" si="2"/>
        <v>18000</v>
      </c>
      <c r="E146" s="4"/>
      <c r="F146" s="1" t="s">
        <v>923</v>
      </c>
      <c r="G146" s="4"/>
      <c r="H146" s="1" t="s">
        <v>920</v>
      </c>
      <c r="I146" s="1" t="s">
        <v>921</v>
      </c>
      <c r="J146" s="1" t="s">
        <v>928</v>
      </c>
      <c r="K146" s="4"/>
      <c r="L146" s="3"/>
      <c r="M146" s="3"/>
      <c r="N146" s="3"/>
    </row>
    <row r="147" spans="1:14">
      <c r="A147" s="3" t="s">
        <v>797</v>
      </c>
      <c r="B147" s="33" t="s">
        <v>798</v>
      </c>
      <c r="C147" s="40">
        <v>30000</v>
      </c>
      <c r="D147" s="1">
        <f t="shared" si="2"/>
        <v>18000</v>
      </c>
      <c r="E147" s="4"/>
      <c r="F147" s="1" t="s">
        <v>923</v>
      </c>
      <c r="G147" s="4"/>
      <c r="H147" s="1" t="s">
        <v>920</v>
      </c>
      <c r="I147" s="1" t="s">
        <v>921</v>
      </c>
      <c r="J147" s="1" t="s">
        <v>928</v>
      </c>
      <c r="K147" s="4"/>
      <c r="L147" s="3"/>
      <c r="M147" s="3"/>
      <c r="N147" s="3"/>
    </row>
    <row r="148" spans="1:14">
      <c r="A148" s="3" t="s">
        <v>799</v>
      </c>
      <c r="B148" s="33" t="s">
        <v>800</v>
      </c>
      <c r="C148" s="40">
        <v>30000</v>
      </c>
      <c r="D148" s="1">
        <f t="shared" si="2"/>
        <v>18000</v>
      </c>
      <c r="E148" s="4"/>
      <c r="F148" s="1" t="s">
        <v>923</v>
      </c>
      <c r="G148" s="4"/>
      <c r="H148" s="1" t="s">
        <v>920</v>
      </c>
      <c r="I148" s="1" t="s">
        <v>921</v>
      </c>
      <c r="J148" s="1" t="s">
        <v>928</v>
      </c>
      <c r="K148" s="4"/>
      <c r="L148" s="3"/>
      <c r="M148" s="3"/>
      <c r="N148" s="3"/>
    </row>
    <row r="149" spans="1:14">
      <c r="A149" s="3" t="s">
        <v>801</v>
      </c>
      <c r="B149" s="33" t="s">
        <v>802</v>
      </c>
      <c r="C149" s="40">
        <v>30000</v>
      </c>
      <c r="D149" s="1">
        <f t="shared" si="2"/>
        <v>18000</v>
      </c>
      <c r="E149" s="4"/>
      <c r="F149" s="1" t="s">
        <v>923</v>
      </c>
      <c r="G149" s="4"/>
      <c r="H149" s="1" t="s">
        <v>920</v>
      </c>
      <c r="I149" s="1" t="s">
        <v>921</v>
      </c>
      <c r="J149" s="1" t="s">
        <v>928</v>
      </c>
      <c r="K149" s="4"/>
      <c r="L149" s="3"/>
      <c r="M149" s="3"/>
      <c r="N149" s="3"/>
    </row>
    <row r="150" spans="1:14">
      <c r="A150" s="3" t="s">
        <v>803</v>
      </c>
      <c r="B150" s="33" t="s">
        <v>804</v>
      </c>
      <c r="C150" s="40">
        <v>30000</v>
      </c>
      <c r="D150" s="1">
        <f t="shared" si="2"/>
        <v>18000</v>
      </c>
      <c r="E150" s="4"/>
      <c r="F150" s="1" t="s">
        <v>923</v>
      </c>
      <c r="G150" s="4"/>
      <c r="H150" s="1" t="s">
        <v>920</v>
      </c>
      <c r="I150" s="1" t="s">
        <v>921</v>
      </c>
      <c r="J150" s="1" t="s">
        <v>928</v>
      </c>
      <c r="K150" s="4"/>
      <c r="L150" s="3"/>
      <c r="M150" s="3"/>
      <c r="N150" s="3"/>
    </row>
    <row r="151" spans="1:14">
      <c r="A151" s="3" t="s">
        <v>805</v>
      </c>
      <c r="B151" s="33" t="s">
        <v>806</v>
      </c>
      <c r="C151" s="40">
        <v>30000</v>
      </c>
      <c r="D151" s="1">
        <f t="shared" si="2"/>
        <v>18000</v>
      </c>
      <c r="E151" s="4"/>
      <c r="F151" s="1" t="s">
        <v>923</v>
      </c>
      <c r="G151" s="4"/>
      <c r="H151" s="1" t="s">
        <v>920</v>
      </c>
      <c r="I151" s="1" t="s">
        <v>921</v>
      </c>
      <c r="J151" s="1" t="s">
        <v>928</v>
      </c>
      <c r="K151" s="4"/>
      <c r="L151" s="3"/>
      <c r="M151" s="3"/>
      <c r="N151" s="3"/>
    </row>
    <row r="152" spans="1:14">
      <c r="A152" s="3" t="s">
        <v>807</v>
      </c>
      <c r="B152" s="33" t="s">
        <v>808</v>
      </c>
      <c r="C152" s="40">
        <v>30000</v>
      </c>
      <c r="D152" s="1">
        <f t="shared" si="2"/>
        <v>18000</v>
      </c>
      <c r="E152" s="4"/>
      <c r="F152" s="1" t="s">
        <v>923</v>
      </c>
      <c r="G152" s="4"/>
      <c r="H152" s="1" t="s">
        <v>920</v>
      </c>
      <c r="I152" s="1" t="s">
        <v>921</v>
      </c>
      <c r="J152" s="1" t="s">
        <v>928</v>
      </c>
      <c r="K152" s="4"/>
      <c r="L152" s="3"/>
      <c r="M152" s="3"/>
      <c r="N152" s="3"/>
    </row>
    <row r="153" spans="1:14">
      <c r="A153" s="3" t="s">
        <v>809</v>
      </c>
      <c r="B153" s="33" t="s">
        <v>810</v>
      </c>
      <c r="C153" s="40">
        <v>30000</v>
      </c>
      <c r="D153" s="1">
        <f t="shared" si="2"/>
        <v>18000</v>
      </c>
      <c r="E153" s="4"/>
      <c r="F153" s="1" t="s">
        <v>923</v>
      </c>
      <c r="G153" s="4"/>
      <c r="H153" s="1" t="s">
        <v>920</v>
      </c>
      <c r="I153" s="1" t="s">
        <v>921</v>
      </c>
      <c r="J153" s="1" t="s">
        <v>928</v>
      </c>
      <c r="K153" s="4"/>
      <c r="L153" s="3"/>
      <c r="M153" s="3"/>
      <c r="N153" s="3"/>
    </row>
    <row r="154" spans="1:14">
      <c r="A154" s="3" t="s">
        <v>811</v>
      </c>
      <c r="B154" s="33" t="s">
        <v>812</v>
      </c>
      <c r="C154" s="40">
        <v>30000</v>
      </c>
      <c r="D154" s="1">
        <f t="shared" si="2"/>
        <v>18000</v>
      </c>
      <c r="E154" s="4"/>
      <c r="F154" s="1" t="s">
        <v>923</v>
      </c>
      <c r="G154" s="4"/>
      <c r="H154" s="1" t="s">
        <v>920</v>
      </c>
      <c r="I154" s="1" t="s">
        <v>921</v>
      </c>
      <c r="J154" s="1" t="s">
        <v>928</v>
      </c>
      <c r="K154" s="4"/>
      <c r="L154" s="3"/>
      <c r="M154" s="3"/>
      <c r="N154" s="3"/>
    </row>
    <row r="155" spans="1:14">
      <c r="A155" s="3" t="s">
        <v>813</v>
      </c>
      <c r="B155" s="33" t="s">
        <v>814</v>
      </c>
      <c r="C155" s="40">
        <v>30000</v>
      </c>
      <c r="D155" s="1">
        <f t="shared" si="2"/>
        <v>18000</v>
      </c>
      <c r="E155" s="4"/>
      <c r="F155" s="1" t="s">
        <v>923</v>
      </c>
      <c r="G155" s="4"/>
      <c r="H155" s="1" t="s">
        <v>920</v>
      </c>
      <c r="I155" s="1" t="s">
        <v>921</v>
      </c>
      <c r="J155" s="1" t="s">
        <v>928</v>
      </c>
      <c r="K155" s="4"/>
      <c r="L155" s="3"/>
      <c r="M155" s="3"/>
      <c r="N155" s="3"/>
    </row>
    <row r="156" spans="1:14">
      <c r="A156" s="3" t="s">
        <v>815</v>
      </c>
      <c r="B156" s="33" t="s">
        <v>816</v>
      </c>
      <c r="C156" s="40">
        <v>30000</v>
      </c>
      <c r="D156" s="1">
        <f t="shared" si="2"/>
        <v>18000</v>
      </c>
      <c r="E156" s="4"/>
      <c r="F156" s="1" t="s">
        <v>923</v>
      </c>
      <c r="G156" s="4"/>
      <c r="H156" s="1" t="s">
        <v>920</v>
      </c>
      <c r="I156" s="1" t="s">
        <v>921</v>
      </c>
      <c r="J156" s="1" t="s">
        <v>928</v>
      </c>
      <c r="K156" s="4"/>
      <c r="L156" s="3"/>
      <c r="M156" s="3"/>
      <c r="N156" s="3"/>
    </row>
    <row r="157" spans="1:14">
      <c r="A157" s="3" t="s">
        <v>817</v>
      </c>
      <c r="B157" s="33" t="s">
        <v>818</v>
      </c>
      <c r="C157" s="40">
        <v>30000</v>
      </c>
      <c r="D157" s="1">
        <f t="shared" si="2"/>
        <v>18000</v>
      </c>
      <c r="E157" s="4"/>
      <c r="F157" s="1" t="s">
        <v>923</v>
      </c>
      <c r="G157" s="4"/>
      <c r="H157" s="1" t="s">
        <v>920</v>
      </c>
      <c r="I157" s="1" t="s">
        <v>921</v>
      </c>
      <c r="J157" s="1" t="s">
        <v>928</v>
      </c>
      <c r="K157" s="4"/>
      <c r="L157" s="3"/>
      <c r="M157" s="3"/>
      <c r="N157" s="3"/>
    </row>
    <row r="158" spans="1:14">
      <c r="A158" s="3" t="s">
        <v>819</v>
      </c>
      <c r="B158" s="33" t="s">
        <v>820</v>
      </c>
      <c r="C158" s="40">
        <v>30000</v>
      </c>
      <c r="D158" s="1">
        <f t="shared" si="2"/>
        <v>18000</v>
      </c>
      <c r="E158" s="4"/>
      <c r="F158" s="1" t="s">
        <v>923</v>
      </c>
      <c r="G158" s="4"/>
      <c r="H158" s="1" t="s">
        <v>920</v>
      </c>
      <c r="I158" s="1" t="s">
        <v>921</v>
      </c>
      <c r="J158" s="1" t="s">
        <v>928</v>
      </c>
      <c r="K158" s="4"/>
      <c r="L158" s="3"/>
      <c r="M158" s="3"/>
      <c r="N158" s="3"/>
    </row>
    <row r="159" spans="1:14">
      <c r="A159" s="3" t="s">
        <v>821</v>
      </c>
      <c r="B159" s="33" t="s">
        <v>822</v>
      </c>
      <c r="C159" s="40">
        <v>30000</v>
      </c>
      <c r="D159" s="1">
        <f t="shared" si="2"/>
        <v>18000</v>
      </c>
      <c r="E159" s="4"/>
      <c r="F159" s="1" t="s">
        <v>923</v>
      </c>
      <c r="G159" s="4"/>
      <c r="H159" s="1" t="s">
        <v>920</v>
      </c>
      <c r="I159" s="1" t="s">
        <v>921</v>
      </c>
      <c r="J159" s="1" t="s">
        <v>928</v>
      </c>
      <c r="K159" s="4"/>
      <c r="L159" s="3"/>
      <c r="M159" s="3"/>
      <c r="N159" s="3"/>
    </row>
    <row r="160" spans="1:14">
      <c r="A160" s="3" t="s">
        <v>823</v>
      </c>
      <c r="B160" s="33" t="s">
        <v>824</v>
      </c>
      <c r="C160" s="40">
        <v>30000</v>
      </c>
      <c r="D160" s="1">
        <f t="shared" si="2"/>
        <v>18000</v>
      </c>
      <c r="E160" s="4"/>
      <c r="F160" s="1" t="s">
        <v>923</v>
      </c>
      <c r="G160" s="4"/>
      <c r="H160" s="1" t="s">
        <v>920</v>
      </c>
      <c r="I160" s="1" t="s">
        <v>921</v>
      </c>
      <c r="J160" s="1" t="s">
        <v>928</v>
      </c>
      <c r="K160" s="4"/>
      <c r="L160" s="3"/>
      <c r="M160" s="3"/>
      <c r="N160" s="3"/>
    </row>
    <row r="161" spans="1:14">
      <c r="A161" s="87" t="s">
        <v>913</v>
      </c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8"/>
      <c r="M161" s="3"/>
      <c r="N161" s="3"/>
    </row>
    <row r="162" spans="1:14">
      <c r="A162" s="3" t="s">
        <v>825</v>
      </c>
      <c r="B162" s="33" t="s">
        <v>826</v>
      </c>
      <c r="C162" s="40">
        <v>10000</v>
      </c>
      <c r="D162" s="1">
        <f t="shared" si="2"/>
        <v>6000</v>
      </c>
      <c r="E162" s="4"/>
      <c r="F162" s="1" t="s">
        <v>923</v>
      </c>
      <c r="G162" s="4"/>
      <c r="H162" s="1" t="s">
        <v>944</v>
      </c>
      <c r="I162" s="4"/>
      <c r="J162" s="4"/>
      <c r="K162" s="4"/>
      <c r="L162" s="3"/>
      <c r="M162" s="3"/>
      <c r="N162" s="3"/>
    </row>
    <row r="163" spans="1:14">
      <c r="A163" s="3" t="s">
        <v>827</v>
      </c>
      <c r="B163" s="33" t="s">
        <v>828</v>
      </c>
      <c r="C163" s="40">
        <v>10000</v>
      </c>
      <c r="D163" s="1">
        <f t="shared" si="2"/>
        <v>6000</v>
      </c>
      <c r="E163" s="4"/>
      <c r="F163" s="1" t="s">
        <v>923</v>
      </c>
      <c r="G163" s="4"/>
      <c r="H163" s="1" t="s">
        <v>920</v>
      </c>
      <c r="I163" s="4"/>
      <c r="J163" s="4"/>
      <c r="K163" s="4"/>
      <c r="L163" s="3"/>
      <c r="M163" s="3"/>
      <c r="N163" s="3"/>
    </row>
    <row r="164" spans="1:14">
      <c r="A164" s="3" t="s">
        <v>829</v>
      </c>
      <c r="B164" s="33" t="s">
        <v>830</v>
      </c>
      <c r="C164" s="40">
        <v>10000</v>
      </c>
      <c r="D164" s="1">
        <f t="shared" si="2"/>
        <v>6000</v>
      </c>
      <c r="E164" s="4"/>
      <c r="F164" s="1" t="s">
        <v>923</v>
      </c>
      <c r="G164" s="4"/>
      <c r="H164" s="1" t="s">
        <v>920</v>
      </c>
      <c r="I164" s="4"/>
      <c r="J164" s="4"/>
      <c r="K164" s="4"/>
      <c r="L164" s="3"/>
      <c r="M164" s="3"/>
      <c r="N164" s="3"/>
    </row>
    <row r="165" spans="1:14">
      <c r="A165" s="3" t="s">
        <v>831</v>
      </c>
      <c r="B165" s="33" t="s">
        <v>832</v>
      </c>
      <c r="C165" s="40">
        <v>10000</v>
      </c>
      <c r="D165" s="1">
        <f t="shared" si="2"/>
        <v>6000</v>
      </c>
      <c r="E165" s="4"/>
      <c r="F165" s="1" t="s">
        <v>923</v>
      </c>
      <c r="G165" s="4"/>
      <c r="H165" s="1" t="s">
        <v>920</v>
      </c>
      <c r="I165" s="4"/>
      <c r="J165" s="4"/>
      <c r="K165" s="4"/>
      <c r="L165" s="3"/>
      <c r="M165" s="3"/>
      <c r="N165" s="3"/>
    </row>
    <row r="166" spans="1:14">
      <c r="A166" s="3" t="s">
        <v>833</v>
      </c>
      <c r="B166" s="33" t="s">
        <v>834</v>
      </c>
      <c r="C166" s="40">
        <v>10000</v>
      </c>
      <c r="D166" s="1">
        <f t="shared" si="2"/>
        <v>6000</v>
      </c>
      <c r="E166" s="4"/>
      <c r="F166" s="1" t="s">
        <v>923</v>
      </c>
      <c r="G166" s="4"/>
      <c r="H166" s="1" t="s">
        <v>920</v>
      </c>
      <c r="I166" s="4"/>
      <c r="J166" s="4"/>
      <c r="K166" s="4"/>
      <c r="L166" s="3"/>
      <c r="M166" s="3"/>
      <c r="N166" s="3"/>
    </row>
    <row r="167" spans="1:14">
      <c r="A167" s="3" t="s">
        <v>835</v>
      </c>
      <c r="B167" s="33" t="s">
        <v>836</v>
      </c>
      <c r="C167" s="40">
        <v>10000</v>
      </c>
      <c r="D167" s="1">
        <f t="shared" si="2"/>
        <v>6000</v>
      </c>
      <c r="E167" s="4"/>
      <c r="F167" s="1" t="s">
        <v>923</v>
      </c>
      <c r="G167" s="4"/>
      <c r="H167" s="1" t="s">
        <v>920</v>
      </c>
      <c r="I167" s="4"/>
      <c r="J167" s="4"/>
      <c r="K167" s="4"/>
      <c r="L167" s="3"/>
      <c r="M167" s="3"/>
      <c r="N167" s="3"/>
    </row>
    <row r="168" spans="1:14">
      <c r="A168" s="3" t="s">
        <v>837</v>
      </c>
      <c r="B168" s="33" t="s">
        <v>838</v>
      </c>
      <c r="C168" s="40">
        <v>10000</v>
      </c>
      <c r="D168" s="1">
        <f t="shared" si="2"/>
        <v>6000</v>
      </c>
      <c r="E168" s="4"/>
      <c r="F168" s="1" t="s">
        <v>923</v>
      </c>
      <c r="G168" s="4"/>
      <c r="H168" s="1" t="s">
        <v>920</v>
      </c>
      <c r="I168" s="4"/>
      <c r="J168" s="4"/>
      <c r="K168" s="4"/>
      <c r="L168" s="3"/>
      <c r="M168" s="3"/>
      <c r="N168" s="3"/>
    </row>
    <row r="169" spans="1:14">
      <c r="A169" s="87" t="s">
        <v>915</v>
      </c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8"/>
      <c r="M169" s="3"/>
      <c r="N169" s="3"/>
    </row>
    <row r="170" spans="1:14">
      <c r="A170" s="3" t="s">
        <v>839</v>
      </c>
      <c r="B170" s="34" t="s">
        <v>840</v>
      </c>
      <c r="C170" s="40">
        <v>7000</v>
      </c>
      <c r="D170" s="1">
        <f t="shared" si="2"/>
        <v>4200</v>
      </c>
      <c r="E170" s="4"/>
      <c r="F170" s="4"/>
      <c r="G170" s="4"/>
      <c r="H170" s="4"/>
      <c r="I170" s="1" t="s">
        <v>921</v>
      </c>
      <c r="J170" s="1" t="s">
        <v>928</v>
      </c>
      <c r="K170" s="4"/>
      <c r="L170" s="3"/>
      <c r="M170" s="3"/>
      <c r="N170" s="3"/>
    </row>
    <row r="171" spans="1:14">
      <c r="A171" s="3" t="s">
        <v>841</v>
      </c>
      <c r="B171" s="33" t="s">
        <v>842</v>
      </c>
      <c r="C171" s="40">
        <v>7000</v>
      </c>
      <c r="D171" s="1">
        <f t="shared" si="2"/>
        <v>4200</v>
      </c>
      <c r="E171" s="4"/>
      <c r="F171" s="4"/>
      <c r="G171" s="4"/>
      <c r="H171" s="4"/>
      <c r="I171" s="1" t="s">
        <v>921</v>
      </c>
      <c r="J171" s="1" t="s">
        <v>928</v>
      </c>
      <c r="K171" s="4"/>
      <c r="L171" s="3"/>
      <c r="M171" s="3"/>
      <c r="N171" s="3"/>
    </row>
    <row r="172" spans="1:14">
      <c r="A172" s="3" t="s">
        <v>843</v>
      </c>
      <c r="B172" s="33" t="s">
        <v>844</v>
      </c>
      <c r="C172" s="40">
        <v>7000</v>
      </c>
      <c r="D172" s="1">
        <f t="shared" si="2"/>
        <v>4200</v>
      </c>
      <c r="E172" s="4"/>
      <c r="F172" s="4"/>
      <c r="G172" s="4"/>
      <c r="H172" s="4"/>
      <c r="I172" s="1" t="s">
        <v>921</v>
      </c>
      <c r="J172" s="1" t="s">
        <v>928</v>
      </c>
      <c r="K172" s="4"/>
      <c r="L172" s="3"/>
      <c r="M172" s="3"/>
      <c r="N172" s="3"/>
    </row>
    <row r="173" spans="1:14">
      <c r="A173" s="3" t="s">
        <v>845</v>
      </c>
      <c r="B173" s="33" t="s">
        <v>846</v>
      </c>
      <c r="C173" s="40">
        <v>7000</v>
      </c>
      <c r="D173" s="1">
        <f t="shared" si="2"/>
        <v>4200</v>
      </c>
      <c r="E173" s="4"/>
      <c r="F173" s="4"/>
      <c r="G173" s="4"/>
      <c r="H173" s="4"/>
      <c r="I173" s="1" t="s">
        <v>921</v>
      </c>
      <c r="J173" s="1" t="s">
        <v>928</v>
      </c>
      <c r="K173" s="4"/>
      <c r="L173" s="3"/>
      <c r="M173" s="3"/>
      <c r="N173" s="3"/>
    </row>
    <row r="174" spans="1:14">
      <c r="A174" s="3" t="s">
        <v>847</v>
      </c>
      <c r="B174" s="33" t="s">
        <v>848</v>
      </c>
      <c r="C174" s="40">
        <v>7000</v>
      </c>
      <c r="D174" s="1">
        <f t="shared" si="2"/>
        <v>4200</v>
      </c>
      <c r="E174" s="4"/>
      <c r="F174" s="4"/>
      <c r="G174" s="4"/>
      <c r="H174" s="4"/>
      <c r="I174" s="1" t="s">
        <v>921</v>
      </c>
      <c r="J174" s="1" t="s">
        <v>928</v>
      </c>
      <c r="K174" s="4"/>
      <c r="L174" s="3"/>
      <c r="M174" s="3"/>
      <c r="N174" s="3"/>
    </row>
    <row r="175" spans="1:14">
      <c r="A175" s="3" t="s">
        <v>849</v>
      </c>
      <c r="B175" s="33" t="s">
        <v>850</v>
      </c>
      <c r="C175" s="40">
        <v>7000</v>
      </c>
      <c r="D175" s="1">
        <f t="shared" si="2"/>
        <v>4200</v>
      </c>
      <c r="E175" s="4"/>
      <c r="F175" s="4"/>
      <c r="G175" s="4"/>
      <c r="H175" s="4"/>
      <c r="I175" s="1" t="s">
        <v>921</v>
      </c>
      <c r="J175" s="1" t="s">
        <v>928</v>
      </c>
      <c r="K175" s="4"/>
      <c r="L175" s="3"/>
      <c r="M175" s="3"/>
      <c r="N175" s="3"/>
    </row>
    <row r="176" spans="1:14">
      <c r="A176" s="3" t="s">
        <v>851</v>
      </c>
      <c r="B176" s="33" t="s">
        <v>852</v>
      </c>
      <c r="C176" s="40">
        <v>7000</v>
      </c>
      <c r="D176" s="1">
        <f t="shared" si="2"/>
        <v>4200</v>
      </c>
      <c r="E176" s="4"/>
      <c r="F176" s="4"/>
      <c r="G176" s="4"/>
      <c r="H176" s="4"/>
      <c r="I176" s="1" t="s">
        <v>921</v>
      </c>
      <c r="J176" s="1" t="s">
        <v>928</v>
      </c>
      <c r="K176" s="4"/>
      <c r="L176" s="3"/>
      <c r="M176" s="3"/>
      <c r="N176" s="3"/>
    </row>
    <row r="177" spans="1:14">
      <c r="A177" s="3" t="s">
        <v>853</v>
      </c>
      <c r="B177" s="33" t="s">
        <v>854</v>
      </c>
      <c r="C177" s="40">
        <v>7000</v>
      </c>
      <c r="D177" s="1">
        <f t="shared" si="2"/>
        <v>4200</v>
      </c>
      <c r="E177" s="4"/>
      <c r="F177" s="4"/>
      <c r="G177" s="4"/>
      <c r="H177" s="4"/>
      <c r="I177" s="1" t="s">
        <v>921</v>
      </c>
      <c r="J177" s="1" t="s">
        <v>928</v>
      </c>
      <c r="K177" s="4"/>
      <c r="L177" s="3"/>
      <c r="M177" s="3"/>
      <c r="N177" s="3"/>
    </row>
    <row r="178" spans="1:14">
      <c r="A178" s="3" t="s">
        <v>855</v>
      </c>
      <c r="B178" s="33" t="s">
        <v>856</v>
      </c>
      <c r="C178" s="40">
        <v>7000</v>
      </c>
      <c r="D178" s="1">
        <f t="shared" si="2"/>
        <v>4200</v>
      </c>
      <c r="E178" s="4"/>
      <c r="F178" s="4"/>
      <c r="G178" s="4"/>
      <c r="H178" s="4"/>
      <c r="I178" s="1" t="s">
        <v>921</v>
      </c>
      <c r="J178" s="1" t="s">
        <v>928</v>
      </c>
      <c r="K178" s="4"/>
      <c r="L178" s="3"/>
      <c r="M178" s="3"/>
      <c r="N178" s="3"/>
    </row>
    <row r="179" spans="1:14">
      <c r="A179" s="3" t="s">
        <v>857</v>
      </c>
      <c r="B179" s="33" t="s">
        <v>858</v>
      </c>
      <c r="C179" s="40">
        <v>7000</v>
      </c>
      <c r="D179" s="1">
        <f t="shared" si="2"/>
        <v>4200</v>
      </c>
      <c r="E179" s="4"/>
      <c r="F179" s="4"/>
      <c r="G179" s="4"/>
      <c r="H179" s="4"/>
      <c r="I179" s="1" t="s">
        <v>921</v>
      </c>
      <c r="J179" s="1" t="s">
        <v>928</v>
      </c>
      <c r="K179" s="4"/>
      <c r="L179" s="3"/>
      <c r="M179" s="3"/>
      <c r="N179" s="3"/>
    </row>
    <row r="180" spans="1:14">
      <c r="A180" s="3" t="s">
        <v>859</v>
      </c>
      <c r="B180" s="33" t="s">
        <v>860</v>
      </c>
      <c r="C180" s="40">
        <v>7000</v>
      </c>
      <c r="D180" s="1">
        <f t="shared" si="2"/>
        <v>4200</v>
      </c>
      <c r="E180" s="4"/>
      <c r="F180" s="4"/>
      <c r="G180" s="4"/>
      <c r="H180" s="4"/>
      <c r="I180" s="1" t="s">
        <v>921</v>
      </c>
      <c r="J180" s="1" t="s">
        <v>928</v>
      </c>
      <c r="K180" s="4"/>
      <c r="L180" s="3"/>
      <c r="M180" s="3"/>
      <c r="N180" s="3"/>
    </row>
    <row r="181" spans="1:14">
      <c r="A181" s="3" t="s">
        <v>861</v>
      </c>
      <c r="B181" s="33" t="s">
        <v>862</v>
      </c>
      <c r="C181" s="40">
        <v>7000</v>
      </c>
      <c r="D181" s="1">
        <f t="shared" si="2"/>
        <v>4200</v>
      </c>
      <c r="E181" s="4"/>
      <c r="F181" s="4"/>
      <c r="G181" s="4"/>
      <c r="H181" s="4"/>
      <c r="I181" s="1" t="s">
        <v>921</v>
      </c>
      <c r="J181" s="1" t="s">
        <v>928</v>
      </c>
      <c r="K181" s="4"/>
      <c r="L181" s="3"/>
      <c r="M181" s="3"/>
      <c r="N181" s="3"/>
    </row>
    <row r="182" spans="1:14">
      <c r="A182" s="3" t="s">
        <v>863</v>
      </c>
      <c r="B182" s="33" t="s">
        <v>864</v>
      </c>
      <c r="C182" s="40">
        <v>7000</v>
      </c>
      <c r="D182" s="1">
        <f t="shared" si="2"/>
        <v>4200</v>
      </c>
      <c r="E182" s="4"/>
      <c r="F182" s="4"/>
      <c r="G182" s="4"/>
      <c r="H182" s="4"/>
      <c r="I182" s="1" t="s">
        <v>921</v>
      </c>
      <c r="J182" s="1" t="s">
        <v>928</v>
      </c>
      <c r="K182" s="4"/>
      <c r="L182" s="3"/>
      <c r="M182" s="3"/>
      <c r="N182" s="3"/>
    </row>
    <row r="183" spans="1:14">
      <c r="A183" s="3" t="s">
        <v>865</v>
      </c>
      <c r="B183" s="33" t="s">
        <v>866</v>
      </c>
      <c r="C183" s="40">
        <v>7000</v>
      </c>
      <c r="D183" s="1">
        <f t="shared" si="2"/>
        <v>4200</v>
      </c>
      <c r="E183" s="4"/>
      <c r="F183" s="4"/>
      <c r="G183" s="4"/>
      <c r="H183" s="4"/>
      <c r="I183" s="1" t="s">
        <v>921</v>
      </c>
      <c r="J183" s="1" t="s">
        <v>928</v>
      </c>
      <c r="K183" s="4"/>
      <c r="L183" s="3"/>
      <c r="M183" s="3"/>
      <c r="N183" s="3"/>
    </row>
    <row r="184" spans="1:14">
      <c r="A184" s="87" t="s">
        <v>914</v>
      </c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8"/>
      <c r="M184" s="3"/>
      <c r="N184" s="3"/>
    </row>
    <row r="185" spans="1:14">
      <c r="A185" s="3" t="s">
        <v>867</v>
      </c>
      <c r="B185" s="33" t="s">
        <v>868</v>
      </c>
      <c r="C185" s="40">
        <v>10000</v>
      </c>
      <c r="D185" s="1">
        <f t="shared" si="2"/>
        <v>6000</v>
      </c>
      <c r="E185" s="4"/>
      <c r="F185" s="4"/>
      <c r="G185" s="4"/>
      <c r="H185" s="1" t="s">
        <v>920</v>
      </c>
      <c r="I185" s="1" t="s">
        <v>921</v>
      </c>
      <c r="J185" s="1" t="s">
        <v>928</v>
      </c>
      <c r="K185" s="1" t="s">
        <v>940</v>
      </c>
      <c r="L185" s="3"/>
      <c r="M185" s="3"/>
      <c r="N185" s="3"/>
    </row>
    <row r="186" spans="1:14">
      <c r="A186" s="3" t="s">
        <v>869</v>
      </c>
      <c r="B186" s="33" t="s">
        <v>870</v>
      </c>
      <c r="C186" s="40">
        <v>10000</v>
      </c>
      <c r="D186" s="1">
        <f t="shared" si="2"/>
        <v>6000</v>
      </c>
      <c r="E186" s="4"/>
      <c r="F186" s="4"/>
      <c r="G186" s="4"/>
      <c r="H186" s="1" t="s">
        <v>920</v>
      </c>
      <c r="I186" s="1" t="s">
        <v>921</v>
      </c>
      <c r="J186" s="1" t="s">
        <v>928</v>
      </c>
      <c r="K186" s="1" t="s">
        <v>940</v>
      </c>
      <c r="L186" s="3"/>
      <c r="M186" s="3"/>
      <c r="N186" s="3"/>
    </row>
    <row r="187" spans="1:14">
      <c r="A187" s="3" t="s">
        <v>871</v>
      </c>
      <c r="B187" s="33" t="s">
        <v>872</v>
      </c>
      <c r="C187" s="40">
        <v>10000</v>
      </c>
      <c r="D187" s="1">
        <f t="shared" si="2"/>
        <v>6000</v>
      </c>
      <c r="E187" s="4"/>
      <c r="F187" s="4"/>
      <c r="G187" s="4"/>
      <c r="H187" s="1" t="s">
        <v>920</v>
      </c>
      <c r="I187" s="1" t="s">
        <v>921</v>
      </c>
      <c r="J187" s="1" t="s">
        <v>928</v>
      </c>
      <c r="K187" s="1" t="s">
        <v>940</v>
      </c>
      <c r="L187" s="3"/>
      <c r="M187" s="3"/>
      <c r="N187" s="3"/>
    </row>
    <row r="188" spans="1:14">
      <c r="A188" s="3" t="s">
        <v>873</v>
      </c>
      <c r="B188" s="33" t="s">
        <v>874</v>
      </c>
      <c r="C188" s="40">
        <v>10000</v>
      </c>
      <c r="D188" s="1">
        <f t="shared" si="2"/>
        <v>6000</v>
      </c>
      <c r="E188" s="4"/>
      <c r="F188" s="4"/>
      <c r="G188" s="4"/>
      <c r="H188" s="1" t="s">
        <v>920</v>
      </c>
      <c r="I188" s="1" t="s">
        <v>921</v>
      </c>
      <c r="J188" s="1" t="s">
        <v>928</v>
      </c>
      <c r="K188" s="1" t="s">
        <v>940</v>
      </c>
      <c r="L188" s="3"/>
      <c r="M188" s="3"/>
      <c r="N188" s="3"/>
    </row>
    <row r="189" spans="1:14">
      <c r="A189" s="3" t="s">
        <v>875</v>
      </c>
      <c r="B189" s="33" t="s">
        <v>876</v>
      </c>
      <c r="C189" s="40">
        <v>10000</v>
      </c>
      <c r="D189" s="1">
        <f t="shared" si="2"/>
        <v>6000</v>
      </c>
      <c r="E189" s="4"/>
      <c r="F189" s="4"/>
      <c r="G189" s="4"/>
      <c r="H189" s="1" t="s">
        <v>920</v>
      </c>
      <c r="I189" s="1" t="s">
        <v>921</v>
      </c>
      <c r="J189" s="1" t="s">
        <v>928</v>
      </c>
      <c r="K189" s="1" t="s">
        <v>940</v>
      </c>
      <c r="L189" s="3"/>
      <c r="M189" s="3"/>
      <c r="N189" s="3"/>
    </row>
    <row r="190" spans="1:14">
      <c r="A190" s="3" t="s">
        <v>877</v>
      </c>
      <c r="B190" s="33" t="s">
        <v>878</v>
      </c>
      <c r="C190" s="40">
        <v>10000</v>
      </c>
      <c r="D190" s="1">
        <f t="shared" si="2"/>
        <v>6000</v>
      </c>
      <c r="E190" s="4"/>
      <c r="F190" s="4"/>
      <c r="G190" s="4"/>
      <c r="H190" s="1" t="s">
        <v>920</v>
      </c>
      <c r="I190" s="1" t="s">
        <v>921</v>
      </c>
      <c r="J190" s="1" t="s">
        <v>928</v>
      </c>
      <c r="K190" s="1" t="s">
        <v>940</v>
      </c>
      <c r="L190" s="3"/>
      <c r="M190" s="3"/>
      <c r="N190" s="3"/>
    </row>
    <row r="191" spans="1:14">
      <c r="A191" s="3" t="s">
        <v>879</v>
      </c>
      <c r="B191" s="33" t="s">
        <v>880</v>
      </c>
      <c r="C191" s="40">
        <v>10000</v>
      </c>
      <c r="D191" s="1">
        <f t="shared" si="2"/>
        <v>6000</v>
      </c>
      <c r="E191" s="4"/>
      <c r="F191" s="4"/>
      <c r="G191" s="4"/>
      <c r="H191" s="1" t="s">
        <v>920</v>
      </c>
      <c r="I191" s="1" t="s">
        <v>921</v>
      </c>
      <c r="J191" s="1" t="s">
        <v>928</v>
      </c>
      <c r="K191" s="1" t="s">
        <v>940</v>
      </c>
      <c r="L191" s="3"/>
      <c r="M191" s="3"/>
      <c r="N191" s="3"/>
    </row>
    <row r="192" spans="1:14">
      <c r="A192" s="3" t="s">
        <v>881</v>
      </c>
      <c r="B192" s="33" t="s">
        <v>882</v>
      </c>
      <c r="C192" s="40">
        <v>10000</v>
      </c>
      <c r="D192" s="1">
        <f t="shared" si="2"/>
        <v>6000</v>
      </c>
      <c r="E192" s="4"/>
      <c r="F192" s="4"/>
      <c r="G192" s="4"/>
      <c r="H192" s="1" t="s">
        <v>920</v>
      </c>
      <c r="I192" s="1" t="s">
        <v>921</v>
      </c>
      <c r="J192" s="1" t="s">
        <v>928</v>
      </c>
      <c r="K192" s="1" t="s">
        <v>940</v>
      </c>
      <c r="L192" s="3"/>
      <c r="M192" s="3"/>
      <c r="N192" s="3"/>
    </row>
    <row r="193" spans="1:14">
      <c r="A193" s="87" t="s">
        <v>916</v>
      </c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8"/>
      <c r="M193" s="3"/>
      <c r="N193" s="3"/>
    </row>
    <row r="194" spans="1:14">
      <c r="A194" s="3" t="s">
        <v>883</v>
      </c>
      <c r="B194" s="33" t="s">
        <v>884</v>
      </c>
      <c r="C194" s="40">
        <v>8000</v>
      </c>
      <c r="D194" s="1">
        <f t="shared" si="2"/>
        <v>4800</v>
      </c>
      <c r="E194" s="4"/>
      <c r="F194" s="4"/>
      <c r="G194" s="4"/>
      <c r="H194" s="1" t="s">
        <v>920</v>
      </c>
      <c r="I194" s="1" t="s">
        <v>921</v>
      </c>
      <c r="J194" s="4"/>
      <c r="K194" s="4"/>
      <c r="L194" s="3"/>
      <c r="M194" s="3"/>
      <c r="N194" s="3"/>
    </row>
    <row r="195" spans="1:14">
      <c r="A195" s="3" t="s">
        <v>885</v>
      </c>
      <c r="B195" s="33" t="s">
        <v>886</v>
      </c>
      <c r="C195" s="40">
        <v>8000</v>
      </c>
      <c r="D195" s="1">
        <f t="shared" si="2"/>
        <v>4800</v>
      </c>
      <c r="E195" s="4"/>
      <c r="F195" s="4"/>
      <c r="G195" s="4"/>
      <c r="H195" s="1" t="s">
        <v>920</v>
      </c>
      <c r="I195" s="1" t="s">
        <v>921</v>
      </c>
      <c r="J195" s="4"/>
      <c r="K195" s="4"/>
      <c r="L195" s="3"/>
      <c r="M195" s="3"/>
      <c r="N195" s="3"/>
    </row>
    <row r="196" spans="1:14">
      <c r="A196" s="3" t="s">
        <v>887</v>
      </c>
      <c r="B196" s="33" t="s">
        <v>888</v>
      </c>
      <c r="C196" s="40">
        <v>8000</v>
      </c>
      <c r="D196" s="1">
        <f t="shared" si="2"/>
        <v>4800</v>
      </c>
      <c r="E196" s="4"/>
      <c r="F196" s="4"/>
      <c r="G196" s="4"/>
      <c r="H196" s="1" t="s">
        <v>920</v>
      </c>
      <c r="I196" s="1" t="s">
        <v>921</v>
      </c>
      <c r="J196" s="4"/>
      <c r="K196" s="4"/>
      <c r="L196" s="3"/>
      <c r="M196" s="3"/>
      <c r="N196" s="3"/>
    </row>
    <row r="197" spans="1:14">
      <c r="A197" s="3" t="s">
        <v>889</v>
      </c>
      <c r="B197" s="33" t="s">
        <v>890</v>
      </c>
      <c r="C197" s="40">
        <v>8000</v>
      </c>
      <c r="D197" s="1">
        <f t="shared" si="2"/>
        <v>4800</v>
      </c>
      <c r="E197" s="4"/>
      <c r="F197" s="4"/>
      <c r="G197" s="4"/>
      <c r="H197" s="1" t="s">
        <v>920</v>
      </c>
      <c r="I197" s="1" t="s">
        <v>921</v>
      </c>
      <c r="J197" s="4"/>
      <c r="K197" s="4"/>
      <c r="L197" s="3"/>
      <c r="M197" s="3"/>
      <c r="N197" s="3"/>
    </row>
    <row r="198" spans="1:14">
      <c r="A198" s="3" t="s">
        <v>891</v>
      </c>
      <c r="B198" s="33" t="s">
        <v>892</v>
      </c>
      <c r="C198" s="40">
        <v>8000</v>
      </c>
      <c r="D198" s="1">
        <f t="shared" si="2"/>
        <v>4800</v>
      </c>
      <c r="E198" s="4"/>
      <c r="F198" s="4"/>
      <c r="G198" s="4"/>
      <c r="H198" s="1" t="s">
        <v>920</v>
      </c>
      <c r="I198" s="1" t="s">
        <v>921</v>
      </c>
      <c r="J198" s="4"/>
      <c r="K198" s="4"/>
      <c r="L198" s="3"/>
      <c r="M198" s="3"/>
      <c r="N198" s="3"/>
    </row>
    <row r="199" spans="1:14">
      <c r="A199" s="3" t="s">
        <v>893</v>
      </c>
      <c r="B199" s="33" t="s">
        <v>894</v>
      </c>
      <c r="C199" s="40">
        <v>8000</v>
      </c>
      <c r="D199" s="1">
        <f t="shared" si="2"/>
        <v>4800</v>
      </c>
      <c r="E199" s="4"/>
      <c r="F199" s="4"/>
      <c r="G199" s="4"/>
      <c r="H199" s="1" t="s">
        <v>920</v>
      </c>
      <c r="I199" s="1" t="s">
        <v>921</v>
      </c>
      <c r="J199" s="4"/>
      <c r="K199" s="4"/>
      <c r="L199" s="3"/>
      <c r="M199" s="3"/>
      <c r="N199" s="3"/>
    </row>
    <row r="200" spans="1:14">
      <c r="A200" s="3" t="s">
        <v>895</v>
      </c>
      <c r="B200" s="33" t="s">
        <v>896</v>
      </c>
      <c r="C200" s="40">
        <v>8000</v>
      </c>
      <c r="D200" s="1">
        <f t="shared" si="2"/>
        <v>4800</v>
      </c>
      <c r="E200" s="4"/>
      <c r="F200" s="4"/>
      <c r="G200" s="4"/>
      <c r="H200" s="1" t="s">
        <v>920</v>
      </c>
      <c r="I200" s="1" t="s">
        <v>921</v>
      </c>
      <c r="J200" s="4"/>
      <c r="K200" s="4"/>
      <c r="L200" s="3"/>
      <c r="M200" s="3"/>
      <c r="N200" s="3"/>
    </row>
    <row r="201" spans="1:14">
      <c r="A201" s="3" t="s">
        <v>897</v>
      </c>
      <c r="B201" s="33" t="s">
        <v>898</v>
      </c>
      <c r="C201" s="40">
        <v>8000</v>
      </c>
      <c r="D201" s="1">
        <f t="shared" si="2"/>
        <v>4800</v>
      </c>
      <c r="E201" s="4"/>
      <c r="F201" s="4"/>
      <c r="G201" s="4"/>
      <c r="H201" s="1" t="s">
        <v>920</v>
      </c>
      <c r="I201" s="1" t="s">
        <v>921</v>
      </c>
      <c r="J201" s="4"/>
      <c r="K201" s="4"/>
      <c r="L201" s="3"/>
      <c r="M201" s="3"/>
      <c r="N201" s="3"/>
    </row>
    <row r="202" spans="1:14">
      <c r="A202" s="3" t="s">
        <v>899</v>
      </c>
      <c r="B202" s="33" t="s">
        <v>900</v>
      </c>
      <c r="C202" s="40">
        <v>8000</v>
      </c>
      <c r="D202" s="1">
        <f t="shared" si="2"/>
        <v>4800</v>
      </c>
      <c r="E202" s="4"/>
      <c r="F202" s="4"/>
      <c r="G202" s="4"/>
      <c r="H202" s="1" t="s">
        <v>920</v>
      </c>
      <c r="I202" s="1" t="s">
        <v>921</v>
      </c>
      <c r="J202" s="4"/>
      <c r="K202" s="4"/>
      <c r="L202" s="3"/>
      <c r="M202" s="3"/>
      <c r="N202" s="3"/>
    </row>
    <row r="203" spans="1:14">
      <c r="A203" s="3" t="s">
        <v>901</v>
      </c>
      <c r="B203" s="33" t="s">
        <v>902</v>
      </c>
      <c r="C203" s="40">
        <v>8000</v>
      </c>
      <c r="D203" s="1">
        <f t="shared" si="2"/>
        <v>4800</v>
      </c>
      <c r="E203" s="4"/>
      <c r="F203" s="4"/>
      <c r="G203" s="4"/>
      <c r="H203" s="1" t="s">
        <v>920</v>
      </c>
      <c r="I203" s="1" t="s">
        <v>921</v>
      </c>
      <c r="J203" s="4"/>
      <c r="K203" s="4"/>
      <c r="L203" s="3"/>
      <c r="M203" s="3"/>
      <c r="N203" s="3"/>
    </row>
    <row r="204" spans="1:14">
      <c r="A204" s="87" t="s">
        <v>929</v>
      </c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8"/>
      <c r="M204" s="3"/>
      <c r="N204" s="3"/>
    </row>
    <row r="205" spans="1:14">
      <c r="A205" s="3" t="s">
        <v>903</v>
      </c>
      <c r="B205" s="33" t="s">
        <v>904</v>
      </c>
      <c r="C205" s="40">
        <v>8000</v>
      </c>
      <c r="D205" s="1">
        <f t="shared" si="2"/>
        <v>4800</v>
      </c>
      <c r="E205" s="4"/>
      <c r="F205" s="4"/>
      <c r="G205" s="4"/>
      <c r="H205" s="1" t="s">
        <v>920</v>
      </c>
      <c r="I205" s="1" t="s">
        <v>921</v>
      </c>
      <c r="J205" s="1" t="s">
        <v>928</v>
      </c>
      <c r="K205" s="4"/>
      <c r="L205" s="3"/>
      <c r="M205" s="3"/>
      <c r="N205" s="3"/>
    </row>
  </sheetData>
  <mergeCells count="13">
    <mergeCell ref="A193:L193"/>
    <mergeCell ref="A204:L204"/>
    <mergeCell ref="A3:L3"/>
    <mergeCell ref="A43:L43"/>
    <mergeCell ref="A67:L67"/>
    <mergeCell ref="A103:L103"/>
    <mergeCell ref="A120:L120"/>
    <mergeCell ref="A131:L131"/>
    <mergeCell ref="E2:K2"/>
    <mergeCell ref="A145:L145"/>
    <mergeCell ref="A161:L161"/>
    <mergeCell ref="A169:L169"/>
    <mergeCell ref="A184:L184"/>
  </mergeCells>
  <phoneticPr fontId="2" type="noConversion"/>
  <hyperlinks>
    <hyperlink ref="P68" r:id="rId1" display="https://www.lacelab.com/collections/flat-laces/products/grey-white-multi-color-flat-laces"/>
  </hyperlinks>
  <pageMargins left="0.31496062992125984" right="0.31496062992125984" top="0.74803149606299213" bottom="0.74803149606299213" header="0.31496062992125984" footer="0.31496062992125984"/>
  <pageSetup paperSize="9" orientation="portrait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H87"/>
  <sheetViews>
    <sheetView topLeftCell="A50" workbookViewId="0">
      <selection sqref="A1:B84"/>
    </sheetView>
  </sheetViews>
  <sheetFormatPr defaultRowHeight="16.5"/>
  <cols>
    <col min="1" max="1" width="8.5" bestFit="1" customWidth="1"/>
    <col min="2" max="2" width="41.75" customWidth="1"/>
    <col min="3" max="3" width="8.5" bestFit="1" customWidth="1"/>
    <col min="5" max="5" width="8.5" style="59" bestFit="1" customWidth="1"/>
  </cols>
  <sheetData>
    <row r="1" spans="1:8">
      <c r="A1" s="5">
        <v>72004001</v>
      </c>
      <c r="B1" s="6" t="s">
        <v>987</v>
      </c>
      <c r="C1" s="5">
        <v>72004001</v>
      </c>
      <c r="D1" s="57" t="s">
        <v>980</v>
      </c>
      <c r="E1" s="58">
        <v>1</v>
      </c>
      <c r="F1" s="57" t="s">
        <v>980</v>
      </c>
      <c r="G1" t="s">
        <v>984</v>
      </c>
      <c r="H1" t="str">
        <f>G1&amp;"-"&amp;B1&amp;" 4oz"</f>
        <v>#001-#001-Leather Paint Black 4oz 4oz</v>
      </c>
    </row>
    <row r="2" spans="1:8">
      <c r="A2" s="5">
        <v>72004004</v>
      </c>
      <c r="B2" s="6" t="s">
        <v>988</v>
      </c>
      <c r="C2" s="5">
        <v>72004004</v>
      </c>
      <c r="D2" s="57"/>
      <c r="E2" s="58">
        <v>4</v>
      </c>
      <c r="F2" s="57"/>
      <c r="G2" t="s">
        <v>985</v>
      </c>
      <c r="H2" t="str">
        <f t="shared" ref="H2:H65" si="0">G2&amp;"-"&amp;B2&amp;" 4oz"</f>
        <v>#004-#004-Leather Paint Neutral 4oz 4oz</v>
      </c>
    </row>
    <row r="3" spans="1:8">
      <c r="A3" s="5">
        <v>72004005</v>
      </c>
      <c r="B3" s="6" t="s">
        <v>989</v>
      </c>
      <c r="C3" s="5">
        <v>72004005</v>
      </c>
      <c r="D3" s="57"/>
      <c r="E3" s="58">
        <v>5</v>
      </c>
      <c r="F3" s="57"/>
      <c r="G3" t="s">
        <v>986</v>
      </c>
      <c r="H3" t="str">
        <f t="shared" si="0"/>
        <v>#005-#005-Leather Paint White 4oz 4oz</v>
      </c>
    </row>
    <row r="4" spans="1:8">
      <c r="A4" s="5">
        <v>72004014</v>
      </c>
      <c r="B4" s="6" t="s">
        <v>990</v>
      </c>
      <c r="C4" s="5">
        <v>72004014</v>
      </c>
      <c r="D4" s="57"/>
      <c r="E4" s="58">
        <v>14</v>
      </c>
      <c r="F4" s="57"/>
      <c r="G4" t="str">
        <f t="shared" ref="G4:G28" si="1">"#0"&amp;E4</f>
        <v>#014</v>
      </c>
      <c r="H4" t="str">
        <f t="shared" si="0"/>
        <v>#014-#014-Leather Paint Brown 4oz 4oz</v>
      </c>
    </row>
    <row r="5" spans="1:8">
      <c r="A5" s="5">
        <v>72004015</v>
      </c>
      <c r="B5" s="6" t="s">
        <v>991</v>
      </c>
      <c r="C5" s="5">
        <v>72004015</v>
      </c>
      <c r="D5" s="57"/>
      <c r="E5" s="58">
        <v>15</v>
      </c>
      <c r="F5" s="57"/>
      <c r="G5" t="str">
        <f t="shared" si="1"/>
        <v>#015</v>
      </c>
      <c r="H5" t="str">
        <f t="shared" si="0"/>
        <v>#015-#015-Leather Paint Chocolate 4oz 4oz</v>
      </c>
    </row>
    <row r="6" spans="1:8">
      <c r="A6" s="5">
        <v>72004018</v>
      </c>
      <c r="B6" s="6" t="s">
        <v>992</v>
      </c>
      <c r="C6" s="5">
        <v>72004018</v>
      </c>
      <c r="D6" s="57"/>
      <c r="E6" s="58">
        <v>18</v>
      </c>
      <c r="F6" s="57"/>
      <c r="G6" t="str">
        <f t="shared" si="1"/>
        <v>#018</v>
      </c>
      <c r="H6" t="str">
        <f t="shared" si="0"/>
        <v>#018-#018-Leather Paint DarkBrown 4oz 4oz</v>
      </c>
    </row>
    <row r="7" spans="1:8">
      <c r="A7" s="5">
        <v>72004019</v>
      </c>
      <c r="B7" s="6" t="s">
        <v>993</v>
      </c>
      <c r="C7" s="5">
        <v>72004019</v>
      </c>
      <c r="D7" s="57"/>
      <c r="E7" s="58">
        <v>19</v>
      </c>
      <c r="F7" s="57"/>
      <c r="G7" t="str">
        <f t="shared" si="1"/>
        <v>#019</v>
      </c>
      <c r="H7" t="str">
        <f t="shared" si="0"/>
        <v>#019-#019-Leather Paint English Tan 4oz 4oz</v>
      </c>
    </row>
    <row r="8" spans="1:8">
      <c r="A8" s="5">
        <v>72004021</v>
      </c>
      <c r="B8" s="6" t="s">
        <v>994</v>
      </c>
      <c r="C8" s="5">
        <v>72004021</v>
      </c>
      <c r="D8" s="57"/>
      <c r="E8" s="58">
        <v>21</v>
      </c>
      <c r="F8" s="57"/>
      <c r="G8" t="str">
        <f t="shared" si="1"/>
        <v>#021</v>
      </c>
      <c r="H8" t="str">
        <f t="shared" si="0"/>
        <v>#021-#021-Leather Paint LightBrown 4oz 4oz</v>
      </c>
    </row>
    <row r="9" spans="1:8">
      <c r="A9" s="5">
        <v>72004024</v>
      </c>
      <c r="B9" s="6" t="s">
        <v>995</v>
      </c>
      <c r="C9" s="5">
        <v>72004024</v>
      </c>
      <c r="D9" s="57"/>
      <c r="E9" s="58">
        <v>24</v>
      </c>
      <c r="F9" s="57"/>
      <c r="G9" t="str">
        <f t="shared" si="1"/>
        <v>#024</v>
      </c>
      <c r="H9" t="str">
        <f t="shared" si="0"/>
        <v>#024-#024-Leather Paint Orange 4oz 4oz</v>
      </c>
    </row>
    <row r="10" spans="1:8">
      <c r="A10" s="5">
        <v>72004027</v>
      </c>
      <c r="B10" s="6" t="s">
        <v>996</v>
      </c>
      <c r="C10" s="5">
        <v>72004027</v>
      </c>
      <c r="D10" s="57"/>
      <c r="E10" s="58">
        <v>27</v>
      </c>
      <c r="F10" s="57"/>
      <c r="G10" t="str">
        <f t="shared" si="1"/>
        <v>#027</v>
      </c>
      <c r="H10" t="str">
        <f t="shared" si="0"/>
        <v>#027-#027-Leather Paint SADDLE 4oz 4oz</v>
      </c>
    </row>
    <row r="11" spans="1:8">
      <c r="A11" s="5">
        <v>72004029</v>
      </c>
      <c r="B11" s="6" t="s">
        <v>997</v>
      </c>
      <c r="C11" s="5">
        <v>72004029</v>
      </c>
      <c r="D11" s="57"/>
      <c r="E11" s="58">
        <v>29</v>
      </c>
      <c r="F11" s="57"/>
      <c r="G11" t="str">
        <f t="shared" si="1"/>
        <v>#029</v>
      </c>
      <c r="H11" t="str">
        <f t="shared" si="0"/>
        <v>#029-#029-Leather Paint Tan 4oz 4oz</v>
      </c>
    </row>
    <row r="12" spans="1:8">
      <c r="A12" s="5">
        <v>72004040</v>
      </c>
      <c r="B12" s="6" t="s">
        <v>998</v>
      </c>
      <c r="C12" s="5">
        <v>72004040</v>
      </c>
      <c r="D12" s="57"/>
      <c r="E12" s="58">
        <v>40</v>
      </c>
      <c r="F12" s="57"/>
      <c r="G12" t="str">
        <f t="shared" si="1"/>
        <v>#040</v>
      </c>
      <c r="H12" t="str">
        <f t="shared" si="0"/>
        <v>#040-#040-Leather Paint BLUE 4oz 4oz</v>
      </c>
    </row>
    <row r="13" spans="1:8">
      <c r="A13" s="5">
        <v>72004041</v>
      </c>
      <c r="B13" s="6" t="s">
        <v>999</v>
      </c>
      <c r="C13" s="5">
        <v>72004041</v>
      </c>
      <c r="D13" s="57"/>
      <c r="E13" s="58">
        <v>41</v>
      </c>
      <c r="F13" s="57"/>
      <c r="G13" t="str">
        <f t="shared" si="1"/>
        <v>#041</v>
      </c>
      <c r="H13" t="str">
        <f t="shared" si="0"/>
        <v>#041-#041-Leather Paint LightBLUE 4oz 4oz</v>
      </c>
    </row>
    <row r="14" spans="1:8">
      <c r="A14" s="5">
        <v>72004042</v>
      </c>
      <c r="B14" s="6" t="s">
        <v>1000</v>
      </c>
      <c r="C14" s="5">
        <v>72004042</v>
      </c>
      <c r="D14" s="57"/>
      <c r="E14" s="58">
        <v>42</v>
      </c>
      <c r="F14" s="57"/>
      <c r="G14" t="str">
        <f t="shared" si="1"/>
        <v>#042</v>
      </c>
      <c r="H14" t="str">
        <f t="shared" si="0"/>
        <v>#042-#042-Leather Paint NavyBlue 4oz 4oz</v>
      </c>
    </row>
    <row r="15" spans="1:8">
      <c r="A15" s="5">
        <v>72004043</v>
      </c>
      <c r="B15" s="6" t="s">
        <v>1001</v>
      </c>
      <c r="C15" s="5">
        <v>72004043</v>
      </c>
      <c r="D15" s="57"/>
      <c r="E15" s="58">
        <v>43</v>
      </c>
      <c r="F15" s="57"/>
      <c r="G15" t="str">
        <f t="shared" si="1"/>
        <v>#043</v>
      </c>
      <c r="H15" t="str">
        <f t="shared" si="0"/>
        <v>#043-#043-Leather Paint Turgouise 4oz 4oz</v>
      </c>
    </row>
    <row r="16" spans="1:8">
      <c r="A16" s="5">
        <v>72004045</v>
      </c>
      <c r="B16" s="6" t="s">
        <v>1002</v>
      </c>
      <c r="C16" s="5">
        <v>72004045</v>
      </c>
      <c r="D16" s="57"/>
      <c r="E16" s="58">
        <v>45</v>
      </c>
      <c r="F16" s="57"/>
      <c r="G16" t="str">
        <f t="shared" si="1"/>
        <v>#045</v>
      </c>
      <c r="H16" t="str">
        <f t="shared" si="0"/>
        <v>#045-#045-Leather Paint Blue Turquoise 4oz 4oz</v>
      </c>
    </row>
    <row r="17" spans="1:8">
      <c r="A17" s="5">
        <v>72004047</v>
      </c>
      <c r="B17" s="6" t="s">
        <v>1003</v>
      </c>
      <c r="C17" s="5">
        <v>72004047</v>
      </c>
      <c r="D17" s="57"/>
      <c r="E17" s="58">
        <v>47</v>
      </c>
      <c r="F17" s="57"/>
      <c r="G17" t="str">
        <f t="shared" si="1"/>
        <v>#047</v>
      </c>
      <c r="H17" t="str">
        <f t="shared" si="0"/>
        <v>#047-#047-Leather Paint Purple 4oz 4oz</v>
      </c>
    </row>
    <row r="18" spans="1:8">
      <c r="A18" s="5">
        <v>72004050</v>
      </c>
      <c r="B18" s="6" t="s">
        <v>1004</v>
      </c>
      <c r="C18" s="5">
        <v>72004050</v>
      </c>
      <c r="D18" s="57"/>
      <c r="E18" s="58">
        <v>50</v>
      </c>
      <c r="F18" s="57"/>
      <c r="G18" t="str">
        <f t="shared" si="1"/>
        <v>#050</v>
      </c>
      <c r="H18" t="str">
        <f t="shared" si="0"/>
        <v>#050-#050-Leather Paint Green 4oz 4oz</v>
      </c>
    </row>
    <row r="19" spans="1:8">
      <c r="A19" s="5">
        <v>72004052</v>
      </c>
      <c r="B19" s="6" t="s">
        <v>1005</v>
      </c>
      <c r="C19" s="5">
        <v>72004052</v>
      </c>
      <c r="D19" s="57"/>
      <c r="E19" s="58">
        <v>52</v>
      </c>
      <c r="F19" s="57"/>
      <c r="G19" t="str">
        <f t="shared" si="1"/>
        <v>#052</v>
      </c>
      <c r="H19" t="str">
        <f t="shared" si="0"/>
        <v>#052-#052-Leather Paint MidniteGreen 4oz 4oz</v>
      </c>
    </row>
    <row r="20" spans="1:8">
      <c r="A20" s="5">
        <v>72004060</v>
      </c>
      <c r="B20" s="6" t="s">
        <v>1006</v>
      </c>
      <c r="C20" s="5">
        <v>72004060</v>
      </c>
      <c r="D20" s="57"/>
      <c r="E20" s="58">
        <v>60</v>
      </c>
      <c r="F20" s="57"/>
      <c r="G20" t="str">
        <f t="shared" si="1"/>
        <v>#060</v>
      </c>
      <c r="H20" t="str">
        <f t="shared" si="0"/>
        <v>#060-#060-Leather Paint Burgundy 4oz 4oz</v>
      </c>
    </row>
    <row r="21" spans="1:8">
      <c r="A21" s="5">
        <v>72004064</v>
      </c>
      <c r="B21" s="6" t="s">
        <v>1007</v>
      </c>
      <c r="C21" s="5">
        <v>72004064</v>
      </c>
      <c r="D21" s="57"/>
      <c r="E21" s="58">
        <v>64</v>
      </c>
      <c r="F21" s="57"/>
      <c r="G21" t="str">
        <f t="shared" si="1"/>
        <v>#064</v>
      </c>
      <c r="H21" t="str">
        <f t="shared" si="0"/>
        <v>#064-#064-Leather Paint Red 4oz 4oz</v>
      </c>
    </row>
    <row r="22" spans="1:8">
      <c r="A22" s="5">
        <v>72004070</v>
      </c>
      <c r="B22" s="6" t="s">
        <v>1008</v>
      </c>
      <c r="C22" s="5">
        <v>72004070</v>
      </c>
      <c r="D22" s="57"/>
      <c r="E22" s="58">
        <v>70</v>
      </c>
      <c r="F22" s="57"/>
      <c r="G22" t="str">
        <f t="shared" si="1"/>
        <v>#070</v>
      </c>
      <c r="H22" t="str">
        <f t="shared" si="0"/>
        <v>#070-#070-Leather Paint Beige 4oz 4oz</v>
      </c>
    </row>
    <row r="23" spans="1:8">
      <c r="A23" s="5">
        <v>72004072</v>
      </c>
      <c r="B23" s="6" t="s">
        <v>1009</v>
      </c>
      <c r="C23" s="5">
        <v>72004072</v>
      </c>
      <c r="D23" s="57"/>
      <c r="E23" s="58">
        <v>72</v>
      </c>
      <c r="F23" s="57"/>
      <c r="G23" t="str">
        <f t="shared" si="1"/>
        <v>#072</v>
      </c>
      <c r="H23" t="str">
        <f t="shared" si="0"/>
        <v>#072-#072-Leather Paint Gold 4oz 4oz</v>
      </c>
    </row>
    <row r="24" spans="1:8">
      <c r="A24" s="5">
        <v>72004075</v>
      </c>
      <c r="B24" s="6" t="s">
        <v>1010</v>
      </c>
      <c r="C24" s="5">
        <v>72004075</v>
      </c>
      <c r="D24" s="57"/>
      <c r="E24" s="58">
        <v>75</v>
      </c>
      <c r="F24" s="57"/>
      <c r="G24" t="str">
        <f t="shared" si="1"/>
        <v>#075</v>
      </c>
      <c r="H24" t="str">
        <f t="shared" si="0"/>
        <v>#075-#075-Leather Paint Yellow 4oz 4oz</v>
      </c>
    </row>
    <row r="25" spans="1:8">
      <c r="A25" s="5">
        <v>72004080</v>
      </c>
      <c r="B25" s="6" t="s">
        <v>1011</v>
      </c>
      <c r="C25" s="5">
        <v>72004080</v>
      </c>
      <c r="D25" s="57"/>
      <c r="E25" s="58">
        <v>80</v>
      </c>
      <c r="F25" s="57"/>
      <c r="G25" t="str">
        <f t="shared" si="1"/>
        <v>#080</v>
      </c>
      <c r="H25" t="str">
        <f t="shared" si="0"/>
        <v>#080-#080-Leather Paint DarkGrey 4oz 4oz</v>
      </c>
    </row>
    <row r="26" spans="1:8">
      <c r="A26" s="5">
        <v>72004081</v>
      </c>
      <c r="B26" s="6" t="s">
        <v>1012</v>
      </c>
      <c r="C26" s="5">
        <v>72004081</v>
      </c>
      <c r="D26" s="57"/>
      <c r="E26" s="58">
        <v>81</v>
      </c>
      <c r="F26" s="57"/>
      <c r="G26" t="str">
        <f t="shared" si="1"/>
        <v>#081</v>
      </c>
      <c r="H26" t="str">
        <f t="shared" si="0"/>
        <v>#081-#081-Leather Paint Grey 4oz 4oz</v>
      </c>
    </row>
    <row r="27" spans="1:8">
      <c r="A27" s="5">
        <v>72004082</v>
      </c>
      <c r="B27" s="6" t="s">
        <v>1013</v>
      </c>
      <c r="C27" s="5">
        <v>72004082</v>
      </c>
      <c r="D27" s="57"/>
      <c r="E27" s="58">
        <v>82</v>
      </c>
      <c r="F27" s="57"/>
      <c r="G27" t="str">
        <f t="shared" si="1"/>
        <v>#082</v>
      </c>
      <c r="H27" t="str">
        <f t="shared" si="0"/>
        <v>#082-#082-Leather Paint LightGrey 4oz 4oz</v>
      </c>
    </row>
    <row r="28" spans="1:8">
      <c r="A28" s="5">
        <v>72004093</v>
      </c>
      <c r="B28" s="6" t="s">
        <v>1014</v>
      </c>
      <c r="C28" s="5">
        <v>72004093</v>
      </c>
      <c r="D28" s="57"/>
      <c r="E28" s="58">
        <v>93</v>
      </c>
      <c r="F28" s="57"/>
      <c r="G28" t="str">
        <f t="shared" si="1"/>
        <v>#093</v>
      </c>
      <c r="H28" t="str">
        <f t="shared" si="0"/>
        <v>#093-#093-Leather Paint Brick 4oz 4oz</v>
      </c>
    </row>
    <row r="29" spans="1:8">
      <c r="A29" s="5">
        <v>72004101</v>
      </c>
      <c r="B29" s="6" t="s">
        <v>1015</v>
      </c>
      <c r="C29" s="5">
        <v>72004101</v>
      </c>
      <c r="D29" s="57"/>
      <c r="E29" s="58">
        <v>101</v>
      </c>
      <c r="F29" s="57"/>
      <c r="G29" t="str">
        <f t="shared" ref="G29:G60" si="2">"#"&amp;E29</f>
        <v>#101</v>
      </c>
      <c r="H29" t="str">
        <f t="shared" si="0"/>
        <v>#101-#101-Leather Paint Flat Black 4oz 4oz</v>
      </c>
    </row>
    <row r="30" spans="1:8">
      <c r="A30" s="5">
        <v>72004105</v>
      </c>
      <c r="B30" s="6" t="s">
        <v>1016</v>
      </c>
      <c r="C30" s="5">
        <v>72004105</v>
      </c>
      <c r="D30" s="57"/>
      <c r="E30" s="58">
        <v>105</v>
      </c>
      <c r="F30" s="57"/>
      <c r="G30" t="str">
        <f t="shared" si="2"/>
        <v>#105</v>
      </c>
      <c r="H30" t="str">
        <f t="shared" si="0"/>
        <v>#105-#105-Leather Paint Flat White 4oz 4oz</v>
      </c>
    </row>
    <row r="31" spans="1:8">
      <c r="A31" s="5">
        <v>72004141</v>
      </c>
      <c r="B31" s="6" t="s">
        <v>1017</v>
      </c>
      <c r="C31" s="5">
        <v>72001141</v>
      </c>
      <c r="D31" s="57"/>
      <c r="E31" s="58" t="s">
        <v>983</v>
      </c>
      <c r="F31" s="57"/>
      <c r="G31" t="str">
        <f t="shared" si="2"/>
        <v>#141</v>
      </c>
      <c r="H31" t="str">
        <f t="shared" si="0"/>
        <v>#141-#141-Leather Paint Copper 4oz 4oz</v>
      </c>
    </row>
    <row r="32" spans="1:8">
      <c r="A32" s="5">
        <v>72004142</v>
      </c>
      <c r="B32" s="6" t="s">
        <v>1018</v>
      </c>
      <c r="C32" s="5">
        <v>72001142</v>
      </c>
      <c r="D32" s="57"/>
      <c r="E32" s="58" t="s">
        <v>981</v>
      </c>
      <c r="F32" s="57"/>
      <c r="G32" t="str">
        <f t="shared" si="2"/>
        <v>#142</v>
      </c>
      <c r="H32" t="str">
        <f t="shared" si="0"/>
        <v>#142-#142-Leather Paint Bronze 4oz 4oz</v>
      </c>
    </row>
    <row r="33" spans="1:8">
      <c r="A33" s="5">
        <v>72004143</v>
      </c>
      <c r="B33" s="6" t="s">
        <v>1019</v>
      </c>
      <c r="C33" s="5">
        <v>72001143</v>
      </c>
      <c r="D33" s="57"/>
      <c r="E33" s="58" t="s">
        <v>982</v>
      </c>
      <c r="F33" s="57"/>
      <c r="G33" t="str">
        <f t="shared" si="2"/>
        <v>#143</v>
      </c>
      <c r="H33" t="str">
        <f t="shared" si="0"/>
        <v>#143-#143-Leather Paint Pewter 4oz 4oz</v>
      </c>
    </row>
    <row r="34" spans="1:8">
      <c r="A34" s="5">
        <v>72004150</v>
      </c>
      <c r="B34" s="6" t="s">
        <v>1020</v>
      </c>
      <c r="C34" s="5">
        <v>72004150</v>
      </c>
      <c r="D34" s="57"/>
      <c r="E34" s="58">
        <v>150</v>
      </c>
      <c r="F34" s="57"/>
      <c r="G34" t="str">
        <f t="shared" si="2"/>
        <v>#150</v>
      </c>
      <c r="H34" t="str">
        <f t="shared" si="0"/>
        <v>#150-#150-Leather Paint SILVER 4oz 4oz</v>
      </c>
    </row>
    <row r="35" spans="1:8">
      <c r="A35" s="5">
        <v>72004155</v>
      </c>
      <c r="B35" s="6" t="s">
        <v>1021</v>
      </c>
      <c r="C35" s="5">
        <v>72004155</v>
      </c>
      <c r="D35" s="57"/>
      <c r="E35" s="58">
        <v>155</v>
      </c>
      <c r="F35" s="57"/>
      <c r="G35" t="str">
        <f t="shared" si="2"/>
        <v>#155</v>
      </c>
      <c r="H35" t="str">
        <f t="shared" si="0"/>
        <v>#155-#155-Leather Paint Bone 4oz 4oz</v>
      </c>
    </row>
    <row r="36" spans="1:8">
      <c r="A36" s="5">
        <v>72004156</v>
      </c>
      <c r="B36" s="6" t="s">
        <v>1022</v>
      </c>
      <c r="C36" s="5">
        <v>72004156</v>
      </c>
      <c r="D36" s="57"/>
      <c r="E36" s="58">
        <v>156</v>
      </c>
      <c r="F36" s="57"/>
      <c r="G36" t="str">
        <f t="shared" si="2"/>
        <v>#156</v>
      </c>
      <c r="H36" t="str">
        <f t="shared" si="0"/>
        <v>#156-#156-Leather Paint Champagne 4oz 4oz</v>
      </c>
    </row>
    <row r="37" spans="1:8">
      <c r="A37" s="5">
        <v>72004157</v>
      </c>
      <c r="B37" s="6" t="s">
        <v>1023</v>
      </c>
      <c r="C37" s="5">
        <v>72004157</v>
      </c>
      <c r="D37" s="57"/>
      <c r="E37" s="58">
        <v>157</v>
      </c>
      <c r="F37" s="57"/>
      <c r="G37" t="str">
        <f t="shared" si="2"/>
        <v>#157</v>
      </c>
      <c r="H37" t="str">
        <f t="shared" si="0"/>
        <v>#157-#157-Leather Paint DarkBone 4oz 4oz</v>
      </c>
    </row>
    <row r="38" spans="1:8">
      <c r="A38" s="5">
        <v>72004159</v>
      </c>
      <c r="B38" s="6" t="s">
        <v>1024</v>
      </c>
      <c r="C38" s="5">
        <v>72004159</v>
      </c>
      <c r="D38" s="57"/>
      <c r="E38" s="58">
        <v>159</v>
      </c>
      <c r="F38" s="57"/>
      <c r="G38" t="str">
        <f t="shared" si="2"/>
        <v>#159</v>
      </c>
      <c r="H38" t="str">
        <f t="shared" si="0"/>
        <v>#159-#159-Leather Paint Mist 4oz 4oz</v>
      </c>
    </row>
    <row r="39" spans="1:8">
      <c r="A39" s="5">
        <v>72004160</v>
      </c>
      <c r="B39" s="6" t="s">
        <v>1025</v>
      </c>
      <c r="C39" s="5">
        <v>72004160</v>
      </c>
      <c r="D39" s="57"/>
      <c r="E39" s="58">
        <v>160</v>
      </c>
      <c r="F39" s="57"/>
      <c r="G39" t="str">
        <f t="shared" si="2"/>
        <v>#160</v>
      </c>
      <c r="H39" t="str">
        <f t="shared" si="0"/>
        <v>#160-#160-Leather Paint Vanilla 4oz 4oz</v>
      </c>
    </row>
    <row r="40" spans="1:8">
      <c r="A40" s="5">
        <v>72004161</v>
      </c>
      <c r="B40" s="6" t="s">
        <v>1026</v>
      </c>
      <c r="C40" s="5">
        <v>72004161</v>
      </c>
      <c r="D40" s="57"/>
      <c r="E40" s="58">
        <v>161</v>
      </c>
      <c r="F40" s="57"/>
      <c r="G40" t="str">
        <f t="shared" si="2"/>
        <v>#161</v>
      </c>
      <c r="H40" t="str">
        <f t="shared" si="0"/>
        <v>#161-#161-Leather Paint Natural 4oz 4oz</v>
      </c>
    </row>
    <row r="41" spans="1:8">
      <c r="A41" s="5">
        <v>72004162</v>
      </c>
      <c r="B41" s="6" t="s">
        <v>1027</v>
      </c>
      <c r="C41" s="5">
        <v>72004162</v>
      </c>
      <c r="D41" s="57"/>
      <c r="E41" s="58">
        <v>162</v>
      </c>
      <c r="F41" s="57"/>
      <c r="G41" t="str">
        <f t="shared" si="2"/>
        <v>#162</v>
      </c>
      <c r="H41" t="str">
        <f t="shared" si="0"/>
        <v>#162-#162-Leather Paint Cream 4oz 4oz</v>
      </c>
    </row>
    <row r="42" spans="1:8">
      <c r="A42" s="5">
        <v>72004163</v>
      </c>
      <c r="B42" s="6" t="s">
        <v>1028</v>
      </c>
      <c r="C42" s="5">
        <v>72004163</v>
      </c>
      <c r="D42" s="57"/>
      <c r="E42" s="58">
        <v>163</v>
      </c>
      <c r="F42" s="57"/>
      <c r="G42" t="str">
        <f t="shared" si="2"/>
        <v>#163</v>
      </c>
      <c r="H42" t="str">
        <f t="shared" si="0"/>
        <v>#163-#163-Leather Paint CapazioTan 4oz 4oz</v>
      </c>
    </row>
    <row r="43" spans="1:8">
      <c r="A43" s="5">
        <v>72004165</v>
      </c>
      <c r="B43" s="6" t="s">
        <v>1029</v>
      </c>
      <c r="C43" s="5">
        <v>72004165</v>
      </c>
      <c r="D43" s="57"/>
      <c r="E43" s="58">
        <v>165</v>
      </c>
      <c r="F43" s="57"/>
      <c r="G43" t="str">
        <f t="shared" si="2"/>
        <v>#165</v>
      </c>
      <c r="H43" t="str">
        <f t="shared" si="0"/>
        <v>#165-#165-Leather Paint BeigeTaupe 4oz 4oz</v>
      </c>
    </row>
    <row r="44" spans="1:8">
      <c r="A44" s="5">
        <v>72004166</v>
      </c>
      <c r="B44" s="6" t="s">
        <v>1030</v>
      </c>
      <c r="C44" s="5">
        <v>72004166</v>
      </c>
      <c r="D44" s="57"/>
      <c r="E44" s="58">
        <v>166</v>
      </c>
      <c r="F44" s="57"/>
      <c r="G44" t="str">
        <f t="shared" si="2"/>
        <v>#166</v>
      </c>
      <c r="H44" t="str">
        <f t="shared" si="0"/>
        <v>#166-#166-Leather Paint GreyTaupe 4oz 4oz</v>
      </c>
    </row>
    <row r="45" spans="1:8">
      <c r="A45" s="5">
        <v>72004167</v>
      </c>
      <c r="B45" s="6" t="s">
        <v>1031</v>
      </c>
      <c r="C45" s="5">
        <v>72004167</v>
      </c>
      <c r="D45" s="57"/>
      <c r="E45" s="58">
        <v>167</v>
      </c>
      <c r="F45" s="57"/>
      <c r="G45" t="str">
        <f t="shared" si="2"/>
        <v>#167</v>
      </c>
      <c r="H45" t="str">
        <f t="shared" si="0"/>
        <v>#167-#167-Leather Paint Taupe 4oz 4oz</v>
      </c>
    </row>
    <row r="46" spans="1:8">
      <c r="A46" s="5">
        <v>72004168</v>
      </c>
      <c r="B46" s="6" t="s">
        <v>1032</v>
      </c>
      <c r="C46" s="5">
        <v>72004168</v>
      </c>
      <c r="D46" s="57"/>
      <c r="E46" s="58">
        <v>168</v>
      </c>
      <c r="F46" s="57"/>
      <c r="G46" t="str">
        <f t="shared" si="2"/>
        <v>#168</v>
      </c>
      <c r="H46" t="str">
        <f t="shared" si="0"/>
        <v>#168-#168-Leather Paint DarkTaupe 4oz 4oz</v>
      </c>
    </row>
    <row r="47" spans="1:8">
      <c r="A47" s="5">
        <v>72004169</v>
      </c>
      <c r="B47" s="6" t="s">
        <v>1033</v>
      </c>
      <c r="C47" s="5">
        <v>72004169</v>
      </c>
      <c r="D47" s="57"/>
      <c r="E47" s="58">
        <v>169</v>
      </c>
      <c r="F47" s="57"/>
      <c r="G47" t="str">
        <f t="shared" si="2"/>
        <v>#169</v>
      </c>
      <c r="H47" t="str">
        <f t="shared" si="0"/>
        <v>#169-#169-Leather Paint Mauve 4oz 4oz</v>
      </c>
    </row>
    <row r="48" spans="1:8">
      <c r="A48" s="5">
        <v>72004170</v>
      </c>
      <c r="B48" s="6" t="s">
        <v>1034</v>
      </c>
      <c r="C48" s="5">
        <v>72004170</v>
      </c>
      <c r="D48" s="57"/>
      <c r="E48" s="58">
        <v>170</v>
      </c>
      <c r="F48" s="57"/>
      <c r="G48" t="str">
        <f t="shared" si="2"/>
        <v>#170</v>
      </c>
      <c r="H48" t="str">
        <f t="shared" si="0"/>
        <v>#170-#170-Leather Paint Avocado 4oz 4oz</v>
      </c>
    </row>
    <row r="49" spans="1:8">
      <c r="A49" s="5">
        <v>72004171</v>
      </c>
      <c r="B49" s="6" t="s">
        <v>1035</v>
      </c>
      <c r="C49" s="5">
        <v>72004171</v>
      </c>
      <c r="D49" s="57"/>
      <c r="E49" s="58">
        <v>171</v>
      </c>
      <c r="F49" s="57"/>
      <c r="G49" t="str">
        <f t="shared" si="2"/>
        <v>#171</v>
      </c>
      <c r="H49" t="str">
        <f t="shared" si="0"/>
        <v>#171-#171-Leather Paint DarkGreen 4oz 4oz</v>
      </c>
    </row>
    <row r="50" spans="1:8">
      <c r="A50" s="5">
        <v>72004172</v>
      </c>
      <c r="B50" s="6" t="s">
        <v>1036</v>
      </c>
      <c r="C50" s="5">
        <v>72004172</v>
      </c>
      <c r="D50" s="57"/>
      <c r="E50" s="58">
        <v>172</v>
      </c>
      <c r="F50" s="57"/>
      <c r="G50" t="str">
        <f t="shared" si="2"/>
        <v>#172</v>
      </c>
      <c r="H50" t="str">
        <f t="shared" si="0"/>
        <v>#172-#172-Leather Paint Light Green 4oz 4oz</v>
      </c>
    </row>
    <row r="51" spans="1:8">
      <c r="A51" s="5">
        <v>72004174</v>
      </c>
      <c r="B51" s="6" t="s">
        <v>1037</v>
      </c>
      <c r="C51" s="5">
        <v>72004174</v>
      </c>
      <c r="D51" s="57"/>
      <c r="E51" s="58">
        <v>174</v>
      </c>
      <c r="F51" s="57"/>
      <c r="G51" t="str">
        <f t="shared" si="2"/>
        <v>#174</v>
      </c>
      <c r="H51" t="str">
        <f t="shared" si="0"/>
        <v>#174-#174-Leather Paint GiftBoxBlue 4oz 4oz</v>
      </c>
    </row>
    <row r="52" spans="1:8">
      <c r="A52" s="5">
        <v>72004175</v>
      </c>
      <c r="B52" s="6" t="s">
        <v>1038</v>
      </c>
      <c r="C52" s="5">
        <v>72004175</v>
      </c>
      <c r="D52" s="57"/>
      <c r="E52" s="58">
        <v>175</v>
      </c>
      <c r="F52" s="57"/>
      <c r="G52" t="str">
        <f t="shared" si="2"/>
        <v>#175</v>
      </c>
      <c r="H52" t="str">
        <f t="shared" si="0"/>
        <v>#175-#175-Leather Paint Lylac 4oz 4oz</v>
      </c>
    </row>
    <row r="53" spans="1:8">
      <c r="A53" s="5">
        <v>72004176</v>
      </c>
      <c r="B53" s="6" t="s">
        <v>1039</v>
      </c>
      <c r="C53" s="5">
        <v>72004176</v>
      </c>
      <c r="D53" s="57"/>
      <c r="E53" s="58">
        <v>176</v>
      </c>
      <c r="F53" s="57"/>
      <c r="G53" t="str">
        <f t="shared" si="2"/>
        <v>#176</v>
      </c>
      <c r="H53" t="str">
        <f t="shared" si="0"/>
        <v>#176-#176-Leather Paint PaleBlue 4oz 4oz</v>
      </c>
    </row>
    <row r="54" spans="1:8">
      <c r="A54" s="5">
        <v>72004177</v>
      </c>
      <c r="B54" s="6" t="s">
        <v>1040</v>
      </c>
      <c r="C54" s="5">
        <v>72004177</v>
      </c>
      <c r="D54" s="57"/>
      <c r="E54" s="58">
        <v>177</v>
      </c>
      <c r="F54" s="57"/>
      <c r="G54" t="str">
        <f t="shared" si="2"/>
        <v>#177</v>
      </c>
      <c r="H54" t="str">
        <f t="shared" si="0"/>
        <v>#177-#177-Leather Paint Sapphire 4oz 4oz</v>
      </c>
    </row>
    <row r="55" spans="1:8">
      <c r="A55" s="5">
        <v>72004178</v>
      </c>
      <c r="B55" s="6" t="s">
        <v>1041</v>
      </c>
      <c r="C55" s="5">
        <v>72004178</v>
      </c>
      <c r="D55" s="57"/>
      <c r="E55" s="58">
        <v>178</v>
      </c>
      <c r="F55" s="57"/>
      <c r="G55" t="str">
        <f t="shared" si="2"/>
        <v>#178</v>
      </c>
      <c r="H55" t="str">
        <f t="shared" si="0"/>
        <v>#178-#178-Leather Paint Violet 4oz 4oz</v>
      </c>
    </row>
    <row r="56" spans="1:8">
      <c r="A56" s="5">
        <v>72004179</v>
      </c>
      <c r="B56" s="6" t="s">
        <v>1042</v>
      </c>
      <c r="C56" s="5">
        <v>72004179</v>
      </c>
      <c r="D56" s="57"/>
      <c r="E56" s="58">
        <v>179</v>
      </c>
      <c r="F56" s="57"/>
      <c r="G56" t="str">
        <f t="shared" si="2"/>
        <v>#179</v>
      </c>
      <c r="H56" t="str">
        <f t="shared" si="0"/>
        <v>#179-#179-Leather Paint DarkBlue 4oz 4oz</v>
      </c>
    </row>
    <row r="57" spans="1:8">
      <c r="A57" s="5">
        <v>72004180</v>
      </c>
      <c r="B57" s="6" t="s">
        <v>1043</v>
      </c>
      <c r="C57" s="5">
        <v>72004180</v>
      </c>
      <c r="D57" s="57"/>
      <c r="E57" s="58">
        <v>180</v>
      </c>
      <c r="F57" s="57"/>
      <c r="G57" t="str">
        <f t="shared" si="2"/>
        <v>#180</v>
      </c>
      <c r="H57" t="str">
        <f t="shared" si="0"/>
        <v>#180-#180-Leather Paint Cognac 4oz 4oz</v>
      </c>
    </row>
    <row r="58" spans="1:8">
      <c r="A58" s="5">
        <v>72004181</v>
      </c>
      <c r="B58" s="6" t="s">
        <v>1044</v>
      </c>
      <c r="C58" s="5">
        <v>72004181</v>
      </c>
      <c r="D58" s="57"/>
      <c r="E58" s="58">
        <v>181</v>
      </c>
      <c r="F58" s="57"/>
      <c r="G58" t="str">
        <f t="shared" si="2"/>
        <v>#181</v>
      </c>
      <c r="H58" t="str">
        <f t="shared" si="0"/>
        <v>#181-#181-Leather Paint RichBrown 4oz 4oz</v>
      </c>
    </row>
    <row r="59" spans="1:8">
      <c r="A59" s="5">
        <v>72004182</v>
      </c>
      <c r="B59" s="6" t="s">
        <v>1045</v>
      </c>
      <c r="C59" s="5">
        <v>72004182</v>
      </c>
      <c r="D59" s="57"/>
      <c r="E59" s="58">
        <v>182</v>
      </c>
      <c r="F59" s="57"/>
      <c r="G59" t="str">
        <f t="shared" si="2"/>
        <v>#182</v>
      </c>
      <c r="H59" t="str">
        <f t="shared" si="0"/>
        <v>#182-#182-Leather Paint Sand 4oz 4oz</v>
      </c>
    </row>
    <row r="60" spans="1:8">
      <c r="A60" s="5">
        <v>72004183</v>
      </c>
      <c r="B60" s="6" t="s">
        <v>1046</v>
      </c>
      <c r="C60" s="5">
        <v>72004183</v>
      </c>
      <c r="D60" s="57"/>
      <c r="E60" s="58">
        <v>183</v>
      </c>
      <c r="F60" s="57"/>
      <c r="G60" t="str">
        <f t="shared" si="2"/>
        <v>#183</v>
      </c>
      <c r="H60" t="str">
        <f t="shared" si="0"/>
        <v>#183-#183-Leather Paint TerraCottaRed 4oz 4oz</v>
      </c>
    </row>
    <row r="61" spans="1:8">
      <c r="A61" s="5">
        <v>72004184</v>
      </c>
      <c r="B61" s="6" t="s">
        <v>1047</v>
      </c>
      <c r="C61" s="5">
        <v>72004184</v>
      </c>
      <c r="D61" s="57"/>
      <c r="E61" s="58">
        <v>184</v>
      </c>
      <c r="F61" s="57"/>
      <c r="G61" t="str">
        <f t="shared" ref="G61:G84" si="3">"#"&amp;E61</f>
        <v>#184</v>
      </c>
      <c r="H61" t="str">
        <f t="shared" si="0"/>
        <v>#184-#184-Leather Paint AutumnRed 4oz 4oz</v>
      </c>
    </row>
    <row r="62" spans="1:8">
      <c r="A62" s="5">
        <v>72004185</v>
      </c>
      <c r="B62" s="6" t="s">
        <v>1048</v>
      </c>
      <c r="C62" s="5">
        <v>72004185</v>
      </c>
      <c r="D62" s="57"/>
      <c r="E62" s="58">
        <v>185</v>
      </c>
      <c r="F62" s="57"/>
      <c r="G62" t="str">
        <f t="shared" si="3"/>
        <v>#185</v>
      </c>
      <c r="H62" t="str">
        <f t="shared" si="0"/>
        <v>#185-#185-Leather Paint FireRed 4oz 4oz</v>
      </c>
    </row>
    <row r="63" spans="1:8">
      <c r="A63" s="5">
        <v>72004186</v>
      </c>
      <c r="B63" s="6" t="s">
        <v>1049</v>
      </c>
      <c r="C63" s="5">
        <v>72004186</v>
      </c>
      <c r="D63" s="57"/>
      <c r="E63" s="58">
        <v>186</v>
      </c>
      <c r="F63" s="57"/>
      <c r="G63" t="str">
        <f t="shared" si="3"/>
        <v>#186</v>
      </c>
      <c r="H63" t="str">
        <f t="shared" si="0"/>
        <v>#186-#186-Leather Paint HotPink 4oz 4oz</v>
      </c>
    </row>
    <row r="64" spans="1:8">
      <c r="A64" s="5">
        <v>72004187</v>
      </c>
      <c r="B64" s="6" t="s">
        <v>1050</v>
      </c>
      <c r="C64" s="5">
        <v>72004187</v>
      </c>
      <c r="D64" s="57"/>
      <c r="E64" s="58">
        <v>187</v>
      </c>
      <c r="F64" s="57"/>
      <c r="G64" t="str">
        <f t="shared" si="3"/>
        <v>#187</v>
      </c>
      <c r="H64" t="str">
        <f t="shared" si="0"/>
        <v>#187-#187-Leather Paint Magenta 4oz 4oz</v>
      </c>
    </row>
    <row r="65" spans="1:8">
      <c r="A65" s="5">
        <v>72004188</v>
      </c>
      <c r="B65" s="6" t="s">
        <v>1051</v>
      </c>
      <c r="C65" s="5">
        <v>72004188</v>
      </c>
      <c r="D65" s="57"/>
      <c r="E65" s="58">
        <v>188</v>
      </c>
      <c r="F65" s="57"/>
      <c r="G65" t="str">
        <f t="shared" si="3"/>
        <v>#188</v>
      </c>
      <c r="H65" t="str">
        <f t="shared" si="0"/>
        <v>#188-#188-Leather Paint Pink 4oz 4oz</v>
      </c>
    </row>
    <row r="66" spans="1:8">
      <c r="A66" s="5">
        <v>72004189</v>
      </c>
      <c r="B66" s="6" t="s">
        <v>1052</v>
      </c>
      <c r="C66" s="5">
        <v>72004189</v>
      </c>
      <c r="D66" s="57"/>
      <c r="E66" s="58">
        <v>189</v>
      </c>
      <c r="F66" s="57"/>
      <c r="G66" t="str">
        <f t="shared" si="3"/>
        <v>#189</v>
      </c>
      <c r="H66" t="str">
        <f t="shared" ref="H66:H84" si="4">G66&amp;"-"&amp;B66&amp;" 4oz"</f>
        <v>#189-#189-Leather Paint Petal Pink 4oz 4oz</v>
      </c>
    </row>
    <row r="67" spans="1:8">
      <c r="A67" s="5">
        <v>72004190</v>
      </c>
      <c r="B67" s="6" t="s">
        <v>1053</v>
      </c>
      <c r="C67" s="5">
        <v>72004190</v>
      </c>
      <c r="D67" s="57"/>
      <c r="E67" s="58">
        <v>190</v>
      </c>
      <c r="F67" s="57"/>
      <c r="G67" t="str">
        <f t="shared" si="3"/>
        <v>#190</v>
      </c>
      <c r="H67" t="str">
        <f t="shared" si="4"/>
        <v>#190-#190-Leather PaintScaletRed 4oz 4oz</v>
      </c>
    </row>
    <row r="68" spans="1:8">
      <c r="A68" s="5">
        <v>72004191</v>
      </c>
      <c r="B68" s="6" t="s">
        <v>1054</v>
      </c>
      <c r="C68" s="5">
        <v>72004191</v>
      </c>
      <c r="D68" s="57"/>
      <c r="E68" s="58">
        <v>191</v>
      </c>
      <c r="F68" s="57"/>
      <c r="G68" t="str">
        <f t="shared" si="3"/>
        <v>#191</v>
      </c>
      <c r="H68" t="str">
        <f t="shared" si="4"/>
        <v>#191-#191-Leather Paint Shell Pink 4oz 4oz</v>
      </c>
    </row>
    <row r="69" spans="1:8">
      <c r="A69" s="5">
        <v>72004194</v>
      </c>
      <c r="B69" s="6" t="s">
        <v>1055</v>
      </c>
      <c r="C69" s="5">
        <v>72004194</v>
      </c>
      <c r="D69" s="57"/>
      <c r="E69" s="58">
        <v>194</v>
      </c>
      <c r="F69" s="57"/>
      <c r="G69" t="str">
        <f t="shared" si="3"/>
        <v>#194</v>
      </c>
      <c r="H69" t="str">
        <f t="shared" si="4"/>
        <v>#194-#194-Leather Paint Caramel 4oz 4oz</v>
      </c>
    </row>
    <row r="70" spans="1:8">
      <c r="A70" s="5">
        <v>72004196</v>
      </c>
      <c r="B70" s="6" t="s">
        <v>1056</v>
      </c>
      <c r="C70" s="5">
        <v>72004196</v>
      </c>
      <c r="D70" s="57"/>
      <c r="E70" s="58">
        <v>196</v>
      </c>
      <c r="F70" s="57"/>
      <c r="G70" t="str">
        <f t="shared" si="3"/>
        <v>#196</v>
      </c>
      <c r="H70" t="str">
        <f t="shared" si="4"/>
        <v>#196-#196-Leather Paint Mustard 4oz 4oz</v>
      </c>
    </row>
    <row r="71" spans="1:8">
      <c r="A71" s="5">
        <v>72004197</v>
      </c>
      <c r="B71" s="6" t="s">
        <v>1057</v>
      </c>
      <c r="C71" s="5">
        <v>72004197</v>
      </c>
      <c r="D71" s="57"/>
      <c r="E71" s="58">
        <v>197</v>
      </c>
      <c r="F71" s="57"/>
      <c r="G71" t="str">
        <f t="shared" si="3"/>
        <v>#197</v>
      </c>
      <c r="H71" t="str">
        <f t="shared" si="4"/>
        <v>#197-#197-Leather Paint PaleYellow 4oz 4oz</v>
      </c>
    </row>
    <row r="72" spans="1:8">
      <c r="A72" s="5">
        <v>72004198</v>
      </c>
      <c r="B72" s="6" t="s">
        <v>1058</v>
      </c>
      <c r="C72" s="5">
        <v>72004198</v>
      </c>
      <c r="D72" s="57"/>
      <c r="E72" s="58">
        <v>198</v>
      </c>
      <c r="F72" s="57"/>
      <c r="G72" t="str">
        <f t="shared" si="3"/>
        <v>#198</v>
      </c>
      <c r="H72" t="str">
        <f t="shared" si="4"/>
        <v>#198-#198-Leather Paint BrushButtercup 4oz 4oz</v>
      </c>
    </row>
    <row r="73" spans="1:8">
      <c r="A73" s="5">
        <v>72004260</v>
      </c>
      <c r="B73" s="6" t="s">
        <v>1059</v>
      </c>
      <c r="C73" s="5">
        <v>72004260</v>
      </c>
      <c r="D73" s="57"/>
      <c r="E73" s="58">
        <v>260</v>
      </c>
      <c r="F73" s="57"/>
      <c r="G73" t="str">
        <f t="shared" si="3"/>
        <v>#260</v>
      </c>
      <c r="H73" t="str">
        <f t="shared" si="4"/>
        <v>#260-#260-Leather Paint Chili Red 4oz 4oz</v>
      </c>
    </row>
    <row r="74" spans="1:8">
      <c r="A74" s="5">
        <v>72004261</v>
      </c>
      <c r="B74" s="6" t="s">
        <v>1060</v>
      </c>
      <c r="C74" s="5">
        <v>72004261</v>
      </c>
      <c r="D74" s="57"/>
      <c r="E74" s="58">
        <v>261</v>
      </c>
      <c r="F74" s="57"/>
      <c r="G74" t="str">
        <f t="shared" si="3"/>
        <v>#261</v>
      </c>
      <c r="H74" t="str">
        <f t="shared" si="4"/>
        <v>#261-#261-Leather Paint South Beach 4oz 4oz</v>
      </c>
    </row>
    <row r="75" spans="1:8">
      <c r="A75" s="5">
        <v>72004262</v>
      </c>
      <c r="B75" s="6" t="s">
        <v>1061</v>
      </c>
      <c r="C75" s="5">
        <v>72004262</v>
      </c>
      <c r="D75" s="57"/>
      <c r="E75" s="58">
        <v>262</v>
      </c>
      <c r="F75" s="57"/>
      <c r="G75" t="str">
        <f t="shared" si="3"/>
        <v>#262</v>
      </c>
      <c r="H75" t="str">
        <f t="shared" si="4"/>
        <v>#262-#262-Leather Paint Play in the Sand 4oz 4oz</v>
      </c>
    </row>
    <row r="76" spans="1:8">
      <c r="A76" s="5">
        <v>72004263</v>
      </c>
      <c r="B76" s="6" t="s">
        <v>1062</v>
      </c>
      <c r="C76" s="5">
        <v>72004263</v>
      </c>
      <c r="D76" s="57"/>
      <c r="E76" s="58">
        <v>263</v>
      </c>
      <c r="F76" s="57"/>
      <c r="G76" t="str">
        <f t="shared" si="3"/>
        <v>#263</v>
      </c>
      <c r="H76" t="str">
        <f t="shared" si="4"/>
        <v>#263-#263-Leather Paint Grinch Green 4oz 4oz</v>
      </c>
    </row>
    <row r="77" spans="1:8">
      <c r="A77" s="5">
        <v>72004264</v>
      </c>
      <c r="B77" s="6" t="s">
        <v>1063</v>
      </c>
      <c r="C77" s="5">
        <v>72004264</v>
      </c>
      <c r="D77" s="57"/>
      <c r="E77" s="58">
        <v>264</v>
      </c>
      <c r="F77" s="57"/>
      <c r="G77" t="str">
        <f t="shared" si="3"/>
        <v>#264</v>
      </c>
      <c r="H77" t="str">
        <f t="shared" si="4"/>
        <v>#264-#264-Leather Paint Putty 4oz 4oz</v>
      </c>
    </row>
    <row r="78" spans="1:8">
      <c r="A78" s="5">
        <v>72004265</v>
      </c>
      <c r="B78" s="6" t="s">
        <v>1064</v>
      </c>
      <c r="C78" s="5">
        <v>72004265</v>
      </c>
      <c r="D78" s="57"/>
      <c r="E78" s="58">
        <v>265</v>
      </c>
      <c r="F78" s="57"/>
      <c r="G78" t="str">
        <f t="shared" si="3"/>
        <v>#265</v>
      </c>
      <c r="H78" t="str">
        <f t="shared" si="4"/>
        <v>#265-#265-Leather Paint Tangerine 4oz 4oz</v>
      </c>
    </row>
    <row r="79" spans="1:8">
      <c r="A79" s="5">
        <v>72004266</v>
      </c>
      <c r="B79" s="6" t="s">
        <v>1065</v>
      </c>
      <c r="C79" s="5">
        <v>72004266</v>
      </c>
      <c r="D79" s="57"/>
      <c r="E79" s="58">
        <v>266</v>
      </c>
      <c r="F79" s="57"/>
      <c r="G79" t="str">
        <f t="shared" si="3"/>
        <v>#266</v>
      </c>
      <c r="H79" t="str">
        <f t="shared" si="4"/>
        <v>#266-#266-Leather Paint Georgia Peach 4oz 4oz</v>
      </c>
    </row>
    <row r="80" spans="1:8">
      <c r="A80" s="5">
        <v>72004267</v>
      </c>
      <c r="B80" s="6" t="s">
        <v>1066</v>
      </c>
      <c r="C80" s="5">
        <v>72004267</v>
      </c>
      <c r="D80" s="57"/>
      <c r="E80" s="58">
        <v>267</v>
      </c>
      <c r="F80" s="57"/>
      <c r="G80" t="str">
        <f t="shared" si="3"/>
        <v>#267</v>
      </c>
      <c r="H80" t="str">
        <f t="shared" si="4"/>
        <v>#267-#267-Leather Paint Salmon 4oz 4oz</v>
      </c>
    </row>
    <row r="81" spans="1:8">
      <c r="A81" s="5">
        <v>72004268</v>
      </c>
      <c r="B81" s="6" t="s">
        <v>1067</v>
      </c>
      <c r="C81" s="5">
        <v>72004268</v>
      </c>
      <c r="D81" s="57"/>
      <c r="E81" s="58">
        <v>268</v>
      </c>
      <c r="F81" s="57"/>
      <c r="G81" t="str">
        <f t="shared" si="3"/>
        <v>#268</v>
      </c>
      <c r="H81" t="str">
        <f t="shared" si="4"/>
        <v>#268-#268-Leather Paint Rasberry 4oz 4oz</v>
      </c>
    </row>
    <row r="82" spans="1:8">
      <c r="A82" s="5">
        <v>72004269</v>
      </c>
      <c r="B82" s="6" t="s">
        <v>1068</v>
      </c>
      <c r="C82" s="5">
        <v>72004269</v>
      </c>
      <c r="D82" s="57"/>
      <c r="E82" s="58">
        <v>269</v>
      </c>
      <c r="F82" s="57"/>
      <c r="G82" t="str">
        <f t="shared" si="3"/>
        <v>#269</v>
      </c>
      <c r="H82" t="str">
        <f t="shared" si="4"/>
        <v>#269-#269-Leather Paint Mint 4oz 4oz</v>
      </c>
    </row>
    <row r="83" spans="1:8">
      <c r="A83" s="5">
        <v>72004270</v>
      </c>
      <c r="B83" s="6" t="s">
        <v>1069</v>
      </c>
      <c r="C83" s="5">
        <v>72004270</v>
      </c>
      <c r="D83" s="57"/>
      <c r="E83" s="58">
        <v>270</v>
      </c>
      <c r="F83" s="57"/>
      <c r="G83" t="str">
        <f t="shared" si="3"/>
        <v>#270</v>
      </c>
      <c r="H83" t="str">
        <f t="shared" si="4"/>
        <v>#270-#270-Leather Paint Vachetta 4oz 4oz</v>
      </c>
    </row>
    <row r="84" spans="1:8">
      <c r="A84" s="5">
        <v>72004272</v>
      </c>
      <c r="B84" s="6" t="s">
        <v>1070</v>
      </c>
      <c r="C84" s="5">
        <v>72004272</v>
      </c>
      <c r="D84" s="57"/>
      <c r="E84" s="58">
        <v>272</v>
      </c>
      <c r="F84" s="57"/>
      <c r="G84" t="str">
        <f t="shared" si="3"/>
        <v>#272</v>
      </c>
      <c r="H84" t="str">
        <f t="shared" si="4"/>
        <v>#272-#272-Leather Paint Olive 4oz 4oz</v>
      </c>
    </row>
    <row r="85" spans="1:8">
      <c r="A85" s="5"/>
      <c r="B85" s="6"/>
      <c r="C85" s="5"/>
      <c r="D85" s="57"/>
      <c r="E85" s="58"/>
      <c r="F85" s="57"/>
    </row>
    <row r="86" spans="1:8">
      <c r="A86" s="5"/>
      <c r="B86" s="6"/>
      <c r="C86" s="5"/>
      <c r="D86" s="57"/>
      <c r="E86" s="58"/>
      <c r="F86" s="57"/>
    </row>
    <row r="87" spans="1:8">
      <c r="A87" s="5"/>
      <c r="B87" s="6"/>
      <c r="C87" s="5"/>
      <c r="D87" s="57"/>
      <c r="E87" s="58"/>
      <c r="F87" s="57"/>
    </row>
  </sheetData>
  <sortState ref="A1:G86">
    <sortCondition ref="A1:A86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ssk</dc:creator>
  <cp:lastModifiedBy>Registered User</cp:lastModifiedBy>
  <cp:lastPrinted>2017-08-16T13:59:50Z</cp:lastPrinted>
  <dcterms:created xsi:type="dcterms:W3CDTF">2017-05-24T08:48:40Z</dcterms:created>
  <dcterms:modified xsi:type="dcterms:W3CDTF">2018-08-07T02:54:48Z</dcterms:modified>
</cp:coreProperties>
</file>