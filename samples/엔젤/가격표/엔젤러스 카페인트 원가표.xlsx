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1670" windowHeight="9480"/>
  </bookViews>
  <sheets>
    <sheet name="Page 1" sheetId="1" r:id="rId1"/>
  </sheets>
  <calcPr calcId="125725"/>
</workbook>
</file>

<file path=xl/calcChain.xml><?xml version="1.0" encoding="utf-8"?>
<calcChain xmlns="http://schemas.openxmlformats.org/spreadsheetml/2006/main">
  <c r="I8" i="1"/>
  <c r="D8"/>
  <c r="E8" s="1"/>
  <c r="F8" s="1"/>
  <c r="H8" s="1"/>
  <c r="D5"/>
  <c r="E5" s="1"/>
  <c r="F5" s="1"/>
  <c r="H5" s="1"/>
  <c r="D7"/>
  <c r="E7" s="1"/>
  <c r="F7" s="1"/>
  <c r="H7" s="1"/>
  <c r="D4"/>
  <c r="E4" s="1"/>
  <c r="F4" s="1"/>
  <c r="H4" s="1"/>
  <c r="D6"/>
  <c r="E6" s="1"/>
  <c r="F6" s="1"/>
  <c r="H6" s="1"/>
  <c r="D3"/>
  <c r="E3" s="1"/>
  <c r="F3" s="1"/>
  <c r="H3" s="1"/>
  <c r="I5" s="1"/>
</calcChain>
</file>

<file path=xl/sharedStrings.xml><?xml version="1.0" encoding="utf-8"?>
<sst xmlns="http://schemas.openxmlformats.org/spreadsheetml/2006/main" count="15" uniqueCount="15">
  <si>
    <t>페인트</t>
    <phoneticPr fontId="1" type="noConversion"/>
  </si>
  <si>
    <t>가격</t>
    <phoneticPr fontId="1" type="noConversion"/>
  </si>
  <si>
    <t>환율</t>
    <phoneticPr fontId="1" type="noConversion"/>
  </si>
  <si>
    <t>수입가</t>
    <phoneticPr fontId="1" type="noConversion"/>
  </si>
  <si>
    <t>1온즈당원가</t>
    <phoneticPr fontId="1" type="noConversion"/>
  </si>
  <si>
    <t>병가격</t>
    <phoneticPr fontId="1" type="noConversion"/>
  </si>
  <si>
    <t>제품당총원가</t>
    <phoneticPr fontId="1" type="noConversion"/>
  </si>
  <si>
    <t>붓</t>
    <phoneticPr fontId="1" type="noConversion"/>
  </si>
  <si>
    <t>스폰지</t>
    <phoneticPr fontId="1" type="noConversion"/>
  </si>
  <si>
    <t>가죽크림 1oz</t>
    <phoneticPr fontId="1" type="noConversion"/>
  </si>
  <si>
    <t>가죽크림 4oz</t>
    <phoneticPr fontId="1" type="noConversion"/>
  </si>
  <si>
    <t>피니셔 1oz</t>
    <phoneticPr fontId="1" type="noConversion"/>
  </si>
  <si>
    <t>피니셔 4oz</t>
    <phoneticPr fontId="1" type="noConversion"/>
  </si>
  <si>
    <t>페인트1oz</t>
    <phoneticPr fontId="1" type="noConversion"/>
  </si>
  <si>
    <t>페인트1pint</t>
    <phoneticPr fontId="1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</si>
</sst>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3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sz val="11"/>
      <color theme="1"/>
      <name val="맑은 고딕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">
    <xf numFmtId="0" fontId="0" fillId="0" borderId="0" xfId="0" applyAlignment="1">
      <alignment horizontal="left" vertical="top"/>
    </xf>
    <xf numFmtId="41" fontId="0" fillId="0" borderId="0" xfId="1" applyFont="1" applyAlignment="1">
      <alignment horizontal="left" vertical="top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10"/>
  <sheetViews>
    <sheetView tabSelected="1" workbookViewId="0">
      <selection activeCell="F5" sqref="F5"/>
    </sheetView>
  </sheetViews>
  <sheetFormatPr defaultRowHeight="16.5"/>
  <cols>
    <col min="2" max="2" width="12.875" bestFit="1" customWidth="1"/>
    <col min="4" max="5" width="10.875" style="1" bestFit="1" customWidth="1"/>
    <col min="6" max="6" width="12.75" style="1" bestFit="1" customWidth="1"/>
    <col min="7" max="7" width="9" style="1"/>
    <col min="8" max="8" width="13" style="1" bestFit="1" customWidth="1"/>
    <col min="9" max="9" width="9" style="1"/>
  </cols>
  <sheetData>
    <row r="1" spans="2:9">
      <c r="D1" s="1" t="s">
        <v>2</v>
      </c>
    </row>
    <row r="2" spans="2:9">
      <c r="B2" t="s">
        <v>0</v>
      </c>
      <c r="C2" t="s">
        <v>1</v>
      </c>
      <c r="D2" s="1">
        <v>1150</v>
      </c>
      <c r="E2" s="1" t="s">
        <v>3</v>
      </c>
      <c r="F2" s="1" t="s">
        <v>4</v>
      </c>
      <c r="G2" s="1" t="s">
        <v>5</v>
      </c>
      <c r="H2" s="1" t="s">
        <v>6</v>
      </c>
    </row>
    <row r="3" spans="2:9">
      <c r="B3" t="s">
        <v>13</v>
      </c>
      <c r="C3">
        <v>37.5</v>
      </c>
      <c r="D3" s="1">
        <f>C3*D2</f>
        <v>43125</v>
      </c>
      <c r="E3" s="1">
        <f>D3/1.2</f>
        <v>35937.5</v>
      </c>
      <c r="F3" s="1">
        <f>E3/130</f>
        <v>276.44230769230768</v>
      </c>
      <c r="G3" s="1">
        <v>200</v>
      </c>
      <c r="H3" s="1">
        <f>F3+G3</f>
        <v>476.44230769230768</v>
      </c>
    </row>
    <row r="4" spans="2:9">
      <c r="B4" t="s">
        <v>9</v>
      </c>
      <c r="C4">
        <v>25</v>
      </c>
      <c r="D4" s="1">
        <f>C4*D2</f>
        <v>28750</v>
      </c>
      <c r="E4" s="1">
        <f>D4/1.2</f>
        <v>23958.333333333336</v>
      </c>
      <c r="F4" s="1">
        <f>E4/130</f>
        <v>184.29487179487182</v>
      </c>
      <c r="G4" s="1">
        <v>200</v>
      </c>
      <c r="H4" s="1">
        <f>F4+G4</f>
        <v>384.29487179487182</v>
      </c>
    </row>
    <row r="5" spans="2:9">
      <c r="B5" t="s">
        <v>11</v>
      </c>
      <c r="C5">
        <v>25.8</v>
      </c>
      <c r="D5" s="1">
        <f>C5*D2</f>
        <v>29670</v>
      </c>
      <c r="E5" s="1">
        <f>D5/1.2</f>
        <v>24725</v>
      </c>
      <c r="F5" s="1">
        <f>E5/130</f>
        <v>190.19230769230768</v>
      </c>
      <c r="G5" s="1">
        <v>300</v>
      </c>
      <c r="H5" s="1">
        <f>F5+G5</f>
        <v>490.19230769230768</v>
      </c>
      <c r="I5" s="1">
        <f>SUM(H3:H5)</f>
        <v>1350.9294871794871</v>
      </c>
    </row>
    <row r="6" spans="2:9">
      <c r="B6" t="s">
        <v>14</v>
      </c>
      <c r="C6">
        <v>37.5</v>
      </c>
      <c r="D6" s="1">
        <f>C6*D2</f>
        <v>43125</v>
      </c>
      <c r="E6" s="1">
        <f>D6/1.2</f>
        <v>35937.5</v>
      </c>
      <c r="F6" s="1">
        <f>E6/8</f>
        <v>4492.1875</v>
      </c>
      <c r="G6" s="1">
        <v>500</v>
      </c>
      <c r="H6" s="1">
        <f>F6+G6</f>
        <v>4992.1875</v>
      </c>
    </row>
    <row r="7" spans="2:9">
      <c r="B7" t="s">
        <v>10</v>
      </c>
      <c r="C7">
        <v>25</v>
      </c>
      <c r="D7" s="1">
        <f>C7*D2</f>
        <v>28750</v>
      </c>
      <c r="E7" s="1">
        <f>D7/1.2</f>
        <v>23958.333333333336</v>
      </c>
      <c r="F7" s="1">
        <f>E7/32</f>
        <v>748.69791666666674</v>
      </c>
      <c r="G7" s="1">
        <v>500</v>
      </c>
      <c r="H7" s="1">
        <f t="shared" ref="H7" si="0">F7+G7</f>
        <v>1248.6979166666667</v>
      </c>
    </row>
    <row r="8" spans="2:9">
      <c r="B8" t="s">
        <v>12</v>
      </c>
      <c r="C8">
        <v>25.8</v>
      </c>
      <c r="D8" s="1">
        <f>C8*D2</f>
        <v>29670</v>
      </c>
      <c r="E8" s="1">
        <f>D8/1.2</f>
        <v>24725</v>
      </c>
      <c r="F8" s="1">
        <f>E8/32</f>
        <v>772.65625</v>
      </c>
      <c r="G8" s="1">
        <v>500</v>
      </c>
      <c r="H8" s="1">
        <f t="shared" ref="H8" si="1">F8+G8</f>
        <v>1272.65625</v>
      </c>
      <c r="I8" s="1">
        <f>SUM(H6:H8)</f>
        <v>7513.541666666667</v>
      </c>
    </row>
    <row r="9" spans="2:9">
      <c r="B9" t="s">
        <v>7</v>
      </c>
      <c r="H9" s="1">
        <v>500</v>
      </c>
    </row>
    <row r="10" spans="2:9">
      <c r="B10" t="s">
        <v>8</v>
      </c>
      <c r="H10" s="1">
        <v>500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ssk</cp:lastModifiedBy>
  <dcterms:created xsi:type="dcterms:W3CDTF">2011-06-22T11:27:57Z</dcterms:created>
  <dcterms:modified xsi:type="dcterms:W3CDTF">2017-06-17T10:34:47Z</dcterms:modified>
</cp:coreProperties>
</file>