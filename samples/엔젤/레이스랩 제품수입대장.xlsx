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2.xml" ContentType="application/vnd.openxmlformats-officedocument.spreadsheetml.pivotCacheDefinitio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105" windowWidth="28035" windowHeight="12105"/>
  </bookViews>
  <sheets>
    <sheet name="Sheet1" sheetId="1" r:id="rId1"/>
    <sheet name="Sheet2" sheetId="2" r:id="rId2"/>
    <sheet name="DATA" sheetId="3" r:id="rId3"/>
    <sheet name="레이스랩재고표" sheetId="5" r:id="rId4"/>
  </sheets>
  <definedNames>
    <definedName name="_xlnm._FilterDatabase" localSheetId="2">DATA!$C$1:$F$193</definedName>
  </definedNames>
  <calcPr calcId="125725"/>
  <pivotCaches>
    <pivotCache cacheId="8" r:id="rId5"/>
    <pivotCache cacheId="30" r:id="rId6"/>
  </pivotCaches>
</workbook>
</file>

<file path=xl/calcChain.xml><?xml version="1.0" encoding="utf-8"?>
<calcChain xmlns="http://schemas.openxmlformats.org/spreadsheetml/2006/main">
  <c r="N529" i="1"/>
  <c r="M529"/>
  <c r="L529"/>
  <c r="K529"/>
  <c r="I529"/>
  <c r="J529" s="1"/>
  <c r="N528"/>
  <c r="L528"/>
  <c r="M528" s="1"/>
  <c r="K528"/>
  <c r="J528"/>
  <c r="I528"/>
  <c r="N527"/>
  <c r="L527"/>
  <c r="M527" s="1"/>
  <c r="K527"/>
  <c r="J527"/>
  <c r="I527"/>
  <c r="N526"/>
  <c r="M526"/>
  <c r="L526"/>
  <c r="K526"/>
  <c r="J526"/>
  <c r="I526"/>
  <c r="N525"/>
  <c r="M525"/>
  <c r="L525"/>
  <c r="K525"/>
  <c r="I525"/>
  <c r="J525" s="1"/>
  <c r="N524"/>
  <c r="L524"/>
  <c r="M524" s="1"/>
  <c r="K524"/>
  <c r="J524"/>
  <c r="I524"/>
  <c r="N523"/>
  <c r="L523"/>
  <c r="M523" s="1"/>
  <c r="K523"/>
  <c r="J523"/>
  <c r="I523"/>
  <c r="N522"/>
  <c r="M522"/>
  <c r="L522"/>
  <c r="K522"/>
  <c r="J522"/>
  <c r="I522"/>
  <c r="N521"/>
  <c r="M521"/>
  <c r="L521"/>
  <c r="K521"/>
  <c r="I521"/>
  <c r="J521" s="1"/>
  <c r="N520"/>
  <c r="L520"/>
  <c r="M520" s="1"/>
  <c r="K520"/>
  <c r="J520"/>
  <c r="I520"/>
  <c r="N519"/>
  <c r="L519"/>
  <c r="M519" s="1"/>
  <c r="K519"/>
  <c r="J519"/>
  <c r="I519"/>
  <c r="N518"/>
  <c r="M518"/>
  <c r="L518"/>
  <c r="K518"/>
  <c r="J518"/>
  <c r="I518"/>
  <c r="N517"/>
  <c r="M517"/>
  <c r="L517"/>
  <c r="K517"/>
  <c r="I517"/>
  <c r="J517" s="1"/>
  <c r="N516"/>
  <c r="L516"/>
  <c r="M516" s="1"/>
  <c r="K516"/>
  <c r="J516"/>
  <c r="I516"/>
  <c r="N515"/>
  <c r="L515"/>
  <c r="M515" s="1"/>
  <c r="K515"/>
  <c r="J515"/>
  <c r="I515"/>
  <c r="N514"/>
  <c r="M514"/>
  <c r="L514"/>
  <c r="K514"/>
  <c r="J514"/>
  <c r="I514"/>
  <c r="N513"/>
  <c r="M513"/>
  <c r="L513"/>
  <c r="K513"/>
  <c r="I513"/>
  <c r="J513" s="1"/>
  <c r="G526"/>
  <c r="H526"/>
  <c r="G527"/>
  <c r="H527"/>
  <c r="G528"/>
  <c r="H528"/>
  <c r="G529"/>
  <c r="H529"/>
  <c r="H530"/>
  <c r="H531"/>
  <c r="H532"/>
  <c r="H533"/>
  <c r="H534"/>
  <c r="H525"/>
  <c r="G525"/>
  <c r="H524"/>
  <c r="G524"/>
  <c r="H523"/>
  <c r="G523"/>
  <c r="G522"/>
  <c r="G521"/>
  <c r="G520"/>
  <c r="G519"/>
  <c r="G518"/>
  <c r="G517"/>
  <c r="G516"/>
  <c r="G515"/>
  <c r="G514"/>
  <c r="G513"/>
  <c r="G512"/>
  <c r="H522"/>
  <c r="H521"/>
  <c r="H520"/>
  <c r="H519"/>
  <c r="H518"/>
  <c r="H517"/>
  <c r="D193" i="3"/>
  <c r="L512" i="1" s="1"/>
  <c r="M512" s="1"/>
  <c r="H502"/>
  <c r="H501"/>
  <c r="H620"/>
  <c r="H619"/>
  <c r="H618"/>
  <c r="H617"/>
  <c r="H616"/>
  <c r="H615"/>
  <c r="H614"/>
  <c r="H613"/>
  <c r="H612"/>
  <c r="H611"/>
  <c r="H610"/>
  <c r="H609"/>
  <c r="H608"/>
  <c r="H607"/>
  <c r="H606"/>
  <c r="H605"/>
  <c r="H604"/>
  <c r="H603"/>
  <c r="H602"/>
  <c r="H601"/>
  <c r="H600"/>
  <c r="H599"/>
  <c r="H598"/>
  <c r="H597"/>
  <c r="H596"/>
  <c r="H595"/>
  <c r="H594"/>
  <c r="H593"/>
  <c r="H592"/>
  <c r="H591"/>
  <c r="H590"/>
  <c r="H589"/>
  <c r="H588"/>
  <c r="H587"/>
  <c r="H586"/>
  <c r="H585"/>
  <c r="H584"/>
  <c r="H583"/>
  <c r="H582"/>
  <c r="H581"/>
  <c r="H580"/>
  <c r="H579"/>
  <c r="H578"/>
  <c r="H577"/>
  <c r="H576"/>
  <c r="H575"/>
  <c r="H574"/>
  <c r="H573"/>
  <c r="H572"/>
  <c r="H571"/>
  <c r="H570"/>
  <c r="H569"/>
  <c r="H568"/>
  <c r="H567"/>
  <c r="H566"/>
  <c r="H565"/>
  <c r="H564"/>
  <c r="H563"/>
  <c r="H562"/>
  <c r="H561"/>
  <c r="H560"/>
  <c r="H559"/>
  <c r="H558"/>
  <c r="H557"/>
  <c r="H556"/>
  <c r="H555"/>
  <c r="H554"/>
  <c r="H553"/>
  <c r="H552"/>
  <c r="H551"/>
  <c r="H550"/>
  <c r="H549"/>
  <c r="H548"/>
  <c r="H547"/>
  <c r="H546"/>
  <c r="H545"/>
  <c r="H544"/>
  <c r="H543"/>
  <c r="H542"/>
  <c r="H541"/>
  <c r="H540"/>
  <c r="H539"/>
  <c r="H538"/>
  <c r="H537"/>
  <c r="H536"/>
  <c r="H535"/>
  <c r="H516"/>
  <c r="H515"/>
  <c r="H514"/>
  <c r="H513"/>
  <c r="N512"/>
  <c r="K512"/>
  <c r="I512"/>
  <c r="J512" s="1"/>
  <c r="H512"/>
  <c r="N511"/>
  <c r="K511"/>
  <c r="I511"/>
  <c r="J511" s="1"/>
  <c r="H511"/>
  <c r="G511"/>
  <c r="N510"/>
  <c r="L510"/>
  <c r="M510" s="1"/>
  <c r="K510"/>
  <c r="I510"/>
  <c r="J510" s="1"/>
  <c r="H510"/>
  <c r="G510"/>
  <c r="N509"/>
  <c r="K509"/>
  <c r="I509"/>
  <c r="J509" s="1"/>
  <c r="H509"/>
  <c r="G509"/>
  <c r="N508"/>
  <c r="K508"/>
  <c r="I508"/>
  <c r="J508" s="1"/>
  <c r="H508"/>
  <c r="G508"/>
  <c r="N507"/>
  <c r="K507"/>
  <c r="I507"/>
  <c r="J507" s="1"/>
  <c r="H507"/>
  <c r="G507"/>
  <c r="N506"/>
  <c r="L506"/>
  <c r="M506" s="1"/>
  <c r="K506"/>
  <c r="I506"/>
  <c r="J506" s="1"/>
  <c r="H506"/>
  <c r="G506"/>
  <c r="N505"/>
  <c r="K505"/>
  <c r="I505"/>
  <c r="J505" s="1"/>
  <c r="H505"/>
  <c r="G505"/>
  <c r="N504"/>
  <c r="L504"/>
  <c r="M504" s="1"/>
  <c r="K504"/>
  <c r="I504"/>
  <c r="J504" s="1"/>
  <c r="H504"/>
  <c r="G504"/>
  <c r="N503"/>
  <c r="K503"/>
  <c r="I503"/>
  <c r="J503" s="1"/>
  <c r="H503"/>
  <c r="G503"/>
  <c r="N502"/>
  <c r="K502"/>
  <c r="I502"/>
  <c r="J502" s="1"/>
  <c r="G502"/>
  <c r="N501"/>
  <c r="K501"/>
  <c r="I501"/>
  <c r="J501" s="1"/>
  <c r="G501"/>
  <c r="N500"/>
  <c r="K500"/>
  <c r="I500"/>
  <c r="J500" s="1"/>
  <c r="H500"/>
  <c r="G500"/>
  <c r="N499"/>
  <c r="L499"/>
  <c r="M499" s="1"/>
  <c r="K499"/>
  <c r="I499"/>
  <c r="J499" s="1"/>
  <c r="H499"/>
  <c r="G499"/>
  <c r="N498"/>
  <c r="K498"/>
  <c r="I498"/>
  <c r="J498" s="1"/>
  <c r="H498"/>
  <c r="G498"/>
  <c r="N497"/>
  <c r="K497"/>
  <c r="I497"/>
  <c r="J497" s="1"/>
  <c r="H497"/>
  <c r="G497"/>
  <c r="N496"/>
  <c r="K496"/>
  <c r="I496"/>
  <c r="J496" s="1"/>
  <c r="H496"/>
  <c r="G496"/>
  <c r="N495"/>
  <c r="K495"/>
  <c r="I495"/>
  <c r="J495" s="1"/>
  <c r="H495"/>
  <c r="G495"/>
  <c r="N494"/>
  <c r="K494"/>
  <c r="I494"/>
  <c r="J494" s="1"/>
  <c r="H494"/>
  <c r="G494"/>
  <c r="N493"/>
  <c r="K493"/>
  <c r="I493"/>
  <c r="J493" s="1"/>
  <c r="H493"/>
  <c r="G493"/>
  <c r="N492"/>
  <c r="K492"/>
  <c r="I492"/>
  <c r="J492" s="1"/>
  <c r="H492"/>
  <c r="G492"/>
  <c r="N491"/>
  <c r="K491"/>
  <c r="I491"/>
  <c r="J491" s="1"/>
  <c r="H491"/>
  <c r="G491"/>
  <c r="H490"/>
  <c r="H489"/>
  <c r="H488"/>
  <c r="H487"/>
  <c r="H486"/>
  <c r="H485"/>
  <c r="H484"/>
  <c r="H483"/>
  <c r="H482"/>
  <c r="H481"/>
  <c r="H480"/>
  <c r="H479"/>
  <c r="H478"/>
  <c r="H477"/>
  <c r="H476"/>
  <c r="H475"/>
  <c r="H474"/>
  <c r="H473"/>
  <c r="H472"/>
  <c r="H471"/>
  <c r="H470"/>
  <c r="H469"/>
  <c r="H468"/>
  <c r="H467"/>
  <c r="H466"/>
  <c r="H465"/>
  <c r="H464"/>
  <c r="H463"/>
  <c r="H462"/>
  <c r="H461"/>
  <c r="H460"/>
  <c r="H459"/>
  <c r="H458"/>
  <c r="H457"/>
  <c r="H456"/>
  <c r="H455"/>
  <c r="H454"/>
  <c r="H453"/>
  <c r="H452"/>
  <c r="H451"/>
  <c r="H450"/>
  <c r="H449"/>
  <c r="H448"/>
  <c r="H447"/>
  <c r="H446"/>
  <c r="H445"/>
  <c r="H444"/>
  <c r="H443"/>
  <c r="H442"/>
  <c r="H441"/>
  <c r="H440"/>
  <c r="H439"/>
  <c r="H438"/>
  <c r="H437"/>
  <c r="H436"/>
  <c r="H435"/>
  <c r="H434"/>
  <c r="H433"/>
  <c r="H432"/>
  <c r="H431"/>
  <c r="H430"/>
  <c r="H429"/>
  <c r="H428"/>
  <c r="H427"/>
  <c r="H426"/>
  <c r="H425"/>
  <c r="H424"/>
  <c r="H423"/>
  <c r="H422"/>
  <c r="H421"/>
  <c r="H420"/>
  <c r="H419"/>
  <c r="H418"/>
  <c r="H417"/>
  <c r="H416"/>
  <c r="H415"/>
  <c r="H414"/>
  <c r="H413"/>
  <c r="H412"/>
  <c r="H411"/>
  <c r="H410"/>
  <c r="H409"/>
  <c r="H408"/>
  <c r="H407"/>
  <c r="H406"/>
  <c r="H405"/>
  <c r="H404"/>
  <c r="H403"/>
  <c r="H402"/>
  <c r="H401"/>
  <c r="H400"/>
  <c r="H399"/>
  <c r="H398"/>
  <c r="H397"/>
  <c r="H396"/>
  <c r="H395"/>
  <c r="H394"/>
  <c r="H393"/>
  <c r="H392"/>
  <c r="H391"/>
  <c r="H390"/>
  <c r="H389"/>
  <c r="H388"/>
  <c r="H387"/>
  <c r="H386"/>
  <c r="H385"/>
  <c r="H384"/>
  <c r="H383"/>
  <c r="H382"/>
  <c r="H381"/>
  <c r="H380"/>
  <c r="H379"/>
  <c r="H378"/>
  <c r="H377"/>
  <c r="H376"/>
  <c r="H375"/>
  <c r="H374"/>
  <c r="H373"/>
  <c r="H372"/>
  <c r="H371"/>
  <c r="H370"/>
  <c r="H369"/>
  <c r="H368"/>
  <c r="H367"/>
  <c r="H366"/>
  <c r="H365"/>
  <c r="H364"/>
  <c r="H363"/>
  <c r="H362"/>
  <c r="H361"/>
  <c r="H360"/>
  <c r="H359"/>
  <c r="H358"/>
  <c r="H357"/>
  <c r="H356"/>
  <c r="H355"/>
  <c r="H354"/>
  <c r="H353"/>
  <c r="H352"/>
  <c r="H351"/>
  <c r="H350"/>
  <c r="H349"/>
  <c r="H348"/>
  <c r="H347"/>
  <c r="H346"/>
  <c r="H345"/>
  <c r="H344"/>
  <c r="H343"/>
  <c r="H342"/>
  <c r="H341"/>
  <c r="H340"/>
  <c r="H339"/>
  <c r="H338"/>
  <c r="H337"/>
  <c r="H336"/>
  <c r="H335"/>
  <c r="H334"/>
  <c r="H333"/>
  <c r="H332"/>
  <c r="H331"/>
  <c r="H330"/>
  <c r="H329"/>
  <c r="H328"/>
  <c r="H327"/>
  <c r="H326"/>
  <c r="H325"/>
  <c r="H324"/>
  <c r="H323"/>
  <c r="H322"/>
  <c r="H321"/>
  <c r="H320"/>
  <c r="H319"/>
  <c r="H318"/>
  <c r="H317"/>
  <c r="H316"/>
  <c r="H315"/>
  <c r="H314"/>
  <c r="H313"/>
  <c r="H312"/>
  <c r="H311"/>
  <c r="H310"/>
  <c r="H309"/>
  <c r="H308"/>
  <c r="H307"/>
  <c r="H306"/>
  <c r="H305"/>
  <c r="H304"/>
  <c r="H303"/>
  <c r="H302"/>
  <c r="H301"/>
  <c r="H300"/>
  <c r="H299"/>
  <c r="H298"/>
  <c r="H297"/>
  <c r="H296"/>
  <c r="H295"/>
  <c r="H294"/>
  <c r="H293"/>
  <c r="H292"/>
  <c r="H291"/>
  <c r="H290"/>
  <c r="H289"/>
  <c r="H288"/>
  <c r="H287"/>
  <c r="H286"/>
  <c r="H285"/>
  <c r="H284"/>
  <c r="H283"/>
  <c r="H282"/>
  <c r="H281"/>
  <c r="H280"/>
  <c r="H279"/>
  <c r="H278"/>
  <c r="H277"/>
  <c r="H276"/>
  <c r="H275"/>
  <c r="H274"/>
  <c r="H273"/>
  <c r="H272"/>
  <c r="H271"/>
  <c r="H270"/>
  <c r="H269"/>
  <c r="H268"/>
  <c r="H267"/>
  <c r="H266"/>
  <c r="H265"/>
  <c r="H264"/>
  <c r="H263"/>
  <c r="H262"/>
  <c r="H261"/>
  <c r="H260"/>
  <c r="H259"/>
  <c r="H258"/>
  <c r="H257"/>
  <c r="H256"/>
  <c r="H255"/>
  <c r="H254"/>
  <c r="H253"/>
  <c r="H252"/>
  <c r="H251"/>
  <c r="H250"/>
  <c r="H249"/>
  <c r="H248"/>
  <c r="H247"/>
  <c r="H246"/>
  <c r="H245"/>
  <c r="H244"/>
  <c r="H243"/>
  <c r="H242"/>
  <c r="H241"/>
  <c r="H240"/>
  <c r="H239"/>
  <c r="H238"/>
  <c r="H237"/>
  <c r="H236"/>
  <c r="H235"/>
  <c r="H234"/>
  <c r="H233"/>
  <c r="H232"/>
  <c r="H231"/>
  <c r="H230"/>
  <c r="H229"/>
  <c r="H228"/>
  <c r="H227"/>
  <c r="H226"/>
  <c r="H225"/>
  <c r="H224"/>
  <c r="H223"/>
  <c r="H222"/>
  <c r="H221"/>
  <c r="H220"/>
  <c r="H219"/>
  <c r="H218"/>
  <c r="H217"/>
  <c r="H216"/>
  <c r="H215"/>
  <c r="H214"/>
  <c r="H213"/>
  <c r="H212"/>
  <c r="H211"/>
  <c r="H210"/>
  <c r="H209"/>
  <c r="H208"/>
  <c r="H207"/>
  <c r="H206"/>
  <c r="H205"/>
  <c r="H204"/>
  <c r="H203"/>
  <c r="H202"/>
  <c r="H201"/>
  <c r="H200"/>
  <c r="H199"/>
  <c r="H198"/>
  <c r="H197"/>
  <c r="H196"/>
  <c r="H195"/>
  <c r="H194"/>
  <c r="H193"/>
  <c r="H192"/>
  <c r="H191"/>
  <c r="H190"/>
  <c r="H189"/>
  <c r="H188"/>
  <c r="H187"/>
  <c r="H186"/>
  <c r="H185"/>
  <c r="H184"/>
  <c r="H183"/>
  <c r="H182"/>
  <c r="H181"/>
  <c r="H180"/>
  <c r="H179"/>
  <c r="H178"/>
  <c r="H177"/>
  <c r="H176"/>
  <c r="H175"/>
  <c r="H174"/>
  <c r="H173"/>
  <c r="H172"/>
  <c r="H171"/>
  <c r="H170"/>
  <c r="H169"/>
  <c r="H168"/>
  <c r="H167"/>
  <c r="H166"/>
  <c r="H165"/>
  <c r="H164"/>
  <c r="H163"/>
  <c r="H162"/>
  <c r="H161"/>
  <c r="H160"/>
  <c r="H159"/>
  <c r="H158"/>
  <c r="H157"/>
  <c r="H156"/>
  <c r="H155"/>
  <c r="H154"/>
  <c r="H153"/>
  <c r="H152"/>
  <c r="H151"/>
  <c r="H150"/>
  <c r="H149"/>
  <c r="H148"/>
  <c r="H147"/>
  <c r="H146"/>
  <c r="H145"/>
  <c r="H144"/>
  <c r="H143"/>
  <c r="H142"/>
  <c r="H141"/>
  <c r="H140"/>
  <c r="H139"/>
  <c r="H138"/>
  <c r="H137"/>
  <c r="H136"/>
  <c r="H135"/>
  <c r="H134"/>
  <c r="H133"/>
  <c r="H132"/>
  <c r="H131"/>
  <c r="H130"/>
  <c r="H129"/>
  <c r="H128"/>
  <c r="H127"/>
  <c r="H126"/>
  <c r="H125"/>
  <c r="H124"/>
  <c r="H123"/>
  <c r="H122"/>
  <c r="H121"/>
  <c r="H120"/>
  <c r="H119"/>
  <c r="H118"/>
  <c r="H117"/>
  <c r="H116"/>
  <c r="H115"/>
  <c r="H114"/>
  <c r="H113"/>
  <c r="H112"/>
  <c r="H111"/>
  <c r="H110"/>
  <c r="H109"/>
  <c r="H108"/>
  <c r="H107"/>
  <c r="H106"/>
  <c r="H105"/>
  <c r="H104"/>
  <c r="H103"/>
  <c r="H102"/>
  <c r="H101"/>
  <c r="H100"/>
  <c r="H99"/>
  <c r="H98"/>
  <c r="H97"/>
  <c r="H96"/>
  <c r="H95"/>
  <c r="H94"/>
  <c r="H93"/>
  <c r="H92"/>
  <c r="H91"/>
  <c r="H90"/>
  <c r="H89"/>
  <c r="H88"/>
  <c r="H87"/>
  <c r="H86"/>
  <c r="H85"/>
  <c r="H84"/>
  <c r="H83"/>
  <c r="H82"/>
  <c r="H81"/>
  <c r="H80"/>
  <c r="H79"/>
  <c r="H78"/>
  <c r="H77"/>
  <c r="H76"/>
  <c r="H75"/>
  <c r="H74"/>
  <c r="H73"/>
  <c r="H72"/>
  <c r="H71"/>
  <c r="H70"/>
  <c r="H69"/>
  <c r="H68"/>
  <c r="H67"/>
  <c r="H66"/>
  <c r="H65"/>
  <c r="H64"/>
  <c r="H63"/>
  <c r="H62"/>
  <c r="H61"/>
  <c r="H60"/>
  <c r="H59"/>
  <c r="H58"/>
  <c r="H57"/>
  <c r="H56"/>
  <c r="H55"/>
  <c r="H54"/>
  <c r="H53"/>
  <c r="H52"/>
  <c r="H51"/>
  <c r="H50"/>
  <c r="H49"/>
  <c r="H48"/>
  <c r="H47"/>
  <c r="H46"/>
  <c r="H45"/>
  <c r="H44"/>
  <c r="H43"/>
  <c r="H42"/>
  <c r="H41"/>
  <c r="H40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H9"/>
  <c r="H8"/>
  <c r="H7"/>
  <c r="H6"/>
  <c r="H5"/>
  <c r="H4"/>
  <c r="H3"/>
  <c r="H2"/>
  <c r="N490"/>
  <c r="N489"/>
  <c r="N488"/>
  <c r="N487"/>
  <c r="N486"/>
  <c r="N485"/>
  <c r="N484"/>
  <c r="N483"/>
  <c r="N482"/>
  <c r="N481"/>
  <c r="N480"/>
  <c r="N479"/>
  <c r="N478"/>
  <c r="N477"/>
  <c r="N476"/>
  <c r="N475"/>
  <c r="N474"/>
  <c r="N473"/>
  <c r="N472"/>
  <c r="N471"/>
  <c r="N470"/>
  <c r="N469"/>
  <c r="N468"/>
  <c r="N467"/>
  <c r="N466"/>
  <c r="N465"/>
  <c r="N464"/>
  <c r="N463"/>
  <c r="N462"/>
  <c r="N461"/>
  <c r="N460"/>
  <c r="N459"/>
  <c r="N458"/>
  <c r="N457"/>
  <c r="N456"/>
  <c r="N455"/>
  <c r="N454"/>
  <c r="N453"/>
  <c r="N452"/>
  <c r="N451"/>
  <c r="N450"/>
  <c r="N449"/>
  <c r="N448"/>
  <c r="N447"/>
  <c r="N446"/>
  <c r="N445"/>
  <c r="N444"/>
  <c r="N443"/>
  <c r="N442"/>
  <c r="N441"/>
  <c r="N440"/>
  <c r="N439"/>
  <c r="N438"/>
  <c r="N437"/>
  <c r="N436"/>
  <c r="N435"/>
  <c r="N434"/>
  <c r="N433"/>
  <c r="N432"/>
  <c r="N431"/>
  <c r="N430"/>
  <c r="N429"/>
  <c r="N428"/>
  <c r="N427"/>
  <c r="N426"/>
  <c r="N425"/>
  <c r="N424"/>
  <c r="N423"/>
  <c r="N422"/>
  <c r="N421"/>
  <c r="N420"/>
  <c r="N419"/>
  <c r="N418"/>
  <c r="N417"/>
  <c r="N416"/>
  <c r="N415"/>
  <c r="N414"/>
  <c r="N413"/>
  <c r="N412"/>
  <c r="N411"/>
  <c r="N410"/>
  <c r="N409"/>
  <c r="N408"/>
  <c r="N407"/>
  <c r="N406"/>
  <c r="N405"/>
  <c r="N404"/>
  <c r="N403"/>
  <c r="N402"/>
  <c r="N401"/>
  <c r="N400"/>
  <c r="N399"/>
  <c r="N398"/>
  <c r="N397"/>
  <c r="N396"/>
  <c r="N395"/>
  <c r="N394"/>
  <c r="N393"/>
  <c r="N392"/>
  <c r="N391"/>
  <c r="N390"/>
  <c r="N389"/>
  <c r="N388"/>
  <c r="N387"/>
  <c r="N386"/>
  <c r="N385"/>
  <c r="N384"/>
  <c r="N383"/>
  <c r="N382"/>
  <c r="N381"/>
  <c r="N380"/>
  <c r="N379"/>
  <c r="N378"/>
  <c r="N377"/>
  <c r="N376"/>
  <c r="N375"/>
  <c r="N374"/>
  <c r="N373"/>
  <c r="N372"/>
  <c r="N371"/>
  <c r="N370"/>
  <c r="N369"/>
  <c r="N368"/>
  <c r="N367"/>
  <c r="N366"/>
  <c r="N365"/>
  <c r="N364"/>
  <c r="N363"/>
  <c r="N362"/>
  <c r="N361"/>
  <c r="N360"/>
  <c r="N359"/>
  <c r="N358"/>
  <c r="N357"/>
  <c r="N356"/>
  <c r="N355"/>
  <c r="N354"/>
  <c r="N353"/>
  <c r="N352"/>
  <c r="N351"/>
  <c r="N350"/>
  <c r="N349"/>
  <c r="N348"/>
  <c r="N347"/>
  <c r="N346"/>
  <c r="N345"/>
  <c r="N344"/>
  <c r="N343"/>
  <c r="N342"/>
  <c r="N341"/>
  <c r="N340"/>
  <c r="N339"/>
  <c r="N338"/>
  <c r="N337"/>
  <c r="N336"/>
  <c r="N335"/>
  <c r="N334"/>
  <c r="N333"/>
  <c r="N332"/>
  <c r="N331"/>
  <c r="N330"/>
  <c r="N329"/>
  <c r="N328"/>
  <c r="N327"/>
  <c r="N326"/>
  <c r="N325"/>
  <c r="N324"/>
  <c r="N323"/>
  <c r="N322"/>
  <c r="N321"/>
  <c r="N320"/>
  <c r="N319"/>
  <c r="N318"/>
  <c r="N317"/>
  <c r="N316"/>
  <c r="N315"/>
  <c r="N314"/>
  <c r="N313"/>
  <c r="N312"/>
  <c r="N311"/>
  <c r="N310"/>
  <c r="N309"/>
  <c r="N308"/>
  <c r="N307"/>
  <c r="N306"/>
  <c r="N305"/>
  <c r="N304"/>
  <c r="N303"/>
  <c r="N302"/>
  <c r="N301"/>
  <c r="N300"/>
  <c r="N299"/>
  <c r="N298"/>
  <c r="N297"/>
  <c r="N296"/>
  <c r="N295"/>
  <c r="N294"/>
  <c r="N293"/>
  <c r="N292"/>
  <c r="N291"/>
  <c r="N290"/>
  <c r="N289"/>
  <c r="N288"/>
  <c r="N287"/>
  <c r="N286"/>
  <c r="N285"/>
  <c r="N284"/>
  <c r="N283"/>
  <c r="N282"/>
  <c r="N281"/>
  <c r="N280"/>
  <c r="N279"/>
  <c r="N278"/>
  <c r="N277"/>
  <c r="N276"/>
  <c r="N275"/>
  <c r="N274"/>
  <c r="N273"/>
  <c r="N272"/>
  <c r="N271"/>
  <c r="N270"/>
  <c r="N269"/>
  <c r="N268"/>
  <c r="N267"/>
  <c r="N266"/>
  <c r="N265"/>
  <c r="N264"/>
  <c r="N263"/>
  <c r="N262"/>
  <c r="N261"/>
  <c r="N260"/>
  <c r="N259"/>
  <c r="N258"/>
  <c r="N257"/>
  <c r="N256"/>
  <c r="N255"/>
  <c r="N254"/>
  <c r="N253"/>
  <c r="N252"/>
  <c r="N251"/>
  <c r="N250"/>
  <c r="N249"/>
  <c r="N248"/>
  <c r="N247"/>
  <c r="N246"/>
  <c r="N245"/>
  <c r="N244"/>
  <c r="N243"/>
  <c r="N242"/>
  <c r="N241"/>
  <c r="N240"/>
  <c r="N239"/>
  <c r="N238"/>
  <c r="N237"/>
  <c r="N236"/>
  <c r="N235"/>
  <c r="N234"/>
  <c r="N233"/>
  <c r="N232"/>
  <c r="N231"/>
  <c r="N230"/>
  <c r="N229"/>
  <c r="N228"/>
  <c r="N227"/>
  <c r="N226"/>
  <c r="N225"/>
  <c r="N224"/>
  <c r="N223"/>
  <c r="N222"/>
  <c r="N221"/>
  <c r="N220"/>
  <c r="N219"/>
  <c r="N218"/>
  <c r="N217"/>
  <c r="N216"/>
  <c r="N215"/>
  <c r="N214"/>
  <c r="N213"/>
  <c r="N212"/>
  <c r="N211"/>
  <c r="N210"/>
  <c r="N209"/>
  <c r="N208"/>
  <c r="N207"/>
  <c r="N206"/>
  <c r="N205"/>
  <c r="N204"/>
  <c r="N203"/>
  <c r="N202"/>
  <c r="N201"/>
  <c r="N200"/>
  <c r="N199"/>
  <c r="N198"/>
  <c r="N197"/>
  <c r="N196"/>
  <c r="N195"/>
  <c r="N194"/>
  <c r="N193"/>
  <c r="N192"/>
  <c r="N191"/>
  <c r="N190"/>
  <c r="N189"/>
  <c r="N188"/>
  <c r="N187"/>
  <c r="N186"/>
  <c r="N185"/>
  <c r="N184"/>
  <c r="N183"/>
  <c r="N182"/>
  <c r="N181"/>
  <c r="N180"/>
  <c r="N179"/>
  <c r="N178"/>
  <c r="N177"/>
  <c r="N176"/>
  <c r="N175"/>
  <c r="N174"/>
  <c r="N173"/>
  <c r="N172"/>
  <c r="N171"/>
  <c r="N170"/>
  <c r="N169"/>
  <c r="N168"/>
  <c r="N167"/>
  <c r="N166"/>
  <c r="N165"/>
  <c r="N164"/>
  <c r="N163"/>
  <c r="N162"/>
  <c r="N161"/>
  <c r="N160"/>
  <c r="N159"/>
  <c r="N158"/>
  <c r="N157"/>
  <c r="N156"/>
  <c r="N155"/>
  <c r="N154"/>
  <c r="N153"/>
  <c r="N152"/>
  <c r="N151"/>
  <c r="N150"/>
  <c r="N149"/>
  <c r="N148"/>
  <c r="N147"/>
  <c r="N146"/>
  <c r="N145"/>
  <c r="N144"/>
  <c r="N143"/>
  <c r="N142"/>
  <c r="N141"/>
  <c r="N140"/>
  <c r="N139"/>
  <c r="N138"/>
  <c r="N137"/>
  <c r="N136"/>
  <c r="N135"/>
  <c r="N134"/>
  <c r="N133"/>
  <c r="N132"/>
  <c r="N131"/>
  <c r="N130"/>
  <c r="N129"/>
  <c r="N128"/>
  <c r="N127"/>
  <c r="N126"/>
  <c r="N125"/>
  <c r="N124"/>
  <c r="N123"/>
  <c r="N122"/>
  <c r="N121"/>
  <c r="N120"/>
  <c r="N119"/>
  <c r="N118"/>
  <c r="N117"/>
  <c r="N116"/>
  <c r="N115"/>
  <c r="N114"/>
  <c r="N113"/>
  <c r="N112"/>
  <c r="N111"/>
  <c r="N110"/>
  <c r="N109"/>
  <c r="N108"/>
  <c r="N107"/>
  <c r="N106"/>
  <c r="N105"/>
  <c r="N104"/>
  <c r="N103"/>
  <c r="N102"/>
  <c r="N101"/>
  <c r="N100"/>
  <c r="N99"/>
  <c r="N98"/>
  <c r="N97"/>
  <c r="N96"/>
  <c r="N95"/>
  <c r="N94"/>
  <c r="N93"/>
  <c r="N92"/>
  <c r="N91"/>
  <c r="N90"/>
  <c r="N89"/>
  <c r="N88"/>
  <c r="N87"/>
  <c r="N86"/>
  <c r="N85"/>
  <c r="N84"/>
  <c r="N83"/>
  <c r="N82"/>
  <c r="N81"/>
  <c r="N80"/>
  <c r="N79"/>
  <c r="N78"/>
  <c r="N77"/>
  <c r="N76"/>
  <c r="N75"/>
  <c r="N74"/>
  <c r="N73"/>
  <c r="N72"/>
  <c r="N71"/>
  <c r="N70"/>
  <c r="N69"/>
  <c r="N68"/>
  <c r="N67"/>
  <c r="N66"/>
  <c r="N65"/>
  <c r="N64"/>
  <c r="N63"/>
  <c r="N62"/>
  <c r="N61"/>
  <c r="N60"/>
  <c r="N59"/>
  <c r="N58"/>
  <c r="N57"/>
  <c r="N56"/>
  <c r="N55"/>
  <c r="N54"/>
  <c r="N53"/>
  <c r="N52"/>
  <c r="N51"/>
  <c r="N50"/>
  <c r="N49"/>
  <c r="N48"/>
  <c r="N47"/>
  <c r="N46"/>
  <c r="N45"/>
  <c r="N44"/>
  <c r="N43"/>
  <c r="N42"/>
  <c r="N41"/>
  <c r="N40"/>
  <c r="N39"/>
  <c r="N38"/>
  <c r="N37"/>
  <c r="N36"/>
  <c r="N35"/>
  <c r="N34"/>
  <c r="N33"/>
  <c r="N32"/>
  <c r="N31"/>
  <c r="N30"/>
  <c r="N29"/>
  <c r="N28"/>
  <c r="N27"/>
  <c r="N26"/>
  <c r="N25"/>
  <c r="N24"/>
  <c r="N23"/>
  <c r="N22"/>
  <c r="N21"/>
  <c r="N20"/>
  <c r="N19"/>
  <c r="N18"/>
  <c r="N17"/>
  <c r="N16"/>
  <c r="N15"/>
  <c r="N14"/>
  <c r="N13"/>
  <c r="N12"/>
  <c r="N11"/>
  <c r="N10"/>
  <c r="N9"/>
  <c r="N8"/>
  <c r="N7"/>
  <c r="N6"/>
  <c r="N5"/>
  <c r="N4"/>
  <c r="N3"/>
  <c r="N2"/>
  <c r="K2"/>
  <c r="L490"/>
  <c r="M490" s="1"/>
  <c r="K490"/>
  <c r="K489"/>
  <c r="K488"/>
  <c r="K487"/>
  <c r="K486"/>
  <c r="K485"/>
  <c r="K484"/>
  <c r="K483"/>
  <c r="K482"/>
  <c r="K481"/>
  <c r="K480"/>
  <c r="K479"/>
  <c r="K478"/>
  <c r="K477"/>
  <c r="K476"/>
  <c r="K475"/>
  <c r="L474"/>
  <c r="M474" s="1"/>
  <c r="K474"/>
  <c r="K473"/>
  <c r="K472"/>
  <c r="K471"/>
  <c r="K470"/>
  <c r="K469"/>
  <c r="L468"/>
  <c r="M468" s="1"/>
  <c r="K468"/>
  <c r="K467"/>
  <c r="K466"/>
  <c r="K465"/>
  <c r="K464"/>
  <c r="K463"/>
  <c r="K462"/>
  <c r="K461"/>
  <c r="K460"/>
  <c r="K459"/>
  <c r="K458"/>
  <c r="K457"/>
  <c r="K456"/>
  <c r="K455"/>
  <c r="K454"/>
  <c r="K453"/>
  <c r="K452"/>
  <c r="K451"/>
  <c r="K450"/>
  <c r="K449"/>
  <c r="K448"/>
  <c r="K447"/>
  <c r="K446"/>
  <c r="K445"/>
  <c r="K444"/>
  <c r="K443"/>
  <c r="K442"/>
  <c r="K441"/>
  <c r="K440"/>
  <c r="K439"/>
  <c r="K438"/>
  <c r="K437"/>
  <c r="L436"/>
  <c r="M436" s="1"/>
  <c r="K436"/>
  <c r="K435"/>
  <c r="K434"/>
  <c r="K433"/>
  <c r="K432"/>
  <c r="K431"/>
  <c r="K430"/>
  <c r="K429"/>
  <c r="K428"/>
  <c r="K427"/>
  <c r="K426"/>
  <c r="K425"/>
  <c r="K424"/>
  <c r="K423"/>
  <c r="K422"/>
  <c r="K421"/>
  <c r="K420"/>
  <c r="K419"/>
  <c r="K418"/>
  <c r="K417"/>
  <c r="K416"/>
  <c r="K415"/>
  <c r="K414"/>
  <c r="K413"/>
  <c r="K412"/>
  <c r="K411"/>
  <c r="L410"/>
  <c r="M410" s="1"/>
  <c r="K410"/>
  <c r="K409"/>
  <c r="K408"/>
  <c r="K407"/>
  <c r="K406"/>
  <c r="K405"/>
  <c r="K404"/>
  <c r="K403"/>
  <c r="K402"/>
  <c r="K401"/>
  <c r="K400"/>
  <c r="K399"/>
  <c r="K398"/>
  <c r="K397"/>
  <c r="K396"/>
  <c r="K395"/>
  <c r="L394"/>
  <c r="M394" s="1"/>
  <c r="K394"/>
  <c r="K393"/>
  <c r="K392"/>
  <c r="K391"/>
  <c r="K390"/>
  <c r="K389"/>
  <c r="K388"/>
  <c r="K387"/>
  <c r="K386"/>
  <c r="K385"/>
  <c r="K384"/>
  <c r="K383"/>
  <c r="K382"/>
  <c r="K381"/>
  <c r="L380"/>
  <c r="M380" s="1"/>
  <c r="K380"/>
  <c r="K379"/>
  <c r="K378"/>
  <c r="K377"/>
  <c r="K376"/>
  <c r="K375"/>
  <c r="K374"/>
  <c r="K373"/>
  <c r="K372"/>
  <c r="K371"/>
  <c r="K370"/>
  <c r="K369"/>
  <c r="K368"/>
  <c r="K367"/>
  <c r="K366"/>
  <c r="K365"/>
  <c r="K364"/>
  <c r="K363"/>
  <c r="K362"/>
  <c r="K361"/>
  <c r="L360"/>
  <c r="M360" s="1"/>
  <c r="K360"/>
  <c r="K359"/>
  <c r="K358"/>
  <c r="K357"/>
  <c r="K356"/>
  <c r="K355"/>
  <c r="L354"/>
  <c r="M354" s="1"/>
  <c r="K354"/>
  <c r="K353"/>
  <c r="K352"/>
  <c r="K351"/>
  <c r="K350"/>
  <c r="K349"/>
  <c r="K348"/>
  <c r="K347"/>
  <c r="K346"/>
  <c r="K345"/>
  <c r="K344"/>
  <c r="K343"/>
  <c r="K342"/>
  <c r="K341"/>
  <c r="K340"/>
  <c r="K339"/>
  <c r="K338"/>
  <c r="K337"/>
  <c r="K336"/>
  <c r="K335"/>
  <c r="K334"/>
  <c r="K333"/>
  <c r="K332"/>
  <c r="K331"/>
  <c r="K330"/>
  <c r="K329"/>
  <c r="K328"/>
  <c r="K327"/>
  <c r="K326"/>
  <c r="K325"/>
  <c r="K324"/>
  <c r="K323"/>
  <c r="K322"/>
  <c r="K321"/>
  <c r="K320"/>
  <c r="K319"/>
  <c r="L318"/>
  <c r="M318" s="1"/>
  <c r="K318"/>
  <c r="K317"/>
  <c r="K316"/>
  <c r="K315"/>
  <c r="K314"/>
  <c r="L313"/>
  <c r="M313" s="1"/>
  <c r="K313"/>
  <c r="K312"/>
  <c r="K311"/>
  <c r="K310"/>
  <c r="K309"/>
  <c r="K308"/>
  <c r="K307"/>
  <c r="K306"/>
  <c r="K305"/>
  <c r="K304"/>
  <c r="K303"/>
  <c r="K302"/>
  <c r="K301"/>
  <c r="L300"/>
  <c r="M300" s="1"/>
  <c r="K300"/>
  <c r="K299"/>
  <c r="K298"/>
  <c r="K297"/>
  <c r="K296"/>
  <c r="K295"/>
  <c r="K294"/>
  <c r="K293"/>
  <c r="K292"/>
  <c r="K291"/>
  <c r="K290"/>
  <c r="K289"/>
  <c r="K288"/>
  <c r="K287"/>
  <c r="K286"/>
  <c r="L285"/>
  <c r="M285" s="1"/>
  <c r="K285"/>
  <c r="L284"/>
  <c r="M284" s="1"/>
  <c r="K284"/>
  <c r="K283"/>
  <c r="K282"/>
  <c r="K281"/>
  <c r="L280"/>
  <c r="M280" s="1"/>
  <c r="K280"/>
  <c r="K279"/>
  <c r="K278"/>
  <c r="K277"/>
  <c r="K276"/>
  <c r="K275"/>
  <c r="L274"/>
  <c r="M274" s="1"/>
  <c r="K274"/>
  <c r="K273"/>
  <c r="K272"/>
  <c r="K271"/>
  <c r="K270"/>
  <c r="K269"/>
  <c r="K268"/>
  <c r="K267"/>
  <c r="L266"/>
  <c r="M266" s="1"/>
  <c r="K266"/>
  <c r="K265"/>
  <c r="K264"/>
  <c r="K263"/>
  <c r="K262"/>
  <c r="K261"/>
  <c r="K260"/>
  <c r="K259"/>
  <c r="K258"/>
  <c r="K257"/>
  <c r="K256"/>
  <c r="K255"/>
  <c r="K254"/>
  <c r="K253"/>
  <c r="K252"/>
  <c r="K251"/>
  <c r="K250"/>
  <c r="K249"/>
  <c r="K248"/>
  <c r="K247"/>
  <c r="L246"/>
  <c r="M246" s="1"/>
  <c r="K246"/>
  <c r="L245"/>
  <c r="M245" s="1"/>
  <c r="K245"/>
  <c r="K244"/>
  <c r="K243"/>
  <c r="K242"/>
  <c r="K241"/>
  <c r="K240"/>
  <c r="K239"/>
  <c r="K238"/>
  <c r="K237"/>
  <c r="K236"/>
  <c r="K235"/>
  <c r="K234"/>
  <c r="L233"/>
  <c r="M233" s="1"/>
  <c r="K233"/>
  <c r="L232"/>
  <c r="M232" s="1"/>
  <c r="K232"/>
  <c r="K231"/>
  <c r="K230"/>
  <c r="L229"/>
  <c r="M229" s="1"/>
  <c r="K229"/>
  <c r="K228"/>
  <c r="K227"/>
  <c r="K226"/>
  <c r="K225"/>
  <c r="K224"/>
  <c r="K223"/>
  <c r="K222"/>
  <c r="K221"/>
  <c r="K220"/>
  <c r="K219"/>
  <c r="K218"/>
  <c r="K217"/>
  <c r="K216"/>
  <c r="K215"/>
  <c r="K214"/>
  <c r="K213"/>
  <c r="K212"/>
  <c r="K211"/>
  <c r="K210"/>
  <c r="K209"/>
  <c r="K208"/>
  <c r="K207"/>
  <c r="K206"/>
  <c r="K205"/>
  <c r="K204"/>
  <c r="K203"/>
  <c r="K202"/>
  <c r="K201"/>
  <c r="K200"/>
  <c r="K199"/>
  <c r="K198"/>
  <c r="K197"/>
  <c r="L196"/>
  <c r="M196" s="1"/>
  <c r="K196"/>
  <c r="K195"/>
  <c r="K194"/>
  <c r="K193"/>
  <c r="K192"/>
  <c r="K191"/>
  <c r="K190"/>
  <c r="K189"/>
  <c r="K188"/>
  <c r="K187"/>
  <c r="K186"/>
  <c r="K185"/>
  <c r="K184"/>
  <c r="K183"/>
  <c r="K182"/>
  <c r="K181"/>
  <c r="K180"/>
  <c r="K179"/>
  <c r="K178"/>
  <c r="K177"/>
  <c r="K176"/>
  <c r="K175"/>
  <c r="K174"/>
  <c r="K173"/>
  <c r="L172"/>
  <c r="M172" s="1"/>
  <c r="K172"/>
  <c r="K171"/>
  <c r="L170"/>
  <c r="M170" s="1"/>
  <c r="K170"/>
  <c r="K169"/>
  <c r="L168"/>
  <c r="M168" s="1"/>
  <c r="K168"/>
  <c r="K167"/>
  <c r="K166"/>
  <c r="L165"/>
  <c r="M165" s="1"/>
  <c r="K165"/>
  <c r="K164"/>
  <c r="K163"/>
  <c r="K162"/>
  <c r="K161"/>
  <c r="K160"/>
  <c r="K159"/>
  <c r="K158"/>
  <c r="L157"/>
  <c r="M157" s="1"/>
  <c r="K157"/>
  <c r="K156"/>
  <c r="K155"/>
  <c r="K154"/>
  <c r="K153"/>
  <c r="K152"/>
  <c r="K151"/>
  <c r="L150"/>
  <c r="M150" s="1"/>
  <c r="K150"/>
  <c r="K149"/>
  <c r="K148"/>
  <c r="K147"/>
  <c r="K146"/>
  <c r="K145"/>
  <c r="L144"/>
  <c r="M144" s="1"/>
  <c r="K144"/>
  <c r="K143"/>
  <c r="K142"/>
  <c r="K141"/>
  <c r="K140"/>
  <c r="K139"/>
  <c r="K138"/>
  <c r="K137"/>
  <c r="K136"/>
  <c r="K135"/>
  <c r="K134"/>
  <c r="K133"/>
  <c r="K132"/>
  <c r="K131"/>
  <c r="K130"/>
  <c r="K129"/>
  <c r="K128"/>
  <c r="K127"/>
  <c r="K126"/>
  <c r="K125"/>
  <c r="K124"/>
  <c r="K123"/>
  <c r="L122"/>
  <c r="M122" s="1"/>
  <c r="K122"/>
  <c r="K121"/>
  <c r="K120"/>
  <c r="K119"/>
  <c r="K118"/>
  <c r="K117"/>
  <c r="L116"/>
  <c r="M116" s="1"/>
  <c r="K116"/>
  <c r="K115"/>
  <c r="K114"/>
  <c r="L113"/>
  <c r="M113" s="1"/>
  <c r="K113"/>
  <c r="K112"/>
  <c r="K111"/>
  <c r="K110"/>
  <c r="K109"/>
  <c r="K108"/>
  <c r="K107"/>
  <c r="L106"/>
  <c r="M106" s="1"/>
  <c r="K106"/>
  <c r="K105"/>
  <c r="K104"/>
  <c r="K103"/>
  <c r="K102"/>
  <c r="K101"/>
  <c r="K100"/>
  <c r="K99"/>
  <c r="K98"/>
  <c r="K97"/>
  <c r="K96"/>
  <c r="K95"/>
  <c r="K94"/>
  <c r="L93"/>
  <c r="M93" s="1"/>
  <c r="K93"/>
  <c r="K92"/>
  <c r="K91"/>
  <c r="K90"/>
  <c r="K89"/>
  <c r="K88"/>
  <c r="K87"/>
  <c r="K86"/>
  <c r="K85"/>
  <c r="K84"/>
  <c r="K83"/>
  <c r="K82"/>
  <c r="K81"/>
  <c r="K80"/>
  <c r="K79"/>
  <c r="K78"/>
  <c r="K77"/>
  <c r="K76"/>
  <c r="K75"/>
  <c r="K74"/>
  <c r="K73"/>
  <c r="K72"/>
  <c r="K71"/>
  <c r="K70"/>
  <c r="K69"/>
  <c r="K68"/>
  <c r="K67"/>
  <c r="L66"/>
  <c r="M66" s="1"/>
  <c r="K66"/>
  <c r="K65"/>
  <c r="K64"/>
  <c r="K63"/>
  <c r="K62"/>
  <c r="K61"/>
  <c r="K60"/>
  <c r="K59"/>
  <c r="K58"/>
  <c r="K57"/>
  <c r="K56"/>
  <c r="K55"/>
  <c r="K54"/>
  <c r="L53"/>
  <c r="M53" s="1"/>
  <c r="K53"/>
  <c r="K52"/>
  <c r="K51"/>
  <c r="K50"/>
  <c r="K49"/>
  <c r="K48"/>
  <c r="K47"/>
  <c r="K46"/>
  <c r="K45"/>
  <c r="K44"/>
  <c r="K43"/>
  <c r="K42"/>
  <c r="K41"/>
  <c r="K40"/>
  <c r="K39"/>
  <c r="K38"/>
  <c r="K37"/>
  <c r="K36"/>
  <c r="K35"/>
  <c r="K34"/>
  <c r="K33"/>
  <c r="L32"/>
  <c r="M32" s="1"/>
  <c r="K32"/>
  <c r="K31"/>
  <c r="L30"/>
  <c r="M30" s="1"/>
  <c r="K30"/>
  <c r="K29"/>
  <c r="K28"/>
  <c r="K27"/>
  <c r="L26"/>
  <c r="M26" s="1"/>
  <c r="K26"/>
  <c r="L25"/>
  <c r="M25" s="1"/>
  <c r="K25"/>
  <c r="K24"/>
  <c r="K23"/>
  <c r="K22"/>
  <c r="K21"/>
  <c r="K20"/>
  <c r="K19"/>
  <c r="K18"/>
  <c r="K17"/>
  <c r="K16"/>
  <c r="K15"/>
  <c r="K14"/>
  <c r="K13"/>
  <c r="K12"/>
  <c r="K11"/>
  <c r="K10"/>
  <c r="K9"/>
  <c r="K8"/>
  <c r="K7"/>
  <c r="K6"/>
  <c r="K5"/>
  <c r="K4"/>
  <c r="K3"/>
  <c r="I490"/>
  <c r="J490" s="1"/>
  <c r="I489"/>
  <c r="J489" s="1"/>
  <c r="I488"/>
  <c r="J488" s="1"/>
  <c r="I487"/>
  <c r="J487" s="1"/>
  <c r="I486"/>
  <c r="J486" s="1"/>
  <c r="I485"/>
  <c r="J485" s="1"/>
  <c r="I484"/>
  <c r="J484" s="1"/>
  <c r="I483"/>
  <c r="J483" s="1"/>
  <c r="I482"/>
  <c r="J482" s="1"/>
  <c r="I481"/>
  <c r="J481" s="1"/>
  <c r="I480"/>
  <c r="J480" s="1"/>
  <c r="I479"/>
  <c r="J479" s="1"/>
  <c r="I478"/>
  <c r="J478" s="1"/>
  <c r="I477"/>
  <c r="J477" s="1"/>
  <c r="I476"/>
  <c r="J476" s="1"/>
  <c r="I475"/>
  <c r="J475" s="1"/>
  <c r="I474"/>
  <c r="J474" s="1"/>
  <c r="I473"/>
  <c r="J473" s="1"/>
  <c r="I472"/>
  <c r="J472" s="1"/>
  <c r="I471"/>
  <c r="J471" s="1"/>
  <c r="I470"/>
  <c r="J470" s="1"/>
  <c r="I469"/>
  <c r="J469" s="1"/>
  <c r="I468"/>
  <c r="J468" s="1"/>
  <c r="I467"/>
  <c r="J467" s="1"/>
  <c r="I466"/>
  <c r="J466" s="1"/>
  <c r="I465"/>
  <c r="J465" s="1"/>
  <c r="I464"/>
  <c r="J464" s="1"/>
  <c r="I463"/>
  <c r="J463" s="1"/>
  <c r="I462"/>
  <c r="J462" s="1"/>
  <c r="I461"/>
  <c r="J461" s="1"/>
  <c r="I460"/>
  <c r="J460" s="1"/>
  <c r="I459"/>
  <c r="J459" s="1"/>
  <c r="I458"/>
  <c r="J458" s="1"/>
  <c r="I457"/>
  <c r="J457" s="1"/>
  <c r="I456"/>
  <c r="J456" s="1"/>
  <c r="I455"/>
  <c r="J455" s="1"/>
  <c r="I454"/>
  <c r="J454" s="1"/>
  <c r="I453"/>
  <c r="J453" s="1"/>
  <c r="I452"/>
  <c r="J452" s="1"/>
  <c r="I451"/>
  <c r="J451" s="1"/>
  <c r="I450"/>
  <c r="J450" s="1"/>
  <c r="I449"/>
  <c r="J449" s="1"/>
  <c r="I448"/>
  <c r="J448" s="1"/>
  <c r="I447"/>
  <c r="J447" s="1"/>
  <c r="I446"/>
  <c r="J446" s="1"/>
  <c r="I445"/>
  <c r="J445" s="1"/>
  <c r="I444"/>
  <c r="J444" s="1"/>
  <c r="I443"/>
  <c r="J443" s="1"/>
  <c r="I442"/>
  <c r="J442" s="1"/>
  <c r="I441"/>
  <c r="J441" s="1"/>
  <c r="I440"/>
  <c r="J440" s="1"/>
  <c r="I439"/>
  <c r="J439" s="1"/>
  <c r="I438"/>
  <c r="J438" s="1"/>
  <c r="I437"/>
  <c r="J437" s="1"/>
  <c r="I436"/>
  <c r="J436" s="1"/>
  <c r="I435"/>
  <c r="J435" s="1"/>
  <c r="I434"/>
  <c r="J434" s="1"/>
  <c r="I433"/>
  <c r="J433" s="1"/>
  <c r="I432"/>
  <c r="J432" s="1"/>
  <c r="I431"/>
  <c r="J431" s="1"/>
  <c r="I430"/>
  <c r="J430" s="1"/>
  <c r="I429"/>
  <c r="J429" s="1"/>
  <c r="I428"/>
  <c r="J428" s="1"/>
  <c r="I427"/>
  <c r="J427" s="1"/>
  <c r="I426"/>
  <c r="J426" s="1"/>
  <c r="I425"/>
  <c r="J425" s="1"/>
  <c r="I424"/>
  <c r="J424" s="1"/>
  <c r="I423"/>
  <c r="J423" s="1"/>
  <c r="I422"/>
  <c r="J422" s="1"/>
  <c r="I421"/>
  <c r="J421" s="1"/>
  <c r="I420"/>
  <c r="J420" s="1"/>
  <c r="I419"/>
  <c r="J419" s="1"/>
  <c r="I418"/>
  <c r="J418" s="1"/>
  <c r="I417"/>
  <c r="J417" s="1"/>
  <c r="I416"/>
  <c r="J416" s="1"/>
  <c r="I415"/>
  <c r="J415" s="1"/>
  <c r="I414"/>
  <c r="J414" s="1"/>
  <c r="I413"/>
  <c r="J413" s="1"/>
  <c r="I412"/>
  <c r="J412" s="1"/>
  <c r="I411"/>
  <c r="J411" s="1"/>
  <c r="I410"/>
  <c r="J410" s="1"/>
  <c r="I409"/>
  <c r="J409" s="1"/>
  <c r="I408"/>
  <c r="J408" s="1"/>
  <c r="I407"/>
  <c r="J407" s="1"/>
  <c r="I406"/>
  <c r="J406" s="1"/>
  <c r="I405"/>
  <c r="J405" s="1"/>
  <c r="I404"/>
  <c r="J404" s="1"/>
  <c r="I403"/>
  <c r="J403" s="1"/>
  <c r="I402"/>
  <c r="J402" s="1"/>
  <c r="I401"/>
  <c r="J401" s="1"/>
  <c r="I400"/>
  <c r="J400" s="1"/>
  <c r="I399"/>
  <c r="J399" s="1"/>
  <c r="I398"/>
  <c r="J398" s="1"/>
  <c r="I397"/>
  <c r="J397" s="1"/>
  <c r="I396"/>
  <c r="J396" s="1"/>
  <c r="I395"/>
  <c r="J395" s="1"/>
  <c r="I394"/>
  <c r="J394" s="1"/>
  <c r="I393"/>
  <c r="J393" s="1"/>
  <c r="I392"/>
  <c r="J392" s="1"/>
  <c r="I391"/>
  <c r="J391" s="1"/>
  <c r="I390"/>
  <c r="J390" s="1"/>
  <c r="I389"/>
  <c r="J389" s="1"/>
  <c r="I388"/>
  <c r="J388" s="1"/>
  <c r="I387"/>
  <c r="J387" s="1"/>
  <c r="I386"/>
  <c r="J386" s="1"/>
  <c r="I385"/>
  <c r="J385" s="1"/>
  <c r="I384"/>
  <c r="J384" s="1"/>
  <c r="I383"/>
  <c r="J383" s="1"/>
  <c r="I382"/>
  <c r="J382" s="1"/>
  <c r="I381"/>
  <c r="J381" s="1"/>
  <c r="I380"/>
  <c r="J380" s="1"/>
  <c r="I379"/>
  <c r="J379" s="1"/>
  <c r="I378"/>
  <c r="J378" s="1"/>
  <c r="I377"/>
  <c r="J377" s="1"/>
  <c r="I376"/>
  <c r="J376" s="1"/>
  <c r="I375"/>
  <c r="J375" s="1"/>
  <c r="I374"/>
  <c r="J374" s="1"/>
  <c r="I373"/>
  <c r="J373" s="1"/>
  <c r="I372"/>
  <c r="J372" s="1"/>
  <c r="I371"/>
  <c r="J371" s="1"/>
  <c r="I370"/>
  <c r="J370" s="1"/>
  <c r="I369"/>
  <c r="J369" s="1"/>
  <c r="I368"/>
  <c r="J368" s="1"/>
  <c r="I367"/>
  <c r="J367" s="1"/>
  <c r="I366"/>
  <c r="J366" s="1"/>
  <c r="I365"/>
  <c r="J365" s="1"/>
  <c r="I364"/>
  <c r="J364" s="1"/>
  <c r="I363"/>
  <c r="J363" s="1"/>
  <c r="I362"/>
  <c r="J362" s="1"/>
  <c r="I361"/>
  <c r="J361" s="1"/>
  <c r="I360"/>
  <c r="J360" s="1"/>
  <c r="I359"/>
  <c r="J359" s="1"/>
  <c r="I358"/>
  <c r="J358" s="1"/>
  <c r="I357"/>
  <c r="J357" s="1"/>
  <c r="I356"/>
  <c r="J356" s="1"/>
  <c r="I355"/>
  <c r="J355" s="1"/>
  <c r="I354"/>
  <c r="J354" s="1"/>
  <c r="I353"/>
  <c r="J353" s="1"/>
  <c r="I352"/>
  <c r="J352" s="1"/>
  <c r="I351"/>
  <c r="J351" s="1"/>
  <c r="I350"/>
  <c r="J350" s="1"/>
  <c r="I349"/>
  <c r="J349" s="1"/>
  <c r="I348"/>
  <c r="J348" s="1"/>
  <c r="I347"/>
  <c r="J347" s="1"/>
  <c r="I346"/>
  <c r="J346" s="1"/>
  <c r="I345"/>
  <c r="J345" s="1"/>
  <c r="I344"/>
  <c r="J344" s="1"/>
  <c r="I343"/>
  <c r="J343" s="1"/>
  <c r="I342"/>
  <c r="J342" s="1"/>
  <c r="I341"/>
  <c r="J341" s="1"/>
  <c r="I340"/>
  <c r="J340" s="1"/>
  <c r="I339"/>
  <c r="J339" s="1"/>
  <c r="I338"/>
  <c r="J338" s="1"/>
  <c r="I337"/>
  <c r="J337" s="1"/>
  <c r="I336"/>
  <c r="J336" s="1"/>
  <c r="I335"/>
  <c r="J335" s="1"/>
  <c r="I334"/>
  <c r="J334" s="1"/>
  <c r="I333"/>
  <c r="J333" s="1"/>
  <c r="I332"/>
  <c r="J332" s="1"/>
  <c r="I331"/>
  <c r="J331" s="1"/>
  <c r="I330"/>
  <c r="J330" s="1"/>
  <c r="I329"/>
  <c r="J329" s="1"/>
  <c r="I328"/>
  <c r="J328" s="1"/>
  <c r="I327"/>
  <c r="J327" s="1"/>
  <c r="I326"/>
  <c r="J326" s="1"/>
  <c r="I325"/>
  <c r="J325" s="1"/>
  <c r="I324"/>
  <c r="J324" s="1"/>
  <c r="I323"/>
  <c r="J323" s="1"/>
  <c r="I322"/>
  <c r="J322" s="1"/>
  <c r="I321"/>
  <c r="J321" s="1"/>
  <c r="I320"/>
  <c r="J320" s="1"/>
  <c r="I319"/>
  <c r="J319" s="1"/>
  <c r="I318"/>
  <c r="J318" s="1"/>
  <c r="I317"/>
  <c r="J317" s="1"/>
  <c r="I316"/>
  <c r="J316" s="1"/>
  <c r="I315"/>
  <c r="J315" s="1"/>
  <c r="I314"/>
  <c r="J314" s="1"/>
  <c r="I313"/>
  <c r="J313" s="1"/>
  <c r="I312"/>
  <c r="J312" s="1"/>
  <c r="I311"/>
  <c r="J311" s="1"/>
  <c r="I310"/>
  <c r="J310" s="1"/>
  <c r="I309"/>
  <c r="J309" s="1"/>
  <c r="I308"/>
  <c r="J308" s="1"/>
  <c r="I307"/>
  <c r="J307" s="1"/>
  <c r="I306"/>
  <c r="J306" s="1"/>
  <c r="I305"/>
  <c r="J305" s="1"/>
  <c r="I304"/>
  <c r="J304" s="1"/>
  <c r="I303"/>
  <c r="J303" s="1"/>
  <c r="I302"/>
  <c r="J302" s="1"/>
  <c r="I301"/>
  <c r="J301" s="1"/>
  <c r="I300"/>
  <c r="J300" s="1"/>
  <c r="I299"/>
  <c r="J299" s="1"/>
  <c r="I298"/>
  <c r="J298" s="1"/>
  <c r="I297"/>
  <c r="J297" s="1"/>
  <c r="I296"/>
  <c r="J296" s="1"/>
  <c r="I295"/>
  <c r="J295" s="1"/>
  <c r="I294"/>
  <c r="J294" s="1"/>
  <c r="I293"/>
  <c r="J293" s="1"/>
  <c r="I292"/>
  <c r="J292" s="1"/>
  <c r="I291"/>
  <c r="J291" s="1"/>
  <c r="I290"/>
  <c r="J290" s="1"/>
  <c r="I289"/>
  <c r="J289" s="1"/>
  <c r="I288"/>
  <c r="J288" s="1"/>
  <c r="I287"/>
  <c r="J287" s="1"/>
  <c r="I286"/>
  <c r="J286" s="1"/>
  <c r="I285"/>
  <c r="J285" s="1"/>
  <c r="I284"/>
  <c r="J284" s="1"/>
  <c r="I283"/>
  <c r="J283" s="1"/>
  <c r="I282"/>
  <c r="J282" s="1"/>
  <c r="I281"/>
  <c r="J281" s="1"/>
  <c r="I280"/>
  <c r="J280" s="1"/>
  <c r="I279"/>
  <c r="J279" s="1"/>
  <c r="I278"/>
  <c r="J278" s="1"/>
  <c r="I277"/>
  <c r="J277" s="1"/>
  <c r="I276"/>
  <c r="J276" s="1"/>
  <c r="I275"/>
  <c r="J275" s="1"/>
  <c r="I274"/>
  <c r="J274" s="1"/>
  <c r="I273"/>
  <c r="J273" s="1"/>
  <c r="I272"/>
  <c r="J272" s="1"/>
  <c r="I271"/>
  <c r="J271" s="1"/>
  <c r="I270"/>
  <c r="J270" s="1"/>
  <c r="I269"/>
  <c r="J269" s="1"/>
  <c r="I268"/>
  <c r="J268" s="1"/>
  <c r="I267"/>
  <c r="J267" s="1"/>
  <c r="I266"/>
  <c r="J266" s="1"/>
  <c r="I265"/>
  <c r="J265" s="1"/>
  <c r="I264"/>
  <c r="J264" s="1"/>
  <c r="I263"/>
  <c r="J263" s="1"/>
  <c r="I262"/>
  <c r="J262" s="1"/>
  <c r="I261"/>
  <c r="J261" s="1"/>
  <c r="I260"/>
  <c r="J260" s="1"/>
  <c r="I259"/>
  <c r="J259" s="1"/>
  <c r="I258"/>
  <c r="J258" s="1"/>
  <c r="I257"/>
  <c r="J257" s="1"/>
  <c r="I256"/>
  <c r="J256" s="1"/>
  <c r="I255"/>
  <c r="J255" s="1"/>
  <c r="I254"/>
  <c r="J254" s="1"/>
  <c r="I253"/>
  <c r="J253" s="1"/>
  <c r="I252"/>
  <c r="J252" s="1"/>
  <c r="I251"/>
  <c r="J251" s="1"/>
  <c r="I250"/>
  <c r="J250" s="1"/>
  <c r="I249"/>
  <c r="J249" s="1"/>
  <c r="I248"/>
  <c r="J248" s="1"/>
  <c r="I247"/>
  <c r="J247" s="1"/>
  <c r="I246"/>
  <c r="J246" s="1"/>
  <c r="I245"/>
  <c r="J245" s="1"/>
  <c r="I244"/>
  <c r="J244" s="1"/>
  <c r="I243"/>
  <c r="J243" s="1"/>
  <c r="I242"/>
  <c r="J242" s="1"/>
  <c r="I241"/>
  <c r="J241" s="1"/>
  <c r="I240"/>
  <c r="J240" s="1"/>
  <c r="I239"/>
  <c r="J239" s="1"/>
  <c r="I238"/>
  <c r="J238" s="1"/>
  <c r="I237"/>
  <c r="J237" s="1"/>
  <c r="I236"/>
  <c r="J236" s="1"/>
  <c r="I235"/>
  <c r="J235" s="1"/>
  <c r="I234"/>
  <c r="J234" s="1"/>
  <c r="I233"/>
  <c r="J233" s="1"/>
  <c r="I232"/>
  <c r="J232" s="1"/>
  <c r="I231"/>
  <c r="J231" s="1"/>
  <c r="I230"/>
  <c r="J230" s="1"/>
  <c r="I229"/>
  <c r="J229" s="1"/>
  <c r="I228"/>
  <c r="J228" s="1"/>
  <c r="I227"/>
  <c r="J227" s="1"/>
  <c r="I226"/>
  <c r="J226" s="1"/>
  <c r="I225"/>
  <c r="J225" s="1"/>
  <c r="I224"/>
  <c r="J224" s="1"/>
  <c r="I223"/>
  <c r="J223" s="1"/>
  <c r="I222"/>
  <c r="J222" s="1"/>
  <c r="I221"/>
  <c r="J221" s="1"/>
  <c r="I220"/>
  <c r="J220" s="1"/>
  <c r="I219"/>
  <c r="J219" s="1"/>
  <c r="I218"/>
  <c r="J218" s="1"/>
  <c r="I217"/>
  <c r="J217" s="1"/>
  <c r="I216"/>
  <c r="J216" s="1"/>
  <c r="I215"/>
  <c r="J215" s="1"/>
  <c r="I214"/>
  <c r="J214" s="1"/>
  <c r="I213"/>
  <c r="J213" s="1"/>
  <c r="I212"/>
  <c r="J212" s="1"/>
  <c r="I211"/>
  <c r="J211" s="1"/>
  <c r="I210"/>
  <c r="J210" s="1"/>
  <c r="I209"/>
  <c r="J209" s="1"/>
  <c r="I208"/>
  <c r="J208" s="1"/>
  <c r="I207"/>
  <c r="J207" s="1"/>
  <c r="I206"/>
  <c r="J206" s="1"/>
  <c r="I205"/>
  <c r="J205" s="1"/>
  <c r="I204"/>
  <c r="J204" s="1"/>
  <c r="I203"/>
  <c r="J203" s="1"/>
  <c r="I202"/>
  <c r="J202" s="1"/>
  <c r="I201"/>
  <c r="J201" s="1"/>
  <c r="I200"/>
  <c r="J200" s="1"/>
  <c r="I199"/>
  <c r="J199" s="1"/>
  <c r="I198"/>
  <c r="J198" s="1"/>
  <c r="I197"/>
  <c r="J197" s="1"/>
  <c r="I196"/>
  <c r="J196" s="1"/>
  <c r="I195"/>
  <c r="J195" s="1"/>
  <c r="I194"/>
  <c r="J194" s="1"/>
  <c r="I193"/>
  <c r="J193" s="1"/>
  <c r="I192"/>
  <c r="J192" s="1"/>
  <c r="I191"/>
  <c r="J191" s="1"/>
  <c r="I190"/>
  <c r="J190" s="1"/>
  <c r="I189"/>
  <c r="J189" s="1"/>
  <c r="I188"/>
  <c r="J188" s="1"/>
  <c r="I187"/>
  <c r="J187" s="1"/>
  <c r="I186"/>
  <c r="J186" s="1"/>
  <c r="I185"/>
  <c r="J185" s="1"/>
  <c r="I184"/>
  <c r="J184" s="1"/>
  <c r="I183"/>
  <c r="J183" s="1"/>
  <c r="I182"/>
  <c r="J182" s="1"/>
  <c r="I181"/>
  <c r="J181" s="1"/>
  <c r="I180"/>
  <c r="J180" s="1"/>
  <c r="I179"/>
  <c r="J179" s="1"/>
  <c r="I178"/>
  <c r="J178" s="1"/>
  <c r="I177"/>
  <c r="J177" s="1"/>
  <c r="I176"/>
  <c r="J176" s="1"/>
  <c r="I175"/>
  <c r="J175" s="1"/>
  <c r="I174"/>
  <c r="J174" s="1"/>
  <c r="I173"/>
  <c r="J173" s="1"/>
  <c r="I172"/>
  <c r="J172" s="1"/>
  <c r="I171"/>
  <c r="J171" s="1"/>
  <c r="I170"/>
  <c r="J170" s="1"/>
  <c r="I169"/>
  <c r="J169" s="1"/>
  <c r="I168"/>
  <c r="J168" s="1"/>
  <c r="I167"/>
  <c r="J167" s="1"/>
  <c r="I166"/>
  <c r="J166" s="1"/>
  <c r="I165"/>
  <c r="J165" s="1"/>
  <c r="I164"/>
  <c r="J164" s="1"/>
  <c r="I163"/>
  <c r="J163" s="1"/>
  <c r="I162"/>
  <c r="J162" s="1"/>
  <c r="I161"/>
  <c r="J161" s="1"/>
  <c r="I160"/>
  <c r="J160" s="1"/>
  <c r="I159"/>
  <c r="J159" s="1"/>
  <c r="I158"/>
  <c r="J158" s="1"/>
  <c r="I157"/>
  <c r="J157" s="1"/>
  <c r="I156"/>
  <c r="J156" s="1"/>
  <c r="I155"/>
  <c r="J155" s="1"/>
  <c r="I154"/>
  <c r="J154" s="1"/>
  <c r="I153"/>
  <c r="J153" s="1"/>
  <c r="I152"/>
  <c r="J152" s="1"/>
  <c r="I151"/>
  <c r="J151" s="1"/>
  <c r="I150"/>
  <c r="J150" s="1"/>
  <c r="I149"/>
  <c r="J149" s="1"/>
  <c r="I148"/>
  <c r="J148" s="1"/>
  <c r="I147"/>
  <c r="J147" s="1"/>
  <c r="I146"/>
  <c r="J146" s="1"/>
  <c r="I145"/>
  <c r="J145" s="1"/>
  <c r="I144"/>
  <c r="J144" s="1"/>
  <c r="I143"/>
  <c r="J143" s="1"/>
  <c r="I142"/>
  <c r="J142" s="1"/>
  <c r="I141"/>
  <c r="J141" s="1"/>
  <c r="I140"/>
  <c r="J140" s="1"/>
  <c r="I139"/>
  <c r="J139" s="1"/>
  <c r="I138"/>
  <c r="J138" s="1"/>
  <c r="I137"/>
  <c r="J137" s="1"/>
  <c r="I136"/>
  <c r="J136" s="1"/>
  <c r="I135"/>
  <c r="J135" s="1"/>
  <c r="I134"/>
  <c r="J134" s="1"/>
  <c r="I133"/>
  <c r="J133" s="1"/>
  <c r="I132"/>
  <c r="J132" s="1"/>
  <c r="I131"/>
  <c r="J131" s="1"/>
  <c r="I130"/>
  <c r="J130" s="1"/>
  <c r="I129"/>
  <c r="J129" s="1"/>
  <c r="I128"/>
  <c r="J128" s="1"/>
  <c r="I127"/>
  <c r="J127" s="1"/>
  <c r="I126"/>
  <c r="J126" s="1"/>
  <c r="I125"/>
  <c r="J125" s="1"/>
  <c r="I124"/>
  <c r="J124" s="1"/>
  <c r="I123"/>
  <c r="J123" s="1"/>
  <c r="I122"/>
  <c r="J122" s="1"/>
  <c r="I121"/>
  <c r="J121" s="1"/>
  <c r="I120"/>
  <c r="J120" s="1"/>
  <c r="I119"/>
  <c r="J119" s="1"/>
  <c r="I118"/>
  <c r="J118" s="1"/>
  <c r="I117"/>
  <c r="J117" s="1"/>
  <c r="I116"/>
  <c r="J116" s="1"/>
  <c r="I115"/>
  <c r="J115" s="1"/>
  <c r="I114"/>
  <c r="J114" s="1"/>
  <c r="I113"/>
  <c r="J113" s="1"/>
  <c r="I112"/>
  <c r="J112" s="1"/>
  <c r="I111"/>
  <c r="J111" s="1"/>
  <c r="I110"/>
  <c r="J110" s="1"/>
  <c r="I109"/>
  <c r="J109" s="1"/>
  <c r="I108"/>
  <c r="J108" s="1"/>
  <c r="I107"/>
  <c r="J107" s="1"/>
  <c r="I106"/>
  <c r="J106" s="1"/>
  <c r="I105"/>
  <c r="J105" s="1"/>
  <c r="I104"/>
  <c r="J104" s="1"/>
  <c r="I103"/>
  <c r="J103" s="1"/>
  <c r="I102"/>
  <c r="J102" s="1"/>
  <c r="I101"/>
  <c r="J101" s="1"/>
  <c r="I100"/>
  <c r="J100" s="1"/>
  <c r="I99"/>
  <c r="J99" s="1"/>
  <c r="I98"/>
  <c r="J98" s="1"/>
  <c r="I97"/>
  <c r="J97" s="1"/>
  <c r="I96"/>
  <c r="J96" s="1"/>
  <c r="I95"/>
  <c r="J95" s="1"/>
  <c r="I94"/>
  <c r="J94" s="1"/>
  <c r="I93"/>
  <c r="J93" s="1"/>
  <c r="I92"/>
  <c r="J92" s="1"/>
  <c r="I91"/>
  <c r="J91" s="1"/>
  <c r="I90"/>
  <c r="J90" s="1"/>
  <c r="I89"/>
  <c r="J89" s="1"/>
  <c r="I88"/>
  <c r="J88" s="1"/>
  <c r="I87"/>
  <c r="J87" s="1"/>
  <c r="I86"/>
  <c r="J86" s="1"/>
  <c r="I85"/>
  <c r="J85" s="1"/>
  <c r="I84"/>
  <c r="J84" s="1"/>
  <c r="I83"/>
  <c r="J83" s="1"/>
  <c r="I82"/>
  <c r="J82" s="1"/>
  <c r="I81"/>
  <c r="J81" s="1"/>
  <c r="I80"/>
  <c r="J80" s="1"/>
  <c r="I79"/>
  <c r="J79" s="1"/>
  <c r="I78"/>
  <c r="J78" s="1"/>
  <c r="I77"/>
  <c r="J77" s="1"/>
  <c r="I76"/>
  <c r="J76" s="1"/>
  <c r="I75"/>
  <c r="J75" s="1"/>
  <c r="I74"/>
  <c r="J74" s="1"/>
  <c r="I73"/>
  <c r="J73" s="1"/>
  <c r="I72"/>
  <c r="J72" s="1"/>
  <c r="I71"/>
  <c r="J71" s="1"/>
  <c r="I70"/>
  <c r="J70" s="1"/>
  <c r="I69"/>
  <c r="J69" s="1"/>
  <c r="I68"/>
  <c r="J68" s="1"/>
  <c r="I67"/>
  <c r="J67" s="1"/>
  <c r="I66"/>
  <c r="J66" s="1"/>
  <c r="I65"/>
  <c r="J65" s="1"/>
  <c r="I64"/>
  <c r="J64" s="1"/>
  <c r="I63"/>
  <c r="J63" s="1"/>
  <c r="I62"/>
  <c r="J62" s="1"/>
  <c r="I61"/>
  <c r="J61" s="1"/>
  <c r="I60"/>
  <c r="J60" s="1"/>
  <c r="I59"/>
  <c r="J59" s="1"/>
  <c r="I58"/>
  <c r="J58" s="1"/>
  <c r="I57"/>
  <c r="J57" s="1"/>
  <c r="I56"/>
  <c r="J56" s="1"/>
  <c r="I55"/>
  <c r="J55" s="1"/>
  <c r="I54"/>
  <c r="J54" s="1"/>
  <c r="I53"/>
  <c r="J53" s="1"/>
  <c r="I52"/>
  <c r="J52" s="1"/>
  <c r="I51"/>
  <c r="J51" s="1"/>
  <c r="I50"/>
  <c r="J50" s="1"/>
  <c r="I49"/>
  <c r="J49" s="1"/>
  <c r="I48"/>
  <c r="J48" s="1"/>
  <c r="I47"/>
  <c r="J47" s="1"/>
  <c r="I46"/>
  <c r="J46" s="1"/>
  <c r="I45"/>
  <c r="J45" s="1"/>
  <c r="I44"/>
  <c r="J44" s="1"/>
  <c r="I43"/>
  <c r="J43" s="1"/>
  <c r="I42"/>
  <c r="J42" s="1"/>
  <c r="I41"/>
  <c r="J41" s="1"/>
  <c r="I40"/>
  <c r="J40" s="1"/>
  <c r="I39"/>
  <c r="J39" s="1"/>
  <c r="I38"/>
  <c r="J38" s="1"/>
  <c r="I37"/>
  <c r="J37" s="1"/>
  <c r="I36"/>
  <c r="J36" s="1"/>
  <c r="I35"/>
  <c r="J35" s="1"/>
  <c r="I34"/>
  <c r="J34" s="1"/>
  <c r="I33"/>
  <c r="J33" s="1"/>
  <c r="I32"/>
  <c r="J32" s="1"/>
  <c r="I31"/>
  <c r="J31" s="1"/>
  <c r="I30"/>
  <c r="J30" s="1"/>
  <c r="I29"/>
  <c r="J29" s="1"/>
  <c r="I28"/>
  <c r="J28" s="1"/>
  <c r="I27"/>
  <c r="J27" s="1"/>
  <c r="I26"/>
  <c r="J26" s="1"/>
  <c r="I25"/>
  <c r="J25" s="1"/>
  <c r="I24"/>
  <c r="J24" s="1"/>
  <c r="I23"/>
  <c r="J23" s="1"/>
  <c r="I22"/>
  <c r="J22" s="1"/>
  <c r="I21"/>
  <c r="J21" s="1"/>
  <c r="I20"/>
  <c r="J20" s="1"/>
  <c r="I19"/>
  <c r="J19" s="1"/>
  <c r="I18"/>
  <c r="J18" s="1"/>
  <c r="I17"/>
  <c r="J17" s="1"/>
  <c r="I16"/>
  <c r="J16" s="1"/>
  <c r="I15"/>
  <c r="J15" s="1"/>
  <c r="I14"/>
  <c r="J14" s="1"/>
  <c r="I13"/>
  <c r="J13" s="1"/>
  <c r="I12"/>
  <c r="J12" s="1"/>
  <c r="I11"/>
  <c r="J11" s="1"/>
  <c r="I10"/>
  <c r="J10" s="1"/>
  <c r="I9"/>
  <c r="J9" s="1"/>
  <c r="I8"/>
  <c r="J8" s="1"/>
  <c r="I7"/>
  <c r="J7" s="1"/>
  <c r="I6"/>
  <c r="J6" s="1"/>
  <c r="I5"/>
  <c r="J5" s="1"/>
  <c r="I4"/>
  <c r="J4" s="1"/>
  <c r="I3"/>
  <c r="J3" s="1"/>
  <c r="I2"/>
  <c r="J2" s="1"/>
  <c r="G490"/>
  <c r="G489"/>
  <c r="G488"/>
  <c r="G487"/>
  <c r="G486"/>
  <c r="G485"/>
  <c r="G484"/>
  <c r="G483"/>
  <c r="G482"/>
  <c r="G481"/>
  <c r="G480"/>
  <c r="G479"/>
  <c r="G478"/>
  <c r="G477"/>
  <c r="G476"/>
  <c r="G475"/>
  <c r="G474"/>
  <c r="G473"/>
  <c r="G472"/>
  <c r="G471"/>
  <c r="G470"/>
  <c r="G469"/>
  <c r="G468"/>
  <c r="G467"/>
  <c r="G466"/>
  <c r="G465"/>
  <c r="G464"/>
  <c r="G463"/>
  <c r="G462"/>
  <c r="G461"/>
  <c r="G460"/>
  <c r="G459"/>
  <c r="G458"/>
  <c r="G457"/>
  <c r="G456"/>
  <c r="G455"/>
  <c r="G454"/>
  <c r="G453"/>
  <c r="G452"/>
  <c r="G451"/>
  <c r="G450"/>
  <c r="G449"/>
  <c r="G448"/>
  <c r="G447"/>
  <c r="G446"/>
  <c r="G445"/>
  <c r="G444"/>
  <c r="G443"/>
  <c r="G442"/>
  <c r="G441"/>
  <c r="G440"/>
  <c r="G439"/>
  <c r="G438"/>
  <c r="G437"/>
  <c r="G436"/>
  <c r="G435"/>
  <c r="G434"/>
  <c r="G433"/>
  <c r="G432"/>
  <c r="G431"/>
  <c r="G430"/>
  <c r="G429"/>
  <c r="G428"/>
  <c r="G427"/>
  <c r="G426"/>
  <c r="G425"/>
  <c r="G424"/>
  <c r="G423"/>
  <c r="G422"/>
  <c r="G421"/>
  <c r="G420"/>
  <c r="G419"/>
  <c r="G418"/>
  <c r="G417"/>
  <c r="G416"/>
  <c r="G415"/>
  <c r="G414"/>
  <c r="G413"/>
  <c r="G412"/>
  <c r="G411"/>
  <c r="G410"/>
  <c r="G409"/>
  <c r="G408"/>
  <c r="G407"/>
  <c r="G406"/>
  <c r="G405"/>
  <c r="G404"/>
  <c r="G403"/>
  <c r="G402"/>
  <c r="G401"/>
  <c r="G400"/>
  <c r="G399"/>
  <c r="G398"/>
  <c r="G397"/>
  <c r="G396"/>
  <c r="G395"/>
  <c r="G394"/>
  <c r="G393"/>
  <c r="G392"/>
  <c r="G391"/>
  <c r="G390"/>
  <c r="G389"/>
  <c r="G388"/>
  <c r="G387"/>
  <c r="G386"/>
  <c r="G385"/>
  <c r="G384"/>
  <c r="G383"/>
  <c r="G382"/>
  <c r="G381"/>
  <c r="G380"/>
  <c r="G379"/>
  <c r="G378"/>
  <c r="G377"/>
  <c r="G376"/>
  <c r="G375"/>
  <c r="G374"/>
  <c r="G373"/>
  <c r="G372"/>
  <c r="G371"/>
  <c r="G370"/>
  <c r="G369"/>
  <c r="G368"/>
  <c r="G367"/>
  <c r="G366"/>
  <c r="G365"/>
  <c r="G364"/>
  <c r="G363"/>
  <c r="G362"/>
  <c r="G361"/>
  <c r="G360"/>
  <c r="G359"/>
  <c r="G358"/>
  <c r="G357"/>
  <c r="G356"/>
  <c r="G355"/>
  <c r="G354"/>
  <c r="G353"/>
  <c r="G352"/>
  <c r="G351"/>
  <c r="G350"/>
  <c r="G349"/>
  <c r="G348"/>
  <c r="G347"/>
  <c r="G346"/>
  <c r="G345"/>
  <c r="G344"/>
  <c r="G343"/>
  <c r="G342"/>
  <c r="G341"/>
  <c r="G340"/>
  <c r="G339"/>
  <c r="G338"/>
  <c r="G337"/>
  <c r="G336"/>
  <c r="G335"/>
  <c r="G334"/>
  <c r="G333"/>
  <c r="G332"/>
  <c r="G331"/>
  <c r="G330"/>
  <c r="G329"/>
  <c r="G328"/>
  <c r="G327"/>
  <c r="G326"/>
  <c r="G325"/>
  <c r="G324"/>
  <c r="G323"/>
  <c r="G322"/>
  <c r="G321"/>
  <c r="G320"/>
  <c r="G319"/>
  <c r="G318"/>
  <c r="G317"/>
  <c r="G316"/>
  <c r="G315"/>
  <c r="G314"/>
  <c r="G313"/>
  <c r="G312"/>
  <c r="G311"/>
  <c r="G310"/>
  <c r="G309"/>
  <c r="G308"/>
  <c r="G307"/>
  <c r="G306"/>
  <c r="G305"/>
  <c r="G304"/>
  <c r="G303"/>
  <c r="G302"/>
  <c r="G301"/>
  <c r="G300"/>
  <c r="G299"/>
  <c r="G298"/>
  <c r="G297"/>
  <c r="G296"/>
  <c r="G295"/>
  <c r="G294"/>
  <c r="G293"/>
  <c r="G292"/>
  <c r="G291"/>
  <c r="G290"/>
  <c r="G289"/>
  <c r="G288"/>
  <c r="G287"/>
  <c r="G286"/>
  <c r="G285"/>
  <c r="G284"/>
  <c r="G283"/>
  <c r="G282"/>
  <c r="G281"/>
  <c r="G280"/>
  <c r="G279"/>
  <c r="G278"/>
  <c r="G277"/>
  <c r="G276"/>
  <c r="G275"/>
  <c r="G274"/>
  <c r="G273"/>
  <c r="G272"/>
  <c r="G271"/>
  <c r="G270"/>
  <c r="G269"/>
  <c r="G268"/>
  <c r="G267"/>
  <c r="G266"/>
  <c r="G265"/>
  <c r="G264"/>
  <c r="G263"/>
  <c r="G262"/>
  <c r="G261"/>
  <c r="G260"/>
  <c r="G259"/>
  <c r="G258"/>
  <c r="G257"/>
  <c r="G256"/>
  <c r="G255"/>
  <c r="G254"/>
  <c r="G253"/>
  <c r="G252"/>
  <c r="G251"/>
  <c r="G250"/>
  <c r="G249"/>
  <c r="G248"/>
  <c r="G247"/>
  <c r="G246"/>
  <c r="G245"/>
  <c r="G244"/>
  <c r="G243"/>
  <c r="G242"/>
  <c r="G241"/>
  <c r="G240"/>
  <c r="G239"/>
  <c r="G238"/>
  <c r="G237"/>
  <c r="G236"/>
  <c r="G235"/>
  <c r="G234"/>
  <c r="G233"/>
  <c r="G232"/>
  <c r="G231"/>
  <c r="G230"/>
  <c r="G229"/>
  <c r="G228"/>
  <c r="G227"/>
  <c r="G226"/>
  <c r="G225"/>
  <c r="G224"/>
  <c r="G223"/>
  <c r="G222"/>
  <c r="G221"/>
  <c r="G220"/>
  <c r="G219"/>
  <c r="G218"/>
  <c r="G217"/>
  <c r="G216"/>
  <c r="G215"/>
  <c r="G214"/>
  <c r="G213"/>
  <c r="G212"/>
  <c r="G211"/>
  <c r="G210"/>
  <c r="G209"/>
  <c r="G208"/>
  <c r="G207"/>
  <c r="G206"/>
  <c r="G205"/>
  <c r="G204"/>
  <c r="G203"/>
  <c r="G202"/>
  <c r="G201"/>
  <c r="G200"/>
  <c r="G199"/>
  <c r="G198"/>
  <c r="G197"/>
  <c r="G196"/>
  <c r="G195"/>
  <c r="G194"/>
  <c r="G193"/>
  <c r="G192"/>
  <c r="G191"/>
  <c r="G190"/>
  <c r="G189"/>
  <c r="G188"/>
  <c r="G187"/>
  <c r="G186"/>
  <c r="G185"/>
  <c r="G184"/>
  <c r="G183"/>
  <c r="G182"/>
  <c r="G181"/>
  <c r="G180"/>
  <c r="G179"/>
  <c r="G178"/>
  <c r="G177"/>
  <c r="G176"/>
  <c r="G175"/>
  <c r="G174"/>
  <c r="G173"/>
  <c r="G172"/>
  <c r="G171"/>
  <c r="G170"/>
  <c r="G169"/>
  <c r="G168"/>
  <c r="G167"/>
  <c r="G166"/>
  <c r="G165"/>
  <c r="G164"/>
  <c r="G163"/>
  <c r="G162"/>
  <c r="G161"/>
  <c r="G160"/>
  <c r="G159"/>
  <c r="G158"/>
  <c r="G157"/>
  <c r="G156"/>
  <c r="G155"/>
  <c r="G154"/>
  <c r="G153"/>
  <c r="G152"/>
  <c r="G151"/>
  <c r="G150"/>
  <c r="G149"/>
  <c r="G148"/>
  <c r="G147"/>
  <c r="G146"/>
  <c r="G145"/>
  <c r="G144"/>
  <c r="G143"/>
  <c r="G142"/>
  <c r="G141"/>
  <c r="G140"/>
  <c r="G139"/>
  <c r="G138"/>
  <c r="G137"/>
  <c r="G136"/>
  <c r="G135"/>
  <c r="G134"/>
  <c r="G133"/>
  <c r="G132"/>
  <c r="G131"/>
  <c r="G130"/>
  <c r="G129"/>
  <c r="G128"/>
  <c r="G127"/>
  <c r="G126"/>
  <c r="G125"/>
  <c r="G124"/>
  <c r="G123"/>
  <c r="G122"/>
  <c r="G121"/>
  <c r="G120"/>
  <c r="G119"/>
  <c r="G118"/>
  <c r="G117"/>
  <c r="G116"/>
  <c r="G115"/>
  <c r="G114"/>
  <c r="G113"/>
  <c r="G112"/>
  <c r="G111"/>
  <c r="G110"/>
  <c r="G109"/>
  <c r="G108"/>
  <c r="G107"/>
  <c r="G106"/>
  <c r="G105"/>
  <c r="G104"/>
  <c r="G103"/>
  <c r="G102"/>
  <c r="G101"/>
  <c r="G100"/>
  <c r="G99"/>
  <c r="G98"/>
  <c r="G97"/>
  <c r="G96"/>
  <c r="G95"/>
  <c r="G94"/>
  <c r="G93"/>
  <c r="G92"/>
  <c r="G91"/>
  <c r="G90"/>
  <c r="G89"/>
  <c r="G88"/>
  <c r="G87"/>
  <c r="G86"/>
  <c r="G85"/>
  <c r="G84"/>
  <c r="G83"/>
  <c r="G82"/>
  <c r="G81"/>
  <c r="G80"/>
  <c r="G79"/>
  <c r="G78"/>
  <c r="G77"/>
  <c r="G76"/>
  <c r="G75"/>
  <c r="G74"/>
  <c r="G73"/>
  <c r="G72"/>
  <c r="G71"/>
  <c r="G70"/>
  <c r="G69"/>
  <c r="G68"/>
  <c r="G67"/>
  <c r="G66"/>
  <c r="G65"/>
  <c r="G64"/>
  <c r="G63"/>
  <c r="G62"/>
  <c r="G61"/>
  <c r="G60"/>
  <c r="G59"/>
  <c r="G58"/>
  <c r="G57"/>
  <c r="G56"/>
  <c r="G55"/>
  <c r="G54"/>
  <c r="G53"/>
  <c r="G52"/>
  <c r="G51"/>
  <c r="G50"/>
  <c r="G49"/>
  <c r="G48"/>
  <c r="G47"/>
  <c r="G46"/>
  <c r="G45"/>
  <c r="G44"/>
  <c r="G43"/>
  <c r="G42"/>
  <c r="G41"/>
  <c r="G40"/>
  <c r="G39"/>
  <c r="G38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G9"/>
  <c r="G8"/>
  <c r="G7"/>
  <c r="G6"/>
  <c r="G5"/>
  <c r="G4"/>
  <c r="G3"/>
  <c r="G2"/>
  <c r="D192" i="3"/>
  <c r="L489" i="1" s="1"/>
  <c r="M489" s="1"/>
  <c r="D191" i="3"/>
  <c r="L487" i="1" s="1"/>
  <c r="M487" s="1"/>
  <c r="D190" i="3"/>
  <c r="L485" i="1" s="1"/>
  <c r="M485" s="1"/>
  <c r="D189" i="3"/>
  <c r="L483" i="1" s="1"/>
  <c r="M483" s="1"/>
  <c r="D188" i="3"/>
  <c r="L481" i="1" s="1"/>
  <c r="M481" s="1"/>
  <c r="D187" i="3"/>
  <c r="L479" i="1" s="1"/>
  <c r="M479" s="1"/>
  <c r="D186" i="3"/>
  <c r="L477" i="1" s="1"/>
  <c r="M477" s="1"/>
  <c r="D185" i="3"/>
  <c r="L475" i="1" s="1"/>
  <c r="M475" s="1"/>
  <c r="D184" i="3"/>
  <c r="L473" i="1" s="1"/>
  <c r="M473" s="1"/>
  <c r="D183" i="3"/>
  <c r="L471" i="1" s="1"/>
  <c r="M471" s="1"/>
  <c r="D182" i="3"/>
  <c r="L469" i="1" s="1"/>
  <c r="M469" s="1"/>
  <c r="D181" i="3"/>
  <c r="L465" i="1" s="1"/>
  <c r="M465" s="1"/>
  <c r="D180" i="3"/>
  <c r="L461" i="1" s="1"/>
  <c r="M461" s="1"/>
  <c r="D179" i="3"/>
  <c r="L457" i="1" s="1"/>
  <c r="M457" s="1"/>
  <c r="D178" i="3"/>
  <c r="L453" i="1" s="1"/>
  <c r="M453" s="1"/>
  <c r="D177" i="3"/>
  <c r="L449" i="1" s="1"/>
  <c r="M449" s="1"/>
  <c r="D176" i="3"/>
  <c r="L445" i="1" s="1"/>
  <c r="M445" s="1"/>
  <c r="D175" i="3"/>
  <c r="L441" i="1" s="1"/>
  <c r="M441" s="1"/>
  <c r="D174" i="3"/>
  <c r="L437" i="1" s="1"/>
  <c r="M437" s="1"/>
  <c r="D173" i="3"/>
  <c r="L435" i="1" s="1"/>
  <c r="M435" s="1"/>
  <c r="D172" i="3"/>
  <c r="L433" i="1" s="1"/>
  <c r="M433" s="1"/>
  <c r="D171" i="3"/>
  <c r="L431" i="1" s="1"/>
  <c r="M431" s="1"/>
  <c r="D170" i="3"/>
  <c r="L429" i="1" s="1"/>
  <c r="M429" s="1"/>
  <c r="D169" i="3"/>
  <c r="L427" i="1" s="1"/>
  <c r="M427" s="1"/>
  <c r="D168" i="3"/>
  <c r="L425" i="1" s="1"/>
  <c r="M425" s="1"/>
  <c r="D167" i="3"/>
  <c r="L423" i="1" s="1"/>
  <c r="M423" s="1"/>
  <c r="D166" i="3"/>
  <c r="L421" i="1" s="1"/>
  <c r="M421" s="1"/>
  <c r="D165" i="3"/>
  <c r="L419" i="1" s="1"/>
  <c r="M419" s="1"/>
  <c r="D164" i="3"/>
  <c r="L417" i="1" s="1"/>
  <c r="M417" s="1"/>
  <c r="D163" i="3"/>
  <c r="L415" i="1" s="1"/>
  <c r="M415" s="1"/>
  <c r="D162" i="3"/>
  <c r="L413" i="1" s="1"/>
  <c r="M413" s="1"/>
  <c r="D161" i="3"/>
  <c r="L411" i="1" s="1"/>
  <c r="M411" s="1"/>
  <c r="D160" i="3"/>
  <c r="D159"/>
  <c r="L409" i="1" s="1"/>
  <c r="M409" s="1"/>
  <c r="D158" i="3"/>
  <c r="L407" i="1" s="1"/>
  <c r="M407" s="1"/>
  <c r="D157" i="3"/>
  <c r="L405" i="1" s="1"/>
  <c r="M405" s="1"/>
  <c r="D156" i="3"/>
  <c r="L402" i="1" s="1"/>
  <c r="M402" s="1"/>
  <c r="D155" i="3"/>
  <c r="L401" i="1" s="1"/>
  <c r="M401" s="1"/>
  <c r="D154" i="3"/>
  <c r="L399" i="1" s="1"/>
  <c r="M399" s="1"/>
  <c r="D153" i="3"/>
  <c r="L397" i="1" s="1"/>
  <c r="M397" s="1"/>
  <c r="D152" i="3"/>
  <c r="L393" i="1" s="1"/>
  <c r="M393" s="1"/>
  <c r="D151" i="3"/>
  <c r="L389" i="1" s="1"/>
  <c r="M389" s="1"/>
  <c r="D150" i="3"/>
  <c r="L385" i="1" s="1"/>
  <c r="M385" s="1"/>
  <c r="D149" i="3"/>
  <c r="L381" i="1" s="1"/>
  <c r="M381" s="1"/>
  <c r="D148" i="3"/>
  <c r="L377" i="1" s="1"/>
  <c r="M377" s="1"/>
  <c r="D147" i="3"/>
  <c r="L373" i="1" s="1"/>
  <c r="M373" s="1"/>
  <c r="D146" i="3"/>
  <c r="L369" i="1" s="1"/>
  <c r="M369" s="1"/>
  <c r="D145" i="3"/>
  <c r="L365" i="1" s="1"/>
  <c r="M365" s="1"/>
  <c r="D144" i="3"/>
  <c r="L507" i="1" s="1"/>
  <c r="M507" s="1"/>
  <c r="D143" i="3"/>
  <c r="L358" i="1" s="1"/>
  <c r="M358" s="1"/>
  <c r="D142" i="3"/>
  <c r="L353" i="1" s="1"/>
  <c r="M353" s="1"/>
  <c r="D141" i="3"/>
  <c r="L349" i="1" s="1"/>
  <c r="M349" s="1"/>
  <c r="D140" i="3"/>
  <c r="L346" i="1" s="1"/>
  <c r="M346" s="1"/>
  <c r="D139" i="3"/>
  <c r="L341" i="1" s="1"/>
  <c r="M341" s="1"/>
  <c r="D138" i="3"/>
  <c r="L337" i="1" s="1"/>
  <c r="M337" s="1"/>
  <c r="D137" i="3"/>
  <c r="L335" i="1" s="1"/>
  <c r="M335" s="1"/>
  <c r="D136" i="3"/>
  <c r="L334" i="1" s="1"/>
  <c r="M334" s="1"/>
  <c r="D135" i="3"/>
  <c r="L333" i="1" s="1"/>
  <c r="M333" s="1"/>
  <c r="D134" i="3"/>
  <c r="L332" i="1" s="1"/>
  <c r="M332" s="1"/>
  <c r="D133" i="3"/>
  <c r="L331" i="1" s="1"/>
  <c r="M331" s="1"/>
  <c r="D132" i="3"/>
  <c r="L330" i="1" s="1"/>
  <c r="M330" s="1"/>
  <c r="D131" i="3"/>
  <c r="L329" i="1" s="1"/>
  <c r="M329" s="1"/>
  <c r="D130" i="3"/>
  <c r="L328" i="1" s="1"/>
  <c r="M328" s="1"/>
  <c r="D129" i="3"/>
  <c r="L327" i="1" s="1"/>
  <c r="M327" s="1"/>
  <c r="D128" i="3"/>
  <c r="L326" i="1" s="1"/>
  <c r="M326" s="1"/>
  <c r="D127" i="3"/>
  <c r="L325" i="1" s="1"/>
  <c r="M325" s="1"/>
  <c r="D126" i="3"/>
  <c r="L324" i="1" s="1"/>
  <c r="M324" s="1"/>
  <c r="D125" i="3"/>
  <c r="L323" i="1" s="1"/>
  <c r="M323" s="1"/>
  <c r="D124" i="3"/>
  <c r="L321" i="1" s="1"/>
  <c r="M321" s="1"/>
  <c r="D123" i="3"/>
  <c r="L319" i="1" s="1"/>
  <c r="M319" s="1"/>
  <c r="D122" i="3"/>
  <c r="L317" i="1" s="1"/>
  <c r="M317" s="1"/>
  <c r="D121" i="3"/>
  <c r="L315" i="1" s="1"/>
  <c r="M315" s="1"/>
  <c r="D120" i="3"/>
  <c r="L314" i="1" s="1"/>
  <c r="M314" s="1"/>
  <c r="D119" i="3"/>
  <c r="L502" i="1" s="1"/>
  <c r="M502" s="1"/>
  <c r="D118" i="3"/>
  <c r="L309" i="1" s="1"/>
  <c r="M309" s="1"/>
  <c r="D117" i="3"/>
  <c r="L307" i="1" s="1"/>
  <c r="M307" s="1"/>
  <c r="D116" i="3"/>
  <c r="L305" i="1" s="1"/>
  <c r="M305" s="1"/>
  <c r="D115" i="3"/>
  <c r="L303" i="1" s="1"/>
  <c r="M303" s="1"/>
  <c r="D114" i="3"/>
  <c r="L302" i="1" s="1"/>
  <c r="M302" s="1"/>
  <c r="D113" i="3"/>
  <c r="L299" i="1" s="1"/>
  <c r="M299" s="1"/>
  <c r="D112" i="3"/>
  <c r="L298" i="1" s="1"/>
  <c r="M298" s="1"/>
  <c r="D111" i="3"/>
  <c r="L295" i="1" s="1"/>
  <c r="M295" s="1"/>
  <c r="D110" i="3"/>
  <c r="L293" i="1" s="1"/>
  <c r="M293" s="1"/>
  <c r="D109" i="3"/>
  <c r="L291" i="1" s="1"/>
  <c r="M291" s="1"/>
  <c r="D108" i="3"/>
  <c r="L289" i="1" s="1"/>
  <c r="M289" s="1"/>
  <c r="D107" i="3"/>
  <c r="L287" i="1" s="1"/>
  <c r="M287" s="1"/>
  <c r="D106" i="3"/>
  <c r="L286" i="1" s="1"/>
  <c r="M286" s="1"/>
  <c r="D105" i="3"/>
  <c r="L283" i="1" s="1"/>
  <c r="M283" s="1"/>
  <c r="D104" i="3"/>
  <c r="L281" i="1" s="1"/>
  <c r="M281" s="1"/>
  <c r="D103" i="3"/>
  <c r="L277" i="1" s="1"/>
  <c r="M277" s="1"/>
  <c r="D102" i="3"/>
  <c r="L275" i="1" s="1"/>
  <c r="M275" s="1"/>
  <c r="D101" i="3"/>
  <c r="L273" i="1" s="1"/>
  <c r="M273" s="1"/>
  <c r="D100" i="3"/>
  <c r="L270" i="1" s="1"/>
  <c r="M270" s="1"/>
  <c r="D99" i="3"/>
  <c r="L269" i="1" s="1"/>
  <c r="M269" s="1"/>
  <c r="D98" i="3"/>
  <c r="L265" i="1" s="1"/>
  <c r="M265" s="1"/>
  <c r="D97" i="3"/>
  <c r="L263" i="1" s="1"/>
  <c r="M263" s="1"/>
  <c r="D96" i="3"/>
  <c r="L261" i="1" s="1"/>
  <c r="M261" s="1"/>
  <c r="D95" i="3"/>
  <c r="L259" i="1" s="1"/>
  <c r="M259" s="1"/>
  <c r="D94" i="3"/>
  <c r="L257" i="1" s="1"/>
  <c r="M257" s="1"/>
  <c r="D93" i="3"/>
  <c r="L255" i="1" s="1"/>
  <c r="M255" s="1"/>
  <c r="D92" i="3"/>
  <c r="L253" i="1" s="1"/>
  <c r="M253" s="1"/>
  <c r="D91" i="3"/>
  <c r="L251" i="1" s="1"/>
  <c r="M251" s="1"/>
  <c r="D90" i="3"/>
  <c r="L249" i="1" s="1"/>
  <c r="M249" s="1"/>
  <c r="D89" i="3"/>
  <c r="L247" i="1" s="1"/>
  <c r="M247" s="1"/>
  <c r="D88" i="3"/>
  <c r="D87"/>
  <c r="L243" i="1" s="1"/>
  <c r="M243" s="1"/>
  <c r="D86" i="3"/>
  <c r="L241" i="1" s="1"/>
  <c r="M241" s="1"/>
  <c r="D85" i="3"/>
  <c r="L239" i="1" s="1"/>
  <c r="M239" s="1"/>
  <c r="D84" i="3"/>
  <c r="L237" i="1" s="1"/>
  <c r="M237" s="1"/>
  <c r="D83" i="3"/>
  <c r="L235" i="1" s="1"/>
  <c r="M235" s="1"/>
  <c r="D82" i="3"/>
  <c r="L234" i="1" s="1"/>
  <c r="M234" s="1"/>
  <c r="D81" i="3"/>
  <c r="L231" i="1" s="1"/>
  <c r="M231" s="1"/>
  <c r="D80" i="3"/>
  <c r="L230" i="1" s="1"/>
  <c r="M230" s="1"/>
  <c r="D79" i="3"/>
  <c r="L227" i="1" s="1"/>
  <c r="M227" s="1"/>
  <c r="D78" i="3"/>
  <c r="L225" i="1" s="1"/>
  <c r="M225" s="1"/>
  <c r="D77" i="3"/>
  <c r="L223" i="1" s="1"/>
  <c r="M223" s="1"/>
  <c r="D76" i="3"/>
  <c r="L221" i="1" s="1"/>
  <c r="M221" s="1"/>
  <c r="D75" i="3"/>
  <c r="L219" i="1" s="1"/>
  <c r="M219" s="1"/>
  <c r="D74" i="3"/>
  <c r="L217" i="1" s="1"/>
  <c r="M217" s="1"/>
  <c r="D73" i="3"/>
  <c r="L215" i="1" s="1"/>
  <c r="M215" s="1"/>
  <c r="D72" i="3"/>
  <c r="L214" i="1" s="1"/>
  <c r="M214" s="1"/>
  <c r="D71" i="3"/>
  <c r="L210" i="1" s="1"/>
  <c r="M210" s="1"/>
  <c r="D70" i="3"/>
  <c r="L209" i="1" s="1"/>
  <c r="M209" s="1"/>
  <c r="D69" i="3"/>
  <c r="L207" i="1" s="1"/>
  <c r="M207" s="1"/>
  <c r="D68" i="3"/>
  <c r="L205" i="1" s="1"/>
  <c r="M205" s="1"/>
  <c r="D67" i="3"/>
  <c r="L201" i="1" s="1"/>
  <c r="M201" s="1"/>
  <c r="D66" i="3"/>
  <c r="L500" i="1" s="1"/>
  <c r="M500" s="1"/>
  <c r="D65" i="3"/>
  <c r="L197" i="1" s="1"/>
  <c r="M197" s="1"/>
  <c r="D64" i="3"/>
  <c r="L192" i="1" s="1"/>
  <c r="M192" s="1"/>
  <c r="D63" i="3"/>
  <c r="L189" i="1" s="1"/>
  <c r="M189" s="1"/>
  <c r="D62" i="3"/>
  <c r="L187" i="1" s="1"/>
  <c r="M187" s="1"/>
  <c r="D61" i="3"/>
  <c r="L183" i="1" s="1"/>
  <c r="M183" s="1"/>
  <c r="D60" i="3"/>
  <c r="L181" i="1" s="1"/>
  <c r="M181" s="1"/>
  <c r="D59" i="3"/>
  <c r="L177" i="1" s="1"/>
  <c r="M177" s="1"/>
  <c r="D58" i="3"/>
  <c r="L175" i="1" s="1"/>
  <c r="M175" s="1"/>
  <c r="D57" i="3"/>
  <c r="L173" i="1" s="1"/>
  <c r="M173" s="1"/>
  <c r="D56" i="3"/>
  <c r="L167" i="1" s="1"/>
  <c r="M167" s="1"/>
  <c r="D55" i="3"/>
  <c r="L161" i="1" s="1"/>
  <c r="M161" s="1"/>
  <c r="D54" i="3"/>
  <c r="L159" i="1" s="1"/>
  <c r="M159" s="1"/>
  <c r="D53" i="3"/>
  <c r="L155" i="1" s="1"/>
  <c r="M155" s="1"/>
  <c r="D52" i="3"/>
  <c r="L153" i="1" s="1"/>
  <c r="M153" s="1"/>
  <c r="D51" i="3"/>
  <c r="L151" i="1" s="1"/>
  <c r="M151" s="1"/>
  <c r="D50" i="3"/>
  <c r="L149" i="1" s="1"/>
  <c r="M149" s="1"/>
  <c r="D49" i="3"/>
  <c r="L145" i="1" s="1"/>
  <c r="M145" s="1"/>
  <c r="D48" i="3"/>
  <c r="L143" i="1" s="1"/>
  <c r="M143" s="1"/>
  <c r="D47" i="3"/>
  <c r="L138" i="1" s="1"/>
  <c r="M138" s="1"/>
  <c r="D46" i="3"/>
  <c r="L137" i="1" s="1"/>
  <c r="M137" s="1"/>
  <c r="D45" i="3"/>
  <c r="L134" i="1" s="1"/>
  <c r="M134" s="1"/>
  <c r="D44" i="3"/>
  <c r="L133" i="1" s="1"/>
  <c r="M133" s="1"/>
  <c r="D43" i="3"/>
  <c r="L129" i="1" s="1"/>
  <c r="M129" s="1"/>
  <c r="D42" i="3"/>
  <c r="L123" i="1" s="1"/>
  <c r="M123" s="1"/>
  <c r="D41" i="3"/>
  <c r="L117" i="1" s="1"/>
  <c r="M117" s="1"/>
  <c r="D40" i="3"/>
  <c r="L115" i="1" s="1"/>
  <c r="M115" s="1"/>
  <c r="D39" i="3"/>
  <c r="L110" i="1" s="1"/>
  <c r="M110" s="1"/>
  <c r="D38" i="3"/>
  <c r="L109" i="1" s="1"/>
  <c r="M109" s="1"/>
  <c r="D37" i="3"/>
  <c r="L103" i="1" s="1"/>
  <c r="M103" s="1"/>
  <c r="D36" i="3"/>
  <c r="L101" i="1" s="1"/>
  <c r="M101" s="1"/>
  <c r="D35" i="3"/>
  <c r="L94" i="1" s="1"/>
  <c r="M94" s="1"/>
  <c r="D34" i="3"/>
  <c r="D33"/>
  <c r="L92" i="1" s="1"/>
  <c r="M92" s="1"/>
  <c r="D32" i="3"/>
  <c r="L91" i="1" s="1"/>
  <c r="M91" s="1"/>
  <c r="D31" i="3"/>
  <c r="L89" i="1" s="1"/>
  <c r="M89" s="1"/>
  <c r="D30" i="3"/>
  <c r="L87" i="1" s="1"/>
  <c r="M87" s="1"/>
  <c r="D29" i="3"/>
  <c r="L83" i="1" s="1"/>
  <c r="M83" s="1"/>
  <c r="D28" i="3"/>
  <c r="L81" i="1" s="1"/>
  <c r="M81" s="1"/>
  <c r="D27" i="3"/>
  <c r="L78" i="1" s="1"/>
  <c r="M78" s="1"/>
  <c r="D26" i="3"/>
  <c r="L76" i="1" s="1"/>
  <c r="M76" s="1"/>
  <c r="D25" i="3"/>
  <c r="L75" i="1" s="1"/>
  <c r="M75" s="1"/>
  <c r="D24" i="3"/>
  <c r="L73" i="1" s="1"/>
  <c r="M73" s="1"/>
  <c r="D23" i="3"/>
  <c r="L70" i="1" s="1"/>
  <c r="M70" s="1"/>
  <c r="D22" i="3"/>
  <c r="L69" i="1" s="1"/>
  <c r="M69" s="1"/>
  <c r="D21" i="3"/>
  <c r="L65" i="1" s="1"/>
  <c r="M65" s="1"/>
  <c r="D20" i="3"/>
  <c r="L62" i="1" s="1"/>
  <c r="M62" s="1"/>
  <c r="D19" i="3"/>
  <c r="L61" i="1" s="1"/>
  <c r="M61" s="1"/>
  <c r="D18" i="3"/>
  <c r="L57" i="1" s="1"/>
  <c r="M57" s="1"/>
  <c r="D17" i="3"/>
  <c r="L55" i="1" s="1"/>
  <c r="M55" s="1"/>
  <c r="D16" i="3"/>
  <c r="L51" i="1" s="1"/>
  <c r="M51" s="1"/>
  <c r="D15" i="3"/>
  <c r="L49" i="1" s="1"/>
  <c r="M49" s="1"/>
  <c r="D14" i="3"/>
  <c r="L45" i="1" s="1"/>
  <c r="M45" s="1"/>
  <c r="D13" i="3"/>
  <c r="L43" i="1" s="1"/>
  <c r="M43" s="1"/>
  <c r="D12" i="3"/>
  <c r="L38" i="1" s="1"/>
  <c r="M38" s="1"/>
  <c r="D11" i="3"/>
  <c r="L37" i="1" s="1"/>
  <c r="M37" s="1"/>
  <c r="D10" i="3"/>
  <c r="L31" i="1" s="1"/>
  <c r="M31" s="1"/>
  <c r="D9" i="3"/>
  <c r="L29" i="1" s="1"/>
  <c r="M29" s="1"/>
  <c r="D8" i="3"/>
  <c r="L27" i="1" s="1"/>
  <c r="M27" s="1"/>
  <c r="D7" i="3"/>
  <c r="L23" i="1" s="1"/>
  <c r="M23" s="1"/>
  <c r="D6" i="3"/>
  <c r="L21" i="1" s="1"/>
  <c r="M21" s="1"/>
  <c r="D5" i="3"/>
  <c r="L503" i="1" s="1"/>
  <c r="M503" s="1"/>
  <c r="D4" i="3"/>
  <c r="L13" i="1" s="1"/>
  <c r="M13" s="1"/>
  <c r="D3" i="3"/>
  <c r="L9" i="1" s="1"/>
  <c r="M9" s="1"/>
  <c r="D2" i="3"/>
  <c r="L3" i="1" s="1"/>
  <c r="M3" s="1"/>
  <c r="L4" l="1"/>
  <c r="M4" s="1"/>
  <c r="L72"/>
  <c r="M72" s="1"/>
  <c r="L77"/>
  <c r="M77" s="1"/>
  <c r="L84"/>
  <c r="M84" s="1"/>
  <c r="L118"/>
  <c r="M118" s="1"/>
  <c r="L366"/>
  <c r="M366" s="1"/>
  <c r="L430"/>
  <c r="M430" s="1"/>
  <c r="L258"/>
  <c r="M258" s="1"/>
  <c r="L17"/>
  <c r="M17" s="1"/>
  <c r="L56"/>
  <c r="M56" s="1"/>
  <c r="L136"/>
  <c r="M136" s="1"/>
  <c r="L142"/>
  <c r="M142" s="1"/>
  <c r="L194"/>
  <c r="M194" s="1"/>
  <c r="L200"/>
  <c r="M200" s="1"/>
  <c r="L213"/>
  <c r="M213" s="1"/>
  <c r="L250"/>
  <c r="M250" s="1"/>
  <c r="L297"/>
  <c r="M297" s="1"/>
  <c r="L336"/>
  <c r="M336" s="1"/>
  <c r="L218"/>
  <c r="M218" s="1"/>
  <c r="L28"/>
  <c r="M28" s="1"/>
  <c r="L33"/>
  <c r="M33" s="1"/>
  <c r="L102"/>
  <c r="M102" s="1"/>
  <c r="L141"/>
  <c r="M141" s="1"/>
  <c r="L146"/>
  <c r="M146" s="1"/>
  <c r="L166"/>
  <c r="M166" s="1"/>
  <c r="L193"/>
  <c r="M193" s="1"/>
  <c r="L212"/>
  <c r="M212" s="1"/>
  <c r="L224"/>
  <c r="M224" s="1"/>
  <c r="L262"/>
  <c r="M262" s="1"/>
  <c r="L282"/>
  <c r="M282" s="1"/>
  <c r="L301"/>
  <c r="M301" s="1"/>
  <c r="L308"/>
  <c r="M308" s="1"/>
  <c r="L392"/>
  <c r="M392" s="1"/>
  <c r="L398"/>
  <c r="M398" s="1"/>
  <c r="L448"/>
  <c r="M448" s="1"/>
  <c r="L208"/>
  <c r="M208" s="1"/>
  <c r="L121"/>
  <c r="M121" s="1"/>
  <c r="L54"/>
  <c r="M54" s="1"/>
  <c r="L74"/>
  <c r="M74" s="1"/>
  <c r="L120"/>
  <c r="M120" s="1"/>
  <c r="L185"/>
  <c r="M185" s="1"/>
  <c r="L348"/>
  <c r="M348" s="1"/>
  <c r="L404"/>
  <c r="M404" s="1"/>
  <c r="L426"/>
  <c r="M426" s="1"/>
  <c r="L454"/>
  <c r="M454" s="1"/>
  <c r="L44"/>
  <c r="M44" s="1"/>
  <c r="L240"/>
  <c r="M240" s="1"/>
  <c r="L422"/>
  <c r="M422" s="1"/>
  <c r="L352"/>
  <c r="M352" s="1"/>
  <c r="L370"/>
  <c r="M370" s="1"/>
  <c r="L440"/>
  <c r="M440" s="1"/>
  <c r="L2"/>
  <c r="M2" s="1"/>
  <c r="L20"/>
  <c r="M20" s="1"/>
  <c r="L42"/>
  <c r="M42" s="1"/>
  <c r="L58"/>
  <c r="M58" s="1"/>
  <c r="L86"/>
  <c r="M86" s="1"/>
  <c r="L160"/>
  <c r="M160" s="1"/>
  <c r="L176"/>
  <c r="M176" s="1"/>
  <c r="L188"/>
  <c r="M188" s="1"/>
  <c r="L216"/>
  <c r="M216" s="1"/>
  <c r="L294"/>
  <c r="M294" s="1"/>
  <c r="L316"/>
  <c r="M316" s="1"/>
  <c r="L414"/>
  <c r="M414" s="1"/>
  <c r="L446"/>
  <c r="M446" s="1"/>
  <c r="L466"/>
  <c r="M466" s="1"/>
  <c r="L478"/>
  <c r="M478" s="1"/>
  <c r="L22"/>
  <c r="M22" s="1"/>
  <c r="L384"/>
  <c r="M384" s="1"/>
  <c r="L486"/>
  <c r="M486" s="1"/>
  <c r="L156"/>
  <c r="M156" s="1"/>
  <c r="L206"/>
  <c r="M206" s="1"/>
  <c r="L256"/>
  <c r="M256" s="1"/>
  <c r="L64"/>
  <c r="M64" s="1"/>
  <c r="L104"/>
  <c r="M104" s="1"/>
  <c r="L338"/>
  <c r="M338" s="1"/>
  <c r="L484"/>
  <c r="M484" s="1"/>
  <c r="L491"/>
  <c r="M491" s="1"/>
  <c r="L34"/>
  <c r="M34" s="1"/>
  <c r="L41"/>
  <c r="M41" s="1"/>
  <c r="L46"/>
  <c r="M46" s="1"/>
  <c r="L68"/>
  <c r="M68" s="1"/>
  <c r="L85"/>
  <c r="M85" s="1"/>
  <c r="L108"/>
  <c r="M108" s="1"/>
  <c r="L114"/>
  <c r="M114" s="1"/>
  <c r="L124"/>
  <c r="M124" s="1"/>
  <c r="L154"/>
  <c r="M154" s="1"/>
  <c r="L226"/>
  <c r="M226" s="1"/>
  <c r="L248"/>
  <c r="M248" s="1"/>
  <c r="L276"/>
  <c r="M276" s="1"/>
  <c r="L350"/>
  <c r="M350" s="1"/>
  <c r="L362"/>
  <c r="M362" s="1"/>
  <c r="L368"/>
  <c r="M368" s="1"/>
  <c r="L406"/>
  <c r="M406" s="1"/>
  <c r="L438"/>
  <c r="M438" s="1"/>
  <c r="L470"/>
  <c r="M470" s="1"/>
  <c r="L497"/>
  <c r="M497" s="1"/>
  <c r="L105"/>
  <c r="M105" s="1"/>
  <c r="L184"/>
  <c r="M184" s="1"/>
  <c r="L6"/>
  <c r="M6" s="1"/>
  <c r="L198"/>
  <c r="M198" s="1"/>
  <c r="L310"/>
  <c r="M310" s="1"/>
  <c r="L345"/>
  <c r="M345" s="1"/>
  <c r="L382"/>
  <c r="M382" s="1"/>
  <c r="L420"/>
  <c r="M420" s="1"/>
  <c r="L508"/>
  <c r="M508" s="1"/>
  <c r="L5"/>
  <c r="M5" s="1"/>
  <c r="L18"/>
  <c r="M18" s="1"/>
  <c r="L52"/>
  <c r="M52" s="1"/>
  <c r="L90"/>
  <c r="M90" s="1"/>
  <c r="L148"/>
  <c r="M148" s="1"/>
  <c r="L158"/>
  <c r="M158" s="1"/>
  <c r="L164"/>
  <c r="M164" s="1"/>
  <c r="L174"/>
  <c r="M174" s="1"/>
  <c r="L186"/>
  <c r="M186" s="1"/>
  <c r="L242"/>
  <c r="M242" s="1"/>
  <c r="L264"/>
  <c r="M264" s="1"/>
  <c r="L292"/>
  <c r="M292" s="1"/>
  <c r="L386"/>
  <c r="M386" s="1"/>
  <c r="L456"/>
  <c r="M456" s="1"/>
  <c r="L12"/>
  <c r="M12" s="1"/>
  <c r="L36"/>
  <c r="M36" s="1"/>
  <c r="L60"/>
  <c r="M60" s="1"/>
  <c r="L100"/>
  <c r="M100" s="1"/>
  <c r="L112"/>
  <c r="M112" s="1"/>
  <c r="L128"/>
  <c r="M128" s="1"/>
  <c r="L152"/>
  <c r="M152" s="1"/>
  <c r="L180"/>
  <c r="M180" s="1"/>
  <c r="L204"/>
  <c r="M204" s="1"/>
  <c r="L220"/>
  <c r="M220" s="1"/>
  <c r="L228"/>
  <c r="M228" s="1"/>
  <c r="L272"/>
  <c r="M272" s="1"/>
  <c r="L288"/>
  <c r="M288" s="1"/>
  <c r="L296"/>
  <c r="M296" s="1"/>
  <c r="L344"/>
  <c r="M344" s="1"/>
  <c r="L376"/>
  <c r="M376" s="1"/>
  <c r="L388"/>
  <c r="M388" s="1"/>
  <c r="L396"/>
  <c r="M396" s="1"/>
  <c r="L412"/>
  <c r="M412" s="1"/>
  <c r="L428"/>
  <c r="M428" s="1"/>
  <c r="L444"/>
  <c r="M444" s="1"/>
  <c r="L452"/>
  <c r="M452" s="1"/>
  <c r="L460"/>
  <c r="M460" s="1"/>
  <c r="L476"/>
  <c r="M476" s="1"/>
  <c r="L488"/>
  <c r="M488" s="1"/>
  <c r="L501"/>
  <c r="M501" s="1"/>
  <c r="L8"/>
  <c r="M8" s="1"/>
  <c r="L16"/>
  <c r="M16" s="1"/>
  <c r="L24"/>
  <c r="M24" s="1"/>
  <c r="L40"/>
  <c r="M40" s="1"/>
  <c r="L48"/>
  <c r="M48" s="1"/>
  <c r="L80"/>
  <c r="M80" s="1"/>
  <c r="L88"/>
  <c r="M88" s="1"/>
  <c r="L96"/>
  <c r="M96" s="1"/>
  <c r="L132"/>
  <c r="M132" s="1"/>
  <c r="L140"/>
  <c r="M140" s="1"/>
  <c r="L236"/>
  <c r="M236" s="1"/>
  <c r="L244"/>
  <c r="M244" s="1"/>
  <c r="L252"/>
  <c r="M252" s="1"/>
  <c r="L260"/>
  <c r="M260" s="1"/>
  <c r="L268"/>
  <c r="M268" s="1"/>
  <c r="L304"/>
  <c r="M304" s="1"/>
  <c r="L312"/>
  <c r="M312" s="1"/>
  <c r="L320"/>
  <c r="M320" s="1"/>
  <c r="L340"/>
  <c r="M340" s="1"/>
  <c r="L356"/>
  <c r="M356" s="1"/>
  <c r="L364"/>
  <c r="M364" s="1"/>
  <c r="L372"/>
  <c r="M372" s="1"/>
  <c r="L400"/>
  <c r="M400" s="1"/>
  <c r="L408"/>
  <c r="M408" s="1"/>
  <c r="L416"/>
  <c r="M416" s="1"/>
  <c r="L424"/>
  <c r="M424" s="1"/>
  <c r="L432"/>
  <c r="M432" s="1"/>
  <c r="L464"/>
  <c r="M464" s="1"/>
  <c r="L472"/>
  <c r="M472" s="1"/>
  <c r="L480"/>
  <c r="M480" s="1"/>
  <c r="L493"/>
  <c r="M493" s="1"/>
  <c r="L7"/>
  <c r="M7" s="1"/>
  <c r="L11"/>
  <c r="M11" s="1"/>
  <c r="L15"/>
  <c r="M15" s="1"/>
  <c r="L19"/>
  <c r="M19" s="1"/>
  <c r="L35"/>
  <c r="M35" s="1"/>
  <c r="L39"/>
  <c r="M39" s="1"/>
  <c r="L47"/>
  <c r="M47" s="1"/>
  <c r="L59"/>
  <c r="M59" s="1"/>
  <c r="L63"/>
  <c r="M63" s="1"/>
  <c r="L67"/>
  <c r="M67" s="1"/>
  <c r="L71"/>
  <c r="M71" s="1"/>
  <c r="L79"/>
  <c r="M79" s="1"/>
  <c r="L95"/>
  <c r="M95" s="1"/>
  <c r="L99"/>
  <c r="M99" s="1"/>
  <c r="L107"/>
  <c r="M107" s="1"/>
  <c r="L111"/>
  <c r="M111" s="1"/>
  <c r="L119"/>
  <c r="M119" s="1"/>
  <c r="L127"/>
  <c r="M127" s="1"/>
  <c r="L131"/>
  <c r="M131" s="1"/>
  <c r="L135"/>
  <c r="M135" s="1"/>
  <c r="L139"/>
  <c r="M139" s="1"/>
  <c r="L147"/>
  <c r="M147" s="1"/>
  <c r="L163"/>
  <c r="M163" s="1"/>
  <c r="L171"/>
  <c r="M171" s="1"/>
  <c r="L179"/>
  <c r="M179" s="1"/>
  <c r="L191"/>
  <c r="M191" s="1"/>
  <c r="L195"/>
  <c r="M195" s="1"/>
  <c r="L199"/>
  <c r="M199" s="1"/>
  <c r="L203"/>
  <c r="M203" s="1"/>
  <c r="L211"/>
  <c r="M211" s="1"/>
  <c r="L267"/>
  <c r="M267" s="1"/>
  <c r="L271"/>
  <c r="M271" s="1"/>
  <c r="L279"/>
  <c r="M279" s="1"/>
  <c r="L311"/>
  <c r="M311" s="1"/>
  <c r="L339"/>
  <c r="M339" s="1"/>
  <c r="L343"/>
  <c r="M343" s="1"/>
  <c r="L347"/>
  <c r="M347" s="1"/>
  <c r="L351"/>
  <c r="M351" s="1"/>
  <c r="L355"/>
  <c r="M355" s="1"/>
  <c r="L359"/>
  <c r="M359" s="1"/>
  <c r="L363"/>
  <c r="M363" s="1"/>
  <c r="L367"/>
  <c r="M367" s="1"/>
  <c r="L371"/>
  <c r="M371" s="1"/>
  <c r="L375"/>
  <c r="M375" s="1"/>
  <c r="L379"/>
  <c r="M379" s="1"/>
  <c r="L383"/>
  <c r="M383" s="1"/>
  <c r="L387"/>
  <c r="M387" s="1"/>
  <c r="L391"/>
  <c r="M391" s="1"/>
  <c r="L395"/>
  <c r="M395" s="1"/>
  <c r="L403"/>
  <c r="M403" s="1"/>
  <c r="L439"/>
  <c r="M439" s="1"/>
  <c r="L443"/>
  <c r="M443" s="1"/>
  <c r="L447"/>
  <c r="M447" s="1"/>
  <c r="L451"/>
  <c r="M451" s="1"/>
  <c r="L455"/>
  <c r="M455" s="1"/>
  <c r="L459"/>
  <c r="M459" s="1"/>
  <c r="L463"/>
  <c r="M463" s="1"/>
  <c r="L467"/>
  <c r="M467" s="1"/>
  <c r="L494"/>
  <c r="M494" s="1"/>
  <c r="L498"/>
  <c r="M498" s="1"/>
  <c r="L505"/>
  <c r="M505" s="1"/>
  <c r="L509"/>
  <c r="M509" s="1"/>
  <c r="L14"/>
  <c r="M14" s="1"/>
  <c r="L50"/>
  <c r="M50" s="1"/>
  <c r="L126"/>
  <c r="M126" s="1"/>
  <c r="L162"/>
  <c r="M162" s="1"/>
  <c r="L178"/>
  <c r="M178" s="1"/>
  <c r="L182"/>
  <c r="M182" s="1"/>
  <c r="L190"/>
  <c r="M190" s="1"/>
  <c r="L222"/>
  <c r="M222" s="1"/>
  <c r="L238"/>
  <c r="M238" s="1"/>
  <c r="L254"/>
  <c r="M254" s="1"/>
  <c r="L278"/>
  <c r="M278" s="1"/>
  <c r="L306"/>
  <c r="M306" s="1"/>
  <c r="L322"/>
  <c r="M322" s="1"/>
  <c r="L374"/>
  <c r="M374" s="1"/>
  <c r="L378"/>
  <c r="M378" s="1"/>
  <c r="L390"/>
  <c r="M390" s="1"/>
  <c r="L418"/>
  <c r="M418" s="1"/>
  <c r="L434"/>
  <c r="M434" s="1"/>
  <c r="L442"/>
  <c r="M442" s="1"/>
  <c r="L450"/>
  <c r="M450" s="1"/>
  <c r="L458"/>
  <c r="M458" s="1"/>
  <c r="L462"/>
  <c r="M462" s="1"/>
  <c r="L482"/>
  <c r="M482" s="1"/>
  <c r="L495"/>
  <c r="M495" s="1"/>
  <c r="L357"/>
  <c r="M357" s="1"/>
  <c r="L361"/>
  <c r="M361" s="1"/>
  <c r="L492"/>
  <c r="M492" s="1"/>
  <c r="L496"/>
  <c r="M496" s="1"/>
  <c r="L511"/>
  <c r="M511" s="1"/>
  <c r="L10"/>
  <c r="M10" s="1"/>
  <c r="L82"/>
  <c r="M82" s="1"/>
  <c r="L98"/>
  <c r="M98" s="1"/>
  <c r="L130"/>
  <c r="M130" s="1"/>
  <c r="L202"/>
  <c r="M202" s="1"/>
  <c r="L290"/>
  <c r="M290" s="1"/>
  <c r="L342"/>
  <c r="M342" s="1"/>
  <c r="L97"/>
  <c r="M97" s="1"/>
  <c r="L125"/>
  <c r="M125" s="1"/>
  <c r="L169"/>
  <c r="M169" s="1"/>
</calcChain>
</file>

<file path=xl/sharedStrings.xml><?xml version="1.0" encoding="utf-8"?>
<sst xmlns="http://schemas.openxmlformats.org/spreadsheetml/2006/main" count="3412" uniqueCount="688">
  <si>
    <t>현지판매가</t>
    <phoneticPr fontId="4" type="noConversion"/>
  </si>
  <si>
    <t>구분</t>
    <phoneticPr fontId="7" type="noConversion"/>
  </si>
  <si>
    <t>연도</t>
    <phoneticPr fontId="7" type="noConversion"/>
  </si>
  <si>
    <t>월</t>
    <phoneticPr fontId="7" type="noConversion"/>
  </si>
  <si>
    <t>인보이스넘버</t>
    <phoneticPr fontId="7" type="noConversion"/>
  </si>
  <si>
    <t>Rope Laces</t>
    <phoneticPr fontId="7" type="noConversion"/>
  </si>
  <si>
    <t>7월</t>
    <phoneticPr fontId="7" type="noConversion"/>
  </si>
  <si>
    <t>3M Reflective Rope Laces</t>
    <phoneticPr fontId="7" type="noConversion"/>
  </si>
  <si>
    <t>3M Inverse Rope Laces</t>
    <phoneticPr fontId="7" type="noConversion"/>
  </si>
  <si>
    <t>Shoe Laces</t>
    <phoneticPr fontId="7" type="noConversion"/>
  </si>
  <si>
    <t>Reflective Flat Laces</t>
    <phoneticPr fontId="7" type="noConversion"/>
  </si>
  <si>
    <t>XI Rope Laces</t>
  </si>
  <si>
    <t>Roshe-Style Laces</t>
  </si>
  <si>
    <t>Luxury Leather Laces</t>
  </si>
  <si>
    <t>Multi-Color Rope Laces</t>
  </si>
  <si>
    <t>Oval SB Laces</t>
  </si>
  <si>
    <t>Boot Laces</t>
  </si>
  <si>
    <t>Thin Oval Laces</t>
  </si>
  <si>
    <t>Waxed Shoe Laces</t>
  </si>
  <si>
    <t>열 레이블</t>
  </si>
  <si>
    <t>행 레이블</t>
  </si>
  <si>
    <t>(비어 있음)</t>
  </si>
  <si>
    <t>총합계</t>
  </si>
  <si>
    <t>3M Inverse Rope Laces</t>
  </si>
  <si>
    <t>3M Reflective Rope Laces</t>
  </si>
  <si>
    <t>Reflective Flat Laces</t>
  </si>
  <si>
    <t>Rope Laces</t>
  </si>
  <si>
    <t>Shoe Laces</t>
  </si>
  <si>
    <t>Item</t>
  </si>
  <si>
    <t>사이즈</t>
    <phoneticPr fontId="3" type="noConversion"/>
  </si>
  <si>
    <t>입출</t>
    <phoneticPr fontId="3" type="noConversion"/>
  </si>
  <si>
    <t>White  - ReflectiveFlatLaces1.0</t>
  </si>
  <si>
    <t>Red  - ReflectiveFlatLaces1.0</t>
  </si>
  <si>
    <t>Blue  - ReflectiveFlatLaces1.0</t>
  </si>
  <si>
    <t>White  - ReflectiveFlatLaces2.0</t>
  </si>
  <si>
    <t>Black  - ReflectiveFlatLaces2.0</t>
  </si>
  <si>
    <t>Blue  - ReflectiveFlatLaces2.0</t>
  </si>
  <si>
    <t>Red  - ReflectiveFlatLaces2.0</t>
  </si>
  <si>
    <t>Cove Blue  - ReflectiveFlatLaces2.0</t>
  </si>
  <si>
    <t>Mint  - ReflectiveFlatLaces2.0</t>
  </si>
  <si>
    <t>Volt  - ReflectiveFlatLaces2.0</t>
  </si>
  <si>
    <t>Navy Blue  - ReflectiveFlatLaces1.0</t>
  </si>
  <si>
    <t>Sapphire  - ReflectiveFlatLaces1.0</t>
  </si>
  <si>
    <t>Black  - XIRopeLaces</t>
  </si>
  <si>
    <t>Cool Grey  - XIRopeLaces</t>
  </si>
  <si>
    <t>Gamma Blue  - XIRopeLaces</t>
  </si>
  <si>
    <t>Grape  - XIRopeLaces</t>
  </si>
  <si>
    <t>Legend Blue  - XIRopeLaces</t>
  </si>
  <si>
    <t>Light Grey  - XIRopeLaces</t>
  </si>
  <si>
    <t>Navy Blue  - XIRopeLaces</t>
  </si>
  <si>
    <t>Red  - XILaces</t>
  </si>
  <si>
    <t>Royal Blue  - XIRopeLaces</t>
  </si>
  <si>
    <t>White  - XIRopeLaces</t>
  </si>
  <si>
    <t>Beige Roshe - StyleLaces</t>
  </si>
  <si>
    <t>Black Roshe - StyleLaces</t>
  </si>
  <si>
    <t>Bone Roshe - StyleLaces</t>
  </si>
  <si>
    <t>Cappuccino Roshe - StyleLaces</t>
  </si>
  <si>
    <t>Chocolate Roshe - StyleLaces</t>
  </si>
  <si>
    <t>Dark Brown Roshe - StyleLaces</t>
  </si>
  <si>
    <t>Hunter Green Roshe - StyleLaces</t>
  </si>
  <si>
    <t>Navy Blue Roshe - StyleLaces</t>
  </si>
  <si>
    <t>Neon Green Roshe - StyleLaces</t>
  </si>
  <si>
    <t>Neon Pink Roshe - StyleLaces</t>
  </si>
  <si>
    <t>Red Roshe - StyleLaces</t>
  </si>
  <si>
    <t>White Roshe - StyleLaces</t>
  </si>
  <si>
    <t>Yellow Roshe - StyleLaces</t>
  </si>
  <si>
    <t>Black/Red Multi - ColorRopeLaces</t>
  </si>
  <si>
    <t>Black/White Multi - ColorRopeLaces</t>
  </si>
  <si>
    <t>Blue Multi - ColorRopeLaces</t>
  </si>
  <si>
    <t>Green Multi - ColorRopeLaces</t>
  </si>
  <si>
    <t>Orange Multi - ColorRopeLaces</t>
  </si>
  <si>
    <t>Pink Multi - ColorRopeLaces</t>
  </si>
  <si>
    <t>Volt Multi - ColorRopeLaces</t>
  </si>
  <si>
    <t>Black  - OvalSBLaces</t>
  </si>
  <si>
    <t>Blue  - OvalSBLaces</t>
  </si>
  <si>
    <t>Carolina Blue  - OvalSBLaces</t>
  </si>
  <si>
    <t>Green  - OvalSBLaces</t>
  </si>
  <si>
    <t>Grey  - OvalSBLaces</t>
  </si>
  <si>
    <t>Light Grey  - OvalSBLaces</t>
  </si>
  <si>
    <t>Orange  - OvalSBLaces</t>
  </si>
  <si>
    <t>Pink  - OvalSBLaces</t>
  </si>
  <si>
    <t>Purple  - OvalSBLaces</t>
  </si>
  <si>
    <t>Red  - OvalSBLaces</t>
  </si>
  <si>
    <t>Royal Blue  - OvalSBLaces</t>
  </si>
  <si>
    <t>Tiffany/Mint  - OvalSBLaces</t>
  </si>
  <si>
    <t>Volt  - OvalSBLaces</t>
  </si>
  <si>
    <t>Yellow  - OvalSBLaces</t>
  </si>
  <si>
    <t>Black  - ThinOvalLaces</t>
  </si>
  <si>
    <t>Black/Red  - ThinOvalLaces</t>
  </si>
  <si>
    <t>Flaming Orange  - ThinOvalLaces</t>
  </si>
  <si>
    <t>Kelly Green  - ThinOvalLaces</t>
  </si>
  <si>
    <t>Light Grey  - ThinOvalLaces</t>
  </si>
  <si>
    <t>Navy Blue  - ThinOvalLaces</t>
  </si>
  <si>
    <t>Red  - ThinOvalLaces</t>
  </si>
  <si>
    <t>Royal Blue  - ThinOvalLaces</t>
  </si>
  <si>
    <t>Volt  - ThinOvalLaces</t>
  </si>
  <si>
    <t>White  - ThinOvalLaces</t>
  </si>
  <si>
    <t>RP-01</t>
    <phoneticPr fontId="3" type="noConversion"/>
  </si>
  <si>
    <t>RP-02</t>
  </si>
  <si>
    <t>RP-03</t>
  </si>
  <si>
    <t>RP-04</t>
  </si>
  <si>
    <t>RP-05</t>
  </si>
  <si>
    <t>RP-06</t>
  </si>
  <si>
    <t>RP-07</t>
  </si>
  <si>
    <t>RP-08</t>
  </si>
  <si>
    <t>RP-09</t>
  </si>
  <si>
    <t>RP-10</t>
  </si>
  <si>
    <t>RP-11</t>
  </si>
  <si>
    <t>RP-12</t>
  </si>
  <si>
    <t>RP-13</t>
  </si>
  <si>
    <t>RP-14</t>
  </si>
  <si>
    <t>RP-15</t>
  </si>
  <si>
    <t>RP-16</t>
  </si>
  <si>
    <t>RP-17</t>
  </si>
  <si>
    <t>RP-18</t>
  </si>
  <si>
    <t>RP-19</t>
  </si>
  <si>
    <t>RP-20</t>
  </si>
  <si>
    <t>RP-21</t>
  </si>
  <si>
    <t>RP-22</t>
  </si>
  <si>
    <t>RP-23</t>
  </si>
  <si>
    <t>RP-24</t>
  </si>
  <si>
    <t>RP-25</t>
  </si>
  <si>
    <t>RP-26</t>
  </si>
  <si>
    <t>RP-27</t>
  </si>
  <si>
    <t>RP-28</t>
  </si>
  <si>
    <t>RP-29</t>
  </si>
  <si>
    <t>RP-30</t>
  </si>
  <si>
    <t>RP-31</t>
  </si>
  <si>
    <t>RP-32</t>
  </si>
  <si>
    <t>RP-33</t>
  </si>
  <si>
    <t>RP-34</t>
  </si>
  <si>
    <t>RP-35</t>
  </si>
  <si>
    <t>RP-36</t>
  </si>
  <si>
    <t>RP-37</t>
  </si>
  <si>
    <t>RP-38</t>
  </si>
  <si>
    <t>RP-39</t>
  </si>
  <si>
    <t>3MR-01</t>
    <phoneticPr fontId="3" type="noConversion"/>
  </si>
  <si>
    <t>3MR-02</t>
  </si>
  <si>
    <t>3MR-03</t>
  </si>
  <si>
    <t>3MR-04</t>
  </si>
  <si>
    <t>3MR-05</t>
  </si>
  <si>
    <t>3MR-06</t>
  </si>
  <si>
    <t>3MR-07</t>
  </si>
  <si>
    <t>3MR-08</t>
  </si>
  <si>
    <t>3MR-09</t>
  </si>
  <si>
    <t>3MR-10</t>
  </si>
  <si>
    <t>3MR-11</t>
  </si>
  <si>
    <t>3MR-12</t>
  </si>
  <si>
    <t>3MR-13</t>
  </si>
  <si>
    <t>3MR-14</t>
  </si>
  <si>
    <t>3MR-15</t>
  </si>
  <si>
    <t>3MI-01</t>
    <phoneticPr fontId="3" type="noConversion"/>
  </si>
  <si>
    <t>3MI-02</t>
  </si>
  <si>
    <t>3MI-03</t>
  </si>
  <si>
    <t>3MI-04</t>
  </si>
  <si>
    <t>3MI-05</t>
  </si>
  <si>
    <t>3MI-06</t>
  </si>
  <si>
    <t>3MI-07</t>
  </si>
  <si>
    <t>3MI-08</t>
  </si>
  <si>
    <t>FLAT-01</t>
    <phoneticPr fontId="3" type="noConversion"/>
  </si>
  <si>
    <t>FLAT-02</t>
  </si>
  <si>
    <t>FLAT-03</t>
  </si>
  <si>
    <t>FLAT-04</t>
  </si>
  <si>
    <t>FLAT-05</t>
  </si>
  <si>
    <t>FLAT-06</t>
  </si>
  <si>
    <t>FLAT-07</t>
  </si>
  <si>
    <t>FLAT-08</t>
  </si>
  <si>
    <t>FLAT-09</t>
  </si>
  <si>
    <t>FLAT-10</t>
  </si>
  <si>
    <t>FLAT-11</t>
  </si>
  <si>
    <t>FLAT-12</t>
  </si>
  <si>
    <t>FLAT-13</t>
  </si>
  <si>
    <t>FLAT-14</t>
  </si>
  <si>
    <t>FLAT-15</t>
  </si>
  <si>
    <t>FLAT-16</t>
  </si>
  <si>
    <t>FLAT-17</t>
  </si>
  <si>
    <t>FLAT-18</t>
  </si>
  <si>
    <t>FLAT-19</t>
  </si>
  <si>
    <t>FLAT-20</t>
  </si>
  <si>
    <t>FLAT-21</t>
  </si>
  <si>
    <t>FLAT-22</t>
  </si>
  <si>
    <t>FLAT-23</t>
  </si>
  <si>
    <t>FLAT-24</t>
  </si>
  <si>
    <t>FLAT-25</t>
  </si>
  <si>
    <t>FLAT-26</t>
  </si>
  <si>
    <t>FLAT-27</t>
  </si>
  <si>
    <t>FLAT-28</t>
  </si>
  <si>
    <t>FLAT-29</t>
  </si>
  <si>
    <t>FLAT-30</t>
  </si>
  <si>
    <t>FLAT-31</t>
  </si>
  <si>
    <t>FLAT-32</t>
  </si>
  <si>
    <t>FLAT-33</t>
  </si>
  <si>
    <t>FLAT-34</t>
  </si>
  <si>
    <t>FLAT-35</t>
  </si>
  <si>
    <t>RF-01</t>
    <phoneticPr fontId="3" type="noConversion"/>
  </si>
  <si>
    <t>RF-02</t>
  </si>
  <si>
    <t>RF-03</t>
  </si>
  <si>
    <t>RF-04</t>
  </si>
  <si>
    <t>RF-05</t>
  </si>
  <si>
    <t>RF-06</t>
  </si>
  <si>
    <t>RF-07</t>
  </si>
  <si>
    <t>RF-08</t>
  </si>
  <si>
    <t>RF-09</t>
  </si>
  <si>
    <t>RF-10</t>
  </si>
  <si>
    <t>RF-11</t>
  </si>
  <si>
    <t>RF-12</t>
  </si>
  <si>
    <t>RF-13</t>
  </si>
  <si>
    <t>RF-14</t>
  </si>
  <si>
    <t>RF-15</t>
  </si>
  <si>
    <t>RF-16</t>
  </si>
  <si>
    <t>XIR-01</t>
    <phoneticPr fontId="3" type="noConversion"/>
  </si>
  <si>
    <t>XIR-02</t>
  </si>
  <si>
    <t>XIR-03</t>
  </si>
  <si>
    <t>XIR-04</t>
  </si>
  <si>
    <t>XIR-05</t>
  </si>
  <si>
    <t>XIR-06</t>
  </si>
  <si>
    <t>XIR-07</t>
  </si>
  <si>
    <t>XIR-08</t>
  </si>
  <si>
    <t>XIR-09</t>
  </si>
  <si>
    <t>XIR-10</t>
  </si>
  <si>
    <t>ROS-01</t>
    <phoneticPr fontId="3" type="noConversion"/>
  </si>
  <si>
    <t>ROS-02</t>
  </si>
  <si>
    <t>ROS-03</t>
  </si>
  <si>
    <t>ROS-04</t>
  </si>
  <si>
    <t>ROS-05</t>
  </si>
  <si>
    <t>ROS-06</t>
  </si>
  <si>
    <t>ROS-07</t>
  </si>
  <si>
    <t>ROS-08</t>
  </si>
  <si>
    <t>ROS-09</t>
  </si>
  <si>
    <t>ROS-10</t>
  </si>
  <si>
    <t>ROS-11</t>
  </si>
  <si>
    <t>ROS-12</t>
  </si>
  <si>
    <t>ROS-13</t>
  </si>
  <si>
    <t>LUX-01</t>
    <phoneticPr fontId="3" type="noConversion"/>
  </si>
  <si>
    <t>LUX-02</t>
  </si>
  <si>
    <t>LUX-03</t>
  </si>
  <si>
    <t>LUX-04</t>
  </si>
  <si>
    <t>LUX-05</t>
  </si>
  <si>
    <t>LUX-06</t>
  </si>
  <si>
    <t>LUX-07</t>
  </si>
  <si>
    <t>LUX-08</t>
  </si>
  <si>
    <t>LUX-09</t>
  </si>
  <si>
    <t>LUX-10</t>
  </si>
  <si>
    <t>LUX-11</t>
  </si>
  <si>
    <t>LUX-12</t>
  </si>
  <si>
    <t>LUX-13</t>
  </si>
  <si>
    <t>LUX-14</t>
  </si>
  <si>
    <t>LUX-15</t>
  </si>
  <si>
    <t>MCR-01</t>
    <phoneticPr fontId="3" type="noConversion"/>
  </si>
  <si>
    <t>MCR-02</t>
  </si>
  <si>
    <t>MCR-03</t>
  </si>
  <si>
    <t>MCR-04</t>
  </si>
  <si>
    <t>MCR-05</t>
  </si>
  <si>
    <t>MCR-06</t>
  </si>
  <si>
    <t>MCR-07</t>
  </si>
  <si>
    <t>OSB-01</t>
    <phoneticPr fontId="3" type="noConversion"/>
  </si>
  <si>
    <t>OSB-02</t>
  </si>
  <si>
    <t>OSB-03</t>
  </si>
  <si>
    <t>OSB-04</t>
  </si>
  <si>
    <t>OSB-05</t>
  </si>
  <si>
    <t>OSB-06</t>
  </si>
  <si>
    <t>OSB-07</t>
  </si>
  <si>
    <t>OSB-08</t>
  </si>
  <si>
    <t>OSB-09</t>
  </si>
  <si>
    <t>OSB-10</t>
  </si>
  <si>
    <t>OSB-11</t>
  </si>
  <si>
    <t>OSB-12</t>
  </si>
  <si>
    <t>OSB-13</t>
  </si>
  <si>
    <t>OSB-14</t>
  </si>
  <si>
    <t>BOOT-01</t>
    <phoneticPr fontId="3" type="noConversion"/>
  </si>
  <si>
    <t>BOOT-02</t>
  </si>
  <si>
    <t>BOOT-03</t>
  </si>
  <si>
    <t>BOOT-04</t>
  </si>
  <si>
    <t>BOOT-05</t>
  </si>
  <si>
    <t>BOOT-06</t>
  </si>
  <si>
    <t>BOOT-07</t>
  </si>
  <si>
    <t>BOOT-08</t>
  </si>
  <si>
    <t>THO-01</t>
    <phoneticPr fontId="3" type="noConversion"/>
  </si>
  <si>
    <t>THO-02</t>
  </si>
  <si>
    <t>THO-03</t>
  </si>
  <si>
    <t>THO-04</t>
  </si>
  <si>
    <t>THO-05</t>
  </si>
  <si>
    <t>THO-06</t>
  </si>
  <si>
    <t>THO-07</t>
  </si>
  <si>
    <t>THO-08</t>
  </si>
  <si>
    <t>THO-09</t>
  </si>
  <si>
    <t>THO-10</t>
  </si>
  <si>
    <t>WAX-01</t>
    <phoneticPr fontId="3" type="noConversion"/>
  </si>
  <si>
    <t>모델명</t>
    <phoneticPr fontId="3" type="noConversion"/>
  </si>
  <si>
    <t>Grey/Black Rope Laces</t>
  </si>
  <si>
    <t>Grey/White Rope Laces</t>
  </si>
  <si>
    <t>Black/Red Rope Laces</t>
  </si>
  <si>
    <t>Blue/White Rope Laces</t>
  </si>
  <si>
    <t>Red/White Rope Laces</t>
  </si>
  <si>
    <t>Blue/Black Rope Laces</t>
  </si>
  <si>
    <t>Mint/Black Rope Laces</t>
  </si>
  <si>
    <t>Oxford Tan Rope Laces</t>
  </si>
  <si>
    <t>Metallic Gold/White Rope Laces</t>
  </si>
  <si>
    <t>Olive/Black Rope Laces</t>
  </si>
  <si>
    <t>Pink/White Rope Laces</t>
  </si>
  <si>
    <t>Mint Green/White Rope Laces</t>
  </si>
  <si>
    <t>Volt/Black Rope Laces</t>
  </si>
  <si>
    <t>Green/White Rope Laces</t>
  </si>
  <si>
    <t>Black/Metallic Gold Rope Laces</t>
  </si>
  <si>
    <t>Columbia Blue/Black Rope Laces</t>
  </si>
  <si>
    <t>Red/Orange Rope Laces</t>
  </si>
  <si>
    <t>Infrapink/Black Rope Laces</t>
  </si>
  <si>
    <t>Hot Pink/Black Rope Laces</t>
  </si>
  <si>
    <t>Purple/Black Rope Laces</t>
  </si>
  <si>
    <t>Yellow/Black Rope Laces</t>
  </si>
  <si>
    <t>Yellow/White Rope Laces</t>
  </si>
  <si>
    <t>Black/Tan Rope Laces</t>
  </si>
  <si>
    <t>Cream/White Rope Laces</t>
  </si>
  <si>
    <t>Black/Metallic Gold v2.0 Rope Laces</t>
  </si>
  <si>
    <t>White/Metallic Gold v2.0 Rope Laces</t>
  </si>
  <si>
    <t>Green/Black Rope Laces</t>
  </si>
  <si>
    <t>Burgundy/Grey Rope Laces</t>
  </si>
  <si>
    <t>Navy Blue/Burgundy Rope Laces</t>
  </si>
  <si>
    <t>Sail Blue Rope Laces</t>
  </si>
  <si>
    <t>Team Red/White Rope Laces</t>
  </si>
  <si>
    <t>Beige Rope Laces</t>
  </si>
  <si>
    <t>Black Rope Laces</t>
  </si>
  <si>
    <t>White Rope Laces</t>
  </si>
  <si>
    <t>Blue Rope Laces</t>
  </si>
  <si>
    <t>Red Rope Laces</t>
  </si>
  <si>
    <t>Navy Blue Rope Laces</t>
  </si>
  <si>
    <t>Black 3M Reflective Rope Laces</t>
  </si>
  <si>
    <t>Blue 3M Reflective Rope Laces</t>
  </si>
  <si>
    <t>White 3M Reflective Rope Laces</t>
  </si>
  <si>
    <t>Red 3M Reflective Rope Laces</t>
  </si>
  <si>
    <t>Grey 3M/3M Reflective Rope Laces</t>
  </si>
  <si>
    <t>Olive 3M Reflective Rope Laces</t>
  </si>
  <si>
    <t>Volt 3M Reflective Rope Laces</t>
  </si>
  <si>
    <t>Mint 3M Reflective Rope Laces</t>
  </si>
  <si>
    <t>Cove Blue 3M Reflective Rope Laces</t>
  </si>
  <si>
    <t>Yellow 3M Reflective Rope Laces</t>
  </si>
  <si>
    <t>Purple 3M Reflective Rope Laces</t>
  </si>
  <si>
    <t>Orange 3M Reflective Rope Laces</t>
  </si>
  <si>
    <t>Pink 3M Reflective Rope Laces</t>
  </si>
  <si>
    <t>Green 3M Reflective Rope Laces</t>
  </si>
  <si>
    <t>Sapphire 3M Reflective Rope Laces</t>
  </si>
  <si>
    <t>Black 3M Inverse Rope Laces</t>
  </si>
  <si>
    <t>White 3M Inverse Rope Laces</t>
  </si>
  <si>
    <t>Blue 3M Inverse Rope Laces</t>
  </si>
  <si>
    <t>Red 3M Inverse Rope Laces</t>
  </si>
  <si>
    <t>Charcoal 3M Inverse Rope Laces</t>
  </si>
  <si>
    <t>Mint 3M Inverse Rope Laces</t>
  </si>
  <si>
    <t>Cove Blue 3M Inverse Rope Laces</t>
  </si>
  <si>
    <t>Volt 3M Inverse Rope Laces</t>
  </si>
  <si>
    <t>White Shoe Laces</t>
  </si>
  <si>
    <t>Black Shoe Laces</t>
  </si>
  <si>
    <t>Red Shoe Laces</t>
  </si>
  <si>
    <t>Royal Blue Shoe Laces</t>
  </si>
  <si>
    <t>Mint Shoe Laces</t>
  </si>
  <si>
    <t>Bahama Blue Shoe Laces</t>
  </si>
  <si>
    <t>Maize Shoe Laces</t>
  </si>
  <si>
    <t>Maroon Shoe Laces</t>
  </si>
  <si>
    <t>Navy Blue Shoe Laces</t>
  </si>
  <si>
    <t>Neon Green Shoe Laces</t>
  </si>
  <si>
    <t>Neon Pink Shoe Laces</t>
  </si>
  <si>
    <t>Pale Yellow Shoe Laces</t>
  </si>
  <si>
    <t>Paradise Purple Shoe Laces</t>
  </si>
  <si>
    <t>Pink Shoe Laces</t>
  </si>
  <si>
    <t>Purple Shoe Laces</t>
  </si>
  <si>
    <t>Silver Shoe Laces</t>
  </si>
  <si>
    <t>Teal Shoe Laces</t>
  </si>
  <si>
    <t>Volt Shoe Laces</t>
  </si>
  <si>
    <t>Olive Shoe Laces</t>
  </si>
  <si>
    <t>Lilac Shoe Laces</t>
  </si>
  <si>
    <t>Light Grey Shoe Laces</t>
  </si>
  <si>
    <t>Beige Shoe Laces</t>
  </si>
  <si>
    <t>Brown Shoe Laces</t>
  </si>
  <si>
    <t>Carolina Blue Shoe Laces</t>
  </si>
  <si>
    <t>Charcoal Grey Shoe Laces</t>
  </si>
  <si>
    <t>Columbia Blue Shoe Laces</t>
  </si>
  <si>
    <t>Dark Brown Shoe Laces</t>
  </si>
  <si>
    <t>Dark Green Shoe Laces</t>
  </si>
  <si>
    <t>Dark Grey Shoe Laces</t>
  </si>
  <si>
    <t>Dark Orange Shoe Laces</t>
  </si>
  <si>
    <t>Flaming Orange Shoe Laces</t>
  </si>
  <si>
    <t>Fuchsia Shoe Laces</t>
  </si>
  <si>
    <t>Gold Shoe Laces</t>
  </si>
  <si>
    <t>Kelly Green Shoe Laces</t>
  </si>
  <si>
    <t>Light Beige Shoe Laces</t>
  </si>
  <si>
    <t xml:space="preserve">Black Reflective Flat Laces1.0 </t>
  </si>
  <si>
    <t>Black Reflective Flat Laces</t>
  </si>
  <si>
    <t>Silver Reflective Flat Laces</t>
  </si>
  <si>
    <t>White Reflective Flat Laces</t>
  </si>
  <si>
    <t>Black Luxury Leather Laces - GoldPlated</t>
  </si>
  <si>
    <t>Black Luxury Leather Laces - GunmetalPlated</t>
  </si>
  <si>
    <t>Black Luxury Leather Laces - SilverPlated</t>
  </si>
  <si>
    <t>White Luxury Leather Laces - GoldPlated</t>
  </si>
  <si>
    <t>White Luxury Leather Laces - GunmetalPlated</t>
  </si>
  <si>
    <t>White Luxury Leather Laces - SilverPlated</t>
  </si>
  <si>
    <t>Gold Luxury Leather Laces - GoldPlated</t>
  </si>
  <si>
    <t>Gold Luxury Leather Laces - GunmetalPlated</t>
  </si>
  <si>
    <t>Gold Luxury Leather Laces - SilverPlated</t>
  </si>
  <si>
    <t>Red Luxury Leather Laces - GoldPlated</t>
  </si>
  <si>
    <t>Red Luxury Leather Laces - GunmetalPlated</t>
  </si>
  <si>
    <t>Red Luxury Leather Laces - SilverPlated</t>
  </si>
  <si>
    <t>Royal Blue Luxury Leather Laces - GoldPlated</t>
  </si>
  <si>
    <t>Royal Blue Luxury Leather Laces - GunmetalPlated</t>
  </si>
  <si>
    <t>Royal Blue Luxury Leather Laces - SilverPlated</t>
  </si>
  <si>
    <t>Black Boot Laces</t>
  </si>
  <si>
    <t>Black/Brown Boot Laces</t>
  </si>
  <si>
    <t>Black/Grey Boot Laces</t>
  </si>
  <si>
    <t>Black/Hunter Green Boot Laces</t>
  </si>
  <si>
    <t>Black/Tan Boot Laces</t>
  </si>
  <si>
    <t>Brown Boot Laces</t>
  </si>
  <si>
    <t>Brown/Beige Boot Laces</t>
  </si>
  <si>
    <t>Rawhide Boot Laces</t>
  </si>
  <si>
    <t>Black Waxed Shoe Laces</t>
  </si>
  <si>
    <t>Metallic Red/Black Rope Laces</t>
    <phoneticPr fontId="3" type="noConversion"/>
  </si>
  <si>
    <t>Black/White Rope Laces</t>
    <phoneticPr fontId="3" type="noConversion"/>
  </si>
  <si>
    <t>입</t>
    <phoneticPr fontId="3" type="noConversion"/>
  </si>
  <si>
    <t>수입가</t>
    <phoneticPr fontId="7" type="noConversion"/>
  </si>
  <si>
    <t>판매가</t>
    <phoneticPr fontId="3" type="noConversion"/>
  </si>
  <si>
    <t>판매가합계</t>
    <phoneticPr fontId="3" type="noConversion"/>
  </si>
  <si>
    <t>수입가합계</t>
    <phoneticPr fontId="4" type="noConversion"/>
  </si>
  <si>
    <t>R01</t>
  </si>
  <si>
    <t>R01</t>
    <phoneticPr fontId="3" type="noConversion"/>
  </si>
  <si>
    <t>I01</t>
  </si>
  <si>
    <t>I01</t>
    <phoneticPr fontId="3" type="noConversion"/>
  </si>
  <si>
    <t>F01</t>
  </si>
  <si>
    <t>F01</t>
    <phoneticPr fontId="3" type="noConversion"/>
  </si>
  <si>
    <t>RF01</t>
  </si>
  <si>
    <t>RF01</t>
    <phoneticPr fontId="3" type="noConversion"/>
  </si>
  <si>
    <t>X01</t>
  </si>
  <si>
    <t>X01</t>
    <phoneticPr fontId="3" type="noConversion"/>
  </si>
  <si>
    <t>RO01</t>
  </si>
  <si>
    <t>RO01</t>
    <phoneticPr fontId="3" type="noConversion"/>
  </si>
  <si>
    <t>L01</t>
  </si>
  <si>
    <t>L01</t>
    <phoneticPr fontId="3" type="noConversion"/>
  </si>
  <si>
    <t>M01</t>
  </si>
  <si>
    <t>M01</t>
    <phoneticPr fontId="3" type="noConversion"/>
  </si>
  <si>
    <t>O01</t>
  </si>
  <si>
    <t>O01</t>
    <phoneticPr fontId="3" type="noConversion"/>
  </si>
  <si>
    <t>B01</t>
  </si>
  <si>
    <t>B01</t>
    <phoneticPr fontId="3" type="noConversion"/>
  </si>
  <si>
    <t>T01</t>
  </si>
  <si>
    <t>T01</t>
    <phoneticPr fontId="3" type="noConversion"/>
  </si>
  <si>
    <t>W01</t>
  </si>
  <si>
    <t>W01</t>
    <phoneticPr fontId="3" type="noConversion"/>
  </si>
  <si>
    <t>R02</t>
  </si>
  <si>
    <t>R03</t>
  </si>
  <si>
    <t>R04</t>
  </si>
  <si>
    <t>R05</t>
  </si>
  <si>
    <t>R06</t>
  </si>
  <si>
    <t>R07</t>
  </si>
  <si>
    <t>R08</t>
  </si>
  <si>
    <t>R09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</si>
  <si>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</si>
  <si>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</si>
  <si>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</si>
  <si>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</si>
  <si>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</si>
  <si>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</si>
  <si>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</si>
  <si>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</si>
  <si>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</si>
  <si>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</si>
  <si>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</si>
  <si>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</si>
  <si>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</si>
  <si>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</si>
  <si>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</si>
  <si>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</si>
  <si>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</si>
  <si>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</si>
  <si>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</si>
  <si>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</si>
  <si>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</si>
  <si>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</si>
  <si>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</si>
  <si>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</si>
  <si>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</si>
  <si>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</si>
  <si>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</si>
  <si>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</si>
  <si>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</si>
  <si>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</si>
  <si>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3M01</t>
  </si>
  <si>
    <t>3M01</t>
    <phoneticPr fontId="3" type="noConversion"/>
  </si>
  <si>
    <t>3M02</t>
  </si>
  <si>
    <t>3M03</t>
  </si>
  <si>
    <t>3M04</t>
  </si>
  <si>
    <t>3M05</t>
  </si>
  <si>
    <t>3M06</t>
  </si>
  <si>
    <t>3M07</t>
  </si>
  <si>
    <t>3M08</t>
  </si>
  <si>
    <t>3M09</t>
  </si>
  <si>
    <t>3M10</t>
  </si>
  <si>
    <t>3M11</t>
  </si>
  <si>
    <t>3M12</t>
  </si>
  <si>
    <t>3M13</t>
  </si>
  <si>
    <t>3M14</t>
  </si>
  <si>
    <t>3M15</t>
  </si>
  <si>
    <t>I02</t>
  </si>
  <si>
    <t>I03</t>
  </si>
  <si>
    <t>I04</t>
  </si>
  <si>
    <t>I05</t>
  </si>
  <si>
    <t>I06</t>
  </si>
  <si>
    <t>I07</t>
  </si>
  <si>
    <t>I08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</si>
  <si>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</si>
  <si>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</si>
  <si>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</si>
  <si>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</si>
  <si>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</si>
  <si>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</si>
  <si>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</si>
  <si>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</si>
  <si>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</si>
  <si>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</si>
  <si>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</si>
  <si>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</si>
  <si>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</si>
  <si>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</si>
  <si>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</si>
  <si>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</si>
  <si>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</si>
  <si>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</si>
  <si>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</si>
  <si>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</si>
  <si>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</si>
  <si>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</si>
  <si>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</si>
  <si>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</si>
  <si>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</si>
  <si>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</si>
  <si>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</si>
  <si>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</si>
  <si>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</si>
  <si>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F31</t>
  </si>
  <si>
    <t>F32</t>
  </si>
  <si>
    <t>F33</t>
  </si>
  <si>
    <t>F34</t>
  </si>
  <si>
    <t>F35</t>
  </si>
  <si>
    <t>RF02</t>
  </si>
  <si>
    <t>RF03</t>
  </si>
  <si>
    <t>RF04</t>
  </si>
  <si>
    <t>RF05</t>
  </si>
  <si>
    <t>RF06</t>
  </si>
  <si>
    <t>RF07</t>
  </si>
  <si>
    <t>RF08</t>
  </si>
  <si>
    <t>RF09</t>
  </si>
  <si>
    <t>RF10</t>
  </si>
  <si>
    <t>RF11</t>
  </si>
  <si>
    <t>RF12</t>
  </si>
  <si>
    <t>RF13</t>
  </si>
  <si>
    <t>RF14</t>
  </si>
  <si>
    <t>RF15</t>
  </si>
  <si>
    <t>RF16</t>
  </si>
  <si>
    <t>X02</t>
  </si>
  <si>
    <t>X03</t>
  </si>
  <si>
    <t>X04</t>
  </si>
  <si>
    <t>X05</t>
  </si>
  <si>
    <t>X06</t>
  </si>
  <si>
    <t>X07</t>
  </si>
  <si>
    <t>X08</t>
  </si>
  <si>
    <t>X09</t>
  </si>
  <si>
    <t>X10</t>
  </si>
  <si>
    <t>RO02</t>
  </si>
  <si>
    <t>RO03</t>
  </si>
  <si>
    <t>RO04</t>
  </si>
  <si>
    <t>RO05</t>
  </si>
  <si>
    <t>RO06</t>
  </si>
  <si>
    <t>RO07</t>
  </si>
  <si>
    <t>RO08</t>
  </si>
  <si>
    <t>RO09</t>
  </si>
  <si>
    <t>RO10</t>
  </si>
  <si>
    <t>RO11</t>
  </si>
  <si>
    <t>RO12</t>
  </si>
  <si>
    <t>RO13</t>
  </si>
  <si>
    <t>L02</t>
  </si>
  <si>
    <t>L03</t>
  </si>
  <si>
    <t>L04</t>
  </si>
  <si>
    <t>L05</t>
  </si>
  <si>
    <t>L06</t>
  </si>
  <si>
    <t>L07</t>
  </si>
  <si>
    <t>L08</t>
  </si>
  <si>
    <t>L09</t>
  </si>
  <si>
    <t>L10</t>
  </si>
  <si>
    <t>L11</t>
  </si>
  <si>
    <t>L12</t>
  </si>
  <si>
    <t>L13</t>
  </si>
  <si>
    <t>L14</t>
  </si>
  <si>
    <t>L15</t>
  </si>
  <si>
    <t>M02</t>
  </si>
  <si>
    <t>M03</t>
  </si>
  <si>
    <t>M04</t>
  </si>
  <si>
    <t>M05</t>
  </si>
  <si>
    <t>M06</t>
  </si>
  <si>
    <t>M07</t>
  </si>
  <si>
    <t>O02</t>
  </si>
  <si>
    <t>O03</t>
  </si>
  <si>
    <t>O04</t>
  </si>
  <si>
    <t>O05</t>
  </si>
  <si>
    <t>O06</t>
  </si>
  <si>
    <t>O07</t>
  </si>
  <si>
    <t>O08</t>
  </si>
  <si>
    <t>O09</t>
  </si>
  <si>
    <t>O10</t>
  </si>
  <si>
    <t>O11</t>
  </si>
  <si>
    <t>O12</t>
  </si>
  <si>
    <t>O13</t>
  </si>
  <si>
    <t>O14</t>
  </si>
  <si>
    <t>B02</t>
  </si>
  <si>
    <t>B03</t>
  </si>
  <si>
    <t>B04</t>
  </si>
  <si>
    <t>B05</t>
  </si>
  <si>
    <t>B06</t>
  </si>
  <si>
    <t>B07</t>
  </si>
  <si>
    <t>B08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</si>
  <si>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</si>
  <si>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</si>
  <si>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</si>
  <si>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</si>
  <si>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</si>
  <si>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</si>
  <si>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</si>
  <si>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</si>
  <si>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</si>
  <si>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모델명</t>
    <phoneticPr fontId="3" type="noConversion"/>
  </si>
  <si>
    <t>제품명</t>
  </si>
  <si>
    <t>제품명</t>
    <phoneticPr fontId="3" type="noConversion"/>
  </si>
  <si>
    <t>수량</t>
    <phoneticPr fontId="4" type="noConversion"/>
  </si>
  <si>
    <t>월</t>
  </si>
  <si>
    <t>(모두)</t>
  </si>
  <si>
    <t>Black/White Rope Laces</t>
  </si>
  <si>
    <t>Metallic Red/Black Rope Laces</t>
  </si>
  <si>
    <t>실수량</t>
    <phoneticPr fontId="3" type="noConversion"/>
  </si>
  <si>
    <t>합계 : 실수량</t>
  </si>
  <si>
    <t>r04</t>
    <phoneticPr fontId="3" type="noConversion"/>
  </si>
  <si>
    <t>출</t>
    <phoneticPr fontId="3" type="noConversion"/>
  </si>
  <si>
    <t>8월</t>
    <phoneticPr fontId="3" type="noConversion"/>
  </si>
  <si>
    <t>#N/A</t>
  </si>
  <si>
    <t>x10</t>
    <phoneticPr fontId="3" type="noConversion"/>
  </si>
  <si>
    <t>x05</t>
    <phoneticPr fontId="3" type="noConversion"/>
  </si>
  <si>
    <t>L07</t>
    <phoneticPr fontId="3" type="noConversion"/>
  </si>
  <si>
    <t>사이즈</t>
  </si>
  <si>
    <t>Grey/Black Multi-Color Flat Laces</t>
    <phoneticPr fontId="3" type="noConversion"/>
  </si>
  <si>
    <t>Black/Red Multi-Color Flat Laces</t>
    <phoneticPr fontId="3" type="noConversion"/>
  </si>
  <si>
    <t>Black/White Multi-Color Flat Laces</t>
    <phoneticPr fontId="3" type="noConversion"/>
  </si>
  <si>
    <t>Grey/White Multi-Color Flat Laces</t>
    <phoneticPr fontId="3" type="noConversion"/>
  </si>
  <si>
    <t>Beige/White Multi-Color Flat Laces</t>
    <phoneticPr fontId="3" type="noConversion"/>
  </si>
  <si>
    <t>f04</t>
    <phoneticPr fontId="3" type="noConversion"/>
  </si>
  <si>
    <t>9월</t>
    <phoneticPr fontId="3" type="noConversion"/>
  </si>
  <si>
    <t>x03</t>
    <phoneticPr fontId="3" type="noConversion"/>
  </si>
  <si>
    <t>입</t>
    <phoneticPr fontId="3" type="noConversion"/>
  </si>
  <si>
    <t>x05</t>
    <phoneticPr fontId="3" type="noConversion"/>
  </si>
  <si>
    <t>MF01</t>
  </si>
  <si>
    <t>MF01</t>
    <phoneticPr fontId="3" type="noConversion"/>
  </si>
  <si>
    <t>MF02</t>
  </si>
  <si>
    <t>MF03</t>
  </si>
  <si>
    <t>MF04</t>
  </si>
  <si>
    <t>MF05</t>
  </si>
  <si>
    <t>Grey/Black Multi-Color Flat Laces</t>
    <phoneticPr fontId="16" type="noConversion"/>
  </si>
  <si>
    <t>Black/Red Multi-Color Flat Laces</t>
    <phoneticPr fontId="16" type="noConversion"/>
  </si>
  <si>
    <t>Black/White Multi-Color Flat Laces</t>
    <phoneticPr fontId="16" type="noConversion"/>
  </si>
  <si>
    <t>Grey/White Multi-Color Flat Laces</t>
    <phoneticPr fontId="16" type="noConversion"/>
  </si>
  <si>
    <t>Beige/White Multi-Color Flat Laces</t>
    <phoneticPr fontId="16" type="noConversion"/>
  </si>
  <si>
    <t>RF17</t>
  </si>
  <si>
    <t>RF17</t>
    <phoneticPr fontId="3" type="noConversion"/>
  </si>
  <si>
    <t>Sapphire - Reflective Flat Laces 2.0</t>
    <phoneticPr fontId="16" type="noConversion"/>
  </si>
  <si>
    <t>Navy Blue - Reflective Flat Laces 2.0</t>
    <phoneticPr fontId="16" type="noConversion"/>
  </si>
  <si>
    <t>Olive - Reflective Flat Laces 1.0</t>
    <phoneticPr fontId="16" type="noConversion"/>
  </si>
  <si>
    <t>Olive - Reflective Flat Laces 2.0</t>
    <phoneticPr fontId="16" type="noConversion"/>
  </si>
  <si>
    <t>RF18</t>
  </si>
  <si>
    <t>RF18</t>
    <phoneticPr fontId="3" type="noConversion"/>
  </si>
  <si>
    <t>RF19</t>
  </si>
  <si>
    <t>RF19</t>
    <phoneticPr fontId="3" type="noConversion"/>
  </si>
  <si>
    <t>RF20</t>
  </si>
  <si>
    <t>RF20</t>
    <phoneticPr fontId="3" type="noConversion"/>
  </si>
  <si>
    <t>RF18</t>
    <phoneticPr fontId="3" type="noConversion"/>
  </si>
  <si>
    <t>RF19</t>
    <phoneticPr fontId="3" type="noConversion"/>
  </si>
  <si>
    <t>RF20</t>
    <phoneticPr fontId="3" type="noConversion"/>
  </si>
  <si>
    <t>Olive - Reflective Flat Laces 1.0</t>
  </si>
  <si>
    <t>Olive - Reflective Flat Laces 2.0</t>
  </si>
  <si>
    <t>Grey/Black Multi-Color Flat Laces</t>
  </si>
  <si>
    <t>Black/Red Multi-Color Flat Laces</t>
  </si>
  <si>
    <t>Black/White Multi-Color Flat Laces</t>
  </si>
  <si>
    <t>Grey/White Multi-Color Flat Laces</t>
  </si>
  <si>
    <t>Beige/White Multi-Color Flat Laces</t>
  </si>
  <si>
    <t>Sapphire - Reflective Flat Laces 2.0</t>
  </si>
  <si>
    <t>Navy Blue - Reflective Flat Laces 2.0</t>
  </si>
  <si>
    <t>Multi-Color Flat Laces</t>
  </si>
  <si>
    <t>Multi-Color Flat Laces</t>
    <phoneticPr fontId="3" type="noConversion"/>
  </si>
</sst>
</file>

<file path=xl/styles.xml><?xml version="1.0" encoding="utf-8"?>
<styleSheet xmlns="http://schemas.openxmlformats.org/spreadsheetml/2006/main">
  <numFmts count="3">
    <numFmt numFmtId="41" formatCode="_-* #,##0_-;\-* #,##0_-;_-* &quot;-&quot;_-;_-@_-"/>
    <numFmt numFmtId="176" formatCode="\$0.00;\-\$0.00"/>
    <numFmt numFmtId="177" formatCode="mm&quot;월&quot;\ dd&quot;일&quot;"/>
  </numFmts>
  <fonts count="1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212B35"/>
      <name val="Arial"/>
      <family val="3"/>
      <charset val="134"/>
    </font>
    <font>
      <sz val="8"/>
      <name val="맑은 고딕"/>
      <family val="2"/>
      <charset val="129"/>
      <scheme val="minor"/>
    </font>
    <font>
      <sz val="10"/>
      <color rgb="FF000000"/>
      <name val="Calibri"/>
      <family val="3"/>
      <charset val="134"/>
    </font>
    <font>
      <sz val="11"/>
      <color rgb="FF212B35"/>
      <name val="돋움"/>
      <family val="3"/>
      <charset val="129"/>
    </font>
    <font>
      <sz val="10"/>
      <color rgb="FF000000"/>
      <name val="돋움"/>
      <family val="3"/>
      <charset val="129"/>
    </font>
    <font>
      <sz val="8"/>
      <name val="맑은 고딕"/>
      <family val="3"/>
      <charset val="129"/>
      <scheme val="minor"/>
    </font>
    <font>
      <sz val="11"/>
      <color rgb="FF000000"/>
      <name val="Calibri"/>
      <family val="3"/>
      <charset val="134"/>
    </font>
    <font>
      <sz val="11"/>
      <color rgb="FF000000"/>
      <name val="Arial"/>
      <family val="3"/>
      <charset val="134"/>
    </font>
    <font>
      <sz val="14"/>
      <color theme="1"/>
      <name val="맑은 고딕"/>
      <family val="2"/>
      <charset val="134"/>
      <scheme val="minor"/>
    </font>
    <font>
      <sz val="14"/>
      <color rgb="FF000000"/>
      <name val="Calibri"/>
      <family val="3"/>
      <charset val="134"/>
    </font>
    <font>
      <sz val="20"/>
      <color rgb="FF000000"/>
      <name val="Arial"/>
      <family val="3"/>
      <charset val="134"/>
    </font>
    <font>
      <sz val="14"/>
      <color theme="1"/>
      <name val="맑은 고딕"/>
      <family val="2"/>
      <charset val="129"/>
      <scheme val="minor"/>
    </font>
    <font>
      <b/>
      <sz val="10"/>
      <name val="Arial"/>
      <family val="2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57">
    <xf numFmtId="0" fontId="0" fillId="0" borderId="0" xfId="0">
      <alignment vertical="center"/>
    </xf>
    <xf numFmtId="0" fontId="2" fillId="0" borderId="0" xfId="0" applyFont="1" applyFill="1" applyBorder="1" applyAlignment="1">
      <alignment horizontal="left" vertical="top"/>
    </xf>
    <xf numFmtId="0" fontId="5" fillId="0" borderId="0" xfId="0" applyFont="1" applyFill="1" applyBorder="1" applyAlignment="1">
      <alignment horizontal="left" vertical="top"/>
    </xf>
    <xf numFmtId="0" fontId="6" fillId="0" borderId="0" xfId="0" applyFont="1" applyFill="1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176" fontId="9" fillId="0" borderId="0" xfId="0" applyNumberFormat="1" applyFont="1" applyFill="1" applyBorder="1" applyAlignment="1">
      <alignment horizontal="left" vertical="top"/>
    </xf>
    <xf numFmtId="41" fontId="4" fillId="0" borderId="0" xfId="1" applyFont="1" applyFill="1" applyBorder="1" applyAlignment="1">
      <alignment horizontal="left" vertical="top"/>
    </xf>
    <xf numFmtId="0" fontId="4" fillId="0" borderId="0" xfId="0" applyFont="1" applyFill="1" applyBorder="1" applyAlignment="1">
      <alignment horizontal="left" vertical="top"/>
    </xf>
    <xf numFmtId="41" fontId="0" fillId="0" borderId="0" xfId="1" applyFont="1" applyAlignment="1">
      <alignment horizontal="left" vertical="top"/>
    </xf>
    <xf numFmtId="0" fontId="0" fillId="0" borderId="0" xfId="0" applyAlignment="1">
      <alignment horizontal="left" vertical="top"/>
    </xf>
    <xf numFmtId="41" fontId="10" fillId="0" borderId="0" xfId="1" applyFont="1" applyAlignment="1">
      <alignment horizontal="left" vertical="top"/>
    </xf>
    <xf numFmtId="41" fontId="11" fillId="0" borderId="0" xfId="1" applyFont="1" applyFill="1" applyBorder="1" applyAlignment="1">
      <alignment horizontal="left" vertical="top"/>
    </xf>
    <xf numFmtId="0" fontId="12" fillId="0" borderId="0" xfId="0" applyFont="1" applyFill="1" applyBorder="1" applyAlignment="1">
      <alignment horizontal="left" vertical="top"/>
    </xf>
    <xf numFmtId="0" fontId="0" fillId="0" borderId="0" xfId="0" pivotButton="1">
      <alignment vertical="center"/>
    </xf>
    <xf numFmtId="41" fontId="0" fillId="0" borderId="1" xfId="0" applyNumberFormat="1" applyBorder="1" applyAlignment="1">
      <alignment horizontal="left" vertical="center"/>
    </xf>
    <xf numFmtId="41" fontId="13" fillId="0" borderId="1" xfId="0" applyNumberFormat="1" applyFont="1" applyBorder="1">
      <alignment vertical="center"/>
    </xf>
    <xf numFmtId="0" fontId="0" fillId="0" borderId="1" xfId="0" applyBorder="1" applyAlignment="1">
      <alignment horizontal="left" vertical="top"/>
    </xf>
    <xf numFmtId="0" fontId="5" fillId="0" borderId="1" xfId="0" applyFont="1" applyFill="1" applyBorder="1" applyAlignment="1">
      <alignment horizontal="left" vertical="top"/>
    </xf>
    <xf numFmtId="14" fontId="0" fillId="0" borderId="1" xfId="0" applyNumberFormat="1" applyBorder="1" applyAlignment="1">
      <alignment horizontal="left" vertical="top"/>
    </xf>
    <xf numFmtId="0" fontId="8" fillId="0" borderId="1" xfId="0" applyFont="1" applyFill="1" applyBorder="1" applyAlignment="1">
      <alignment horizontal="left" vertical="top"/>
    </xf>
    <xf numFmtId="41" fontId="8" fillId="0" borderId="1" xfId="1" applyFont="1" applyFill="1" applyBorder="1" applyAlignment="1">
      <alignment horizontal="left" vertical="top"/>
    </xf>
    <xf numFmtId="0" fontId="4" fillId="0" borderId="1" xfId="0" applyFont="1" applyFill="1" applyBorder="1" applyAlignment="1">
      <alignment horizontal="left" vertical="top"/>
    </xf>
    <xf numFmtId="41" fontId="4" fillId="0" borderId="1" xfId="1" applyFont="1" applyFill="1" applyBorder="1" applyAlignment="1">
      <alignment horizontal="left" vertical="top"/>
    </xf>
    <xf numFmtId="41" fontId="6" fillId="0" borderId="0" xfId="1" applyFont="1" applyFill="1" applyBorder="1" applyAlignment="1">
      <alignment horizontal="left" vertical="top"/>
    </xf>
    <xf numFmtId="41" fontId="9" fillId="0" borderId="0" xfId="1" applyFont="1" applyFill="1" applyBorder="1" applyAlignment="1">
      <alignment horizontal="left" vertical="top"/>
    </xf>
    <xf numFmtId="0" fontId="0" fillId="2" borderId="1" xfId="0" applyFill="1" applyBorder="1" applyAlignment="1">
      <alignment horizontal="left" vertical="top"/>
    </xf>
    <xf numFmtId="41" fontId="5" fillId="2" borderId="1" xfId="1" applyFont="1" applyFill="1" applyBorder="1" applyAlignment="1">
      <alignment horizontal="left" vertical="top"/>
    </xf>
    <xf numFmtId="0" fontId="5" fillId="2" borderId="1" xfId="0" applyFont="1" applyFill="1" applyBorder="1" applyAlignment="1">
      <alignment horizontal="left" vertical="top"/>
    </xf>
    <xf numFmtId="0" fontId="6" fillId="2" borderId="1" xfId="0" applyFont="1" applyFill="1" applyBorder="1" applyAlignment="1">
      <alignment horizontal="left" vertical="top"/>
    </xf>
    <xf numFmtId="14" fontId="0" fillId="2" borderId="1" xfId="0" applyNumberFormat="1" applyFill="1" applyBorder="1" applyAlignment="1">
      <alignment horizontal="left" vertical="top"/>
    </xf>
    <xf numFmtId="41" fontId="8" fillId="2" borderId="1" xfId="1" applyFont="1" applyFill="1" applyBorder="1" applyAlignment="1">
      <alignment horizontal="left" vertical="top"/>
    </xf>
    <xf numFmtId="176" fontId="9" fillId="2" borderId="1" xfId="0" applyNumberFormat="1" applyFont="1" applyFill="1" applyBorder="1" applyAlignment="1">
      <alignment horizontal="left" vertical="top"/>
    </xf>
    <xf numFmtId="0" fontId="0" fillId="2" borderId="0" xfId="0" applyFill="1" applyAlignment="1">
      <alignment horizontal="left" vertical="top"/>
    </xf>
    <xf numFmtId="41" fontId="0" fillId="2" borderId="0" xfId="1" applyFont="1" applyFill="1" applyAlignment="1">
      <alignment horizontal="left" vertical="top"/>
    </xf>
    <xf numFmtId="41" fontId="5" fillId="0" borderId="1" xfId="1" applyFont="1" applyFill="1" applyBorder="1" applyAlignment="1">
      <alignment horizontal="left" vertical="top"/>
    </xf>
    <xf numFmtId="0" fontId="0" fillId="0" borderId="0" xfId="0" applyNumberFormat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NumberFormat="1" applyBorder="1">
      <alignment vertical="center"/>
    </xf>
    <xf numFmtId="0" fontId="0" fillId="0" borderId="2" xfId="0" applyBorder="1">
      <alignment vertical="center"/>
    </xf>
    <xf numFmtId="0" fontId="0" fillId="0" borderId="1" xfId="0" applyBorder="1" applyAlignment="1">
      <alignment horizontal="left" vertical="center" indent="1"/>
    </xf>
    <xf numFmtId="0" fontId="0" fillId="0" borderId="2" xfId="0" applyNumberFormat="1" applyBorder="1">
      <alignment vertical="center"/>
    </xf>
    <xf numFmtId="14" fontId="0" fillId="0" borderId="0" xfId="0" applyNumberFormat="1" applyAlignment="1">
      <alignment horizontal="left" vertical="top"/>
    </xf>
    <xf numFmtId="177" fontId="0" fillId="0" borderId="0" xfId="0" applyNumberFormat="1" applyAlignment="1">
      <alignment horizontal="left" vertical="top"/>
    </xf>
    <xf numFmtId="0" fontId="0" fillId="0" borderId="1" xfId="0" applyBorder="1">
      <alignment vertical="center"/>
    </xf>
    <xf numFmtId="41" fontId="0" fillId="0" borderId="1" xfId="0" applyNumberFormat="1" applyBorder="1">
      <alignment vertical="center"/>
    </xf>
    <xf numFmtId="0" fontId="0" fillId="0" borderId="1" xfId="0" pivotButton="1" applyBorder="1">
      <alignment vertical="center"/>
    </xf>
    <xf numFmtId="0" fontId="13" fillId="0" borderId="1" xfId="0" applyFont="1" applyBorder="1">
      <alignment vertical="center"/>
    </xf>
    <xf numFmtId="176" fontId="9" fillId="0" borderId="1" xfId="0" applyNumberFormat="1" applyFont="1" applyFill="1" applyBorder="1" applyAlignment="1">
      <alignment horizontal="left" vertical="top"/>
    </xf>
    <xf numFmtId="0" fontId="0" fillId="0" borderId="0" xfId="0" applyAlignment="1">
      <alignment horizontal="left" vertical="center"/>
    </xf>
    <xf numFmtId="0" fontId="0" fillId="0" borderId="2" xfId="0" pivotButton="1" applyBorder="1">
      <alignment vertical="center"/>
    </xf>
    <xf numFmtId="0" fontId="0" fillId="0" borderId="2" xfId="0" applyBorder="1" applyAlignment="1">
      <alignment horizontal="left" vertical="center"/>
    </xf>
    <xf numFmtId="0" fontId="14" fillId="3" borderId="1" xfId="1" applyNumberFormat="1" applyFont="1" applyFill="1" applyBorder="1" applyAlignment="1">
      <alignment horizontal="center"/>
    </xf>
    <xf numFmtId="0" fontId="14" fillId="3" borderId="0" xfId="1" applyNumberFormat="1" applyFont="1" applyFill="1" applyBorder="1" applyAlignment="1">
      <alignment horizontal="center"/>
    </xf>
    <xf numFmtId="0" fontId="14" fillId="4" borderId="1" xfId="1" applyNumberFormat="1" applyFont="1" applyFill="1" applyBorder="1" applyAlignment="1">
      <alignment horizontal="center"/>
    </xf>
    <xf numFmtId="0" fontId="14" fillId="4" borderId="0" xfId="1" applyNumberFormat="1" applyFont="1" applyFill="1" applyBorder="1" applyAlignment="1">
      <alignment horizontal="center"/>
    </xf>
    <xf numFmtId="0" fontId="15" fillId="0" borderId="1" xfId="0" applyFont="1" applyBorder="1" applyAlignment="1">
      <alignment horizontal="left" vertical="center" indent="1"/>
    </xf>
    <xf numFmtId="0" fontId="0" fillId="5" borderId="3" xfId="0" applyFill="1" applyBorder="1">
      <alignment vertical="center"/>
    </xf>
  </cellXfs>
  <cellStyles count="2">
    <cellStyle name="쉼표 [0]" xfId="1" builtinId="6"/>
    <cellStyle name="표준" xfId="0" builtinId="0"/>
  </cellStyles>
  <dxfs count="1804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4"/>
      </font>
    </dxf>
    <dxf>
      <font>
        <sz val="14"/>
      </font>
    </dxf>
    <dxf>
      <font>
        <sz val="14"/>
      </font>
    </dxf>
    <dxf>
      <numFmt numFmtId="33" formatCode="_-* #,##0_-;\-* #,##0_-;_-* &quot;-&quot;_-;_-@_-"/>
    </dxf>
    <dxf>
      <numFmt numFmtId="33" formatCode="_-* #,##0_-;\-* #,##0_-;_-* &quot;-&quot;_-;_-@_-"/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numFmt numFmtId="33" formatCode="_-* #,##0_-;\-* #,##0_-;_-* &quot;-&quot;_-;_-@_-"/>
    </dxf>
    <dxf>
      <numFmt numFmtId="33" formatCode="_-* #,##0_-;\-* #,##0_-;_-* &quot;-&quot;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Registered User" refreshedDate="42975.755999421293" createdVersion="3" refreshedVersion="3" minRefreshableVersion="3" recordCount="620">
  <cacheSource type="worksheet">
    <worksheetSource ref="A1:O5000" sheet="Sheet1"/>
  </cacheSource>
  <cacheFields count="15">
    <cacheField name="월" numFmtId="0">
      <sharedItems containsBlank="1" count="3">
        <s v="7월"/>
        <s v="8월"/>
        <m/>
      </sharedItems>
    </cacheField>
    <cacheField name="연도" numFmtId="0">
      <sharedItems containsNonDate="0" containsDate="1" containsString="0" containsBlank="1" minDate="2017-07-11T00:00:00" maxDate="2017-08-28T00:00:00"/>
    </cacheField>
    <cacheField name="모델명" numFmtId="0">
      <sharedItems containsBlank="1" count="192">
        <s v="R01"/>
        <s v="R02"/>
        <s v="R03"/>
        <s v="R04"/>
        <s v="R05"/>
        <s v="R06"/>
        <s v="R07"/>
        <s v="R08"/>
        <s v="R09"/>
        <s v="R10"/>
        <s v="R11"/>
        <s v="R12"/>
        <s v="R13"/>
        <s v="R14"/>
        <s v="R15"/>
        <s v="R16"/>
        <s v="R17"/>
        <s v="R18"/>
        <s v="R19"/>
        <s v="R20"/>
        <s v="R21"/>
        <s v="R22"/>
        <s v="R23"/>
        <s v="R24"/>
        <s v="R25"/>
        <s v="R26"/>
        <s v="R27"/>
        <s v="R28"/>
        <s v="R29"/>
        <s v="R30"/>
        <s v="R31"/>
        <s v="R32"/>
        <s v="R33"/>
        <s v="R34"/>
        <s v="R35"/>
        <s v="R36"/>
        <s v="R37"/>
        <s v="R38"/>
        <s v="R39"/>
        <s v="3M01"/>
        <s v="3M02"/>
        <s v="3M03"/>
        <s v="3M04"/>
        <s v="3M05"/>
        <s v="3M06"/>
        <s v="3M07"/>
        <s v="3M08"/>
        <s v="3M09"/>
        <s v="3M10"/>
        <s v="3M11"/>
        <s v="3M12"/>
        <s v="3M13"/>
        <s v="3M14"/>
        <s v="3M15"/>
        <s v="I01"/>
        <s v="I02"/>
        <s v="I03"/>
        <s v="I04"/>
        <s v="I05"/>
        <s v="I06"/>
        <s v="I07"/>
        <s v="I08"/>
        <s v="F01"/>
        <s v="F02"/>
        <s v="F03"/>
        <s v="F04"/>
        <s v="F05"/>
        <s v="F06"/>
        <s v="F07"/>
        <s v="F08"/>
        <s v="F09"/>
        <s v="F10"/>
        <s v="F11"/>
        <s v="F12"/>
        <s v="F13"/>
        <s v="F14"/>
        <s v="F15"/>
        <s v="F16"/>
        <s v="F17"/>
        <s v="F18"/>
        <s v="F19"/>
        <s v="F20"/>
        <s v="F21"/>
        <s v="F22"/>
        <s v="F23"/>
        <s v="F24"/>
        <s v="F25"/>
        <s v="F26"/>
        <s v="F27"/>
        <s v="F28"/>
        <s v="F29"/>
        <s v="F30"/>
        <s v="F31"/>
        <s v="F32"/>
        <s v="F33"/>
        <s v="F34"/>
        <s v="F35"/>
        <s v="RF01"/>
        <s v="RF02"/>
        <s v="RF03"/>
        <s v="RF04"/>
        <s v="RF05"/>
        <s v="RF06"/>
        <s v="RF07"/>
        <s v="RF08"/>
        <s v="RF09"/>
        <s v="RF10"/>
        <s v="RF11"/>
        <s v="RF12"/>
        <s v="RF13"/>
        <s v="RF14"/>
        <s v="RF15"/>
        <s v="RF16"/>
        <s v="X01"/>
        <s v="X02"/>
        <s v="X03"/>
        <s v="X04"/>
        <s v="X05"/>
        <s v="X06"/>
        <s v="X07"/>
        <s v="X08"/>
        <s v="X09"/>
        <s v="X10"/>
        <s v="RO01"/>
        <s v="RO02"/>
        <s v="RO03"/>
        <s v="RO04"/>
        <s v="RO05"/>
        <s v="RO06"/>
        <s v="RO07"/>
        <s v="RO08"/>
        <s v="RO09"/>
        <s v="RO10"/>
        <s v="RO11"/>
        <s v="RO12"/>
        <s v="RO13"/>
        <s v="L01"/>
        <s v="L02"/>
        <s v="L03"/>
        <s v="L04"/>
        <s v="L05"/>
        <s v="L06"/>
        <s v="L07"/>
        <s v="L08"/>
        <s v="L09"/>
        <s v="L10"/>
        <s v="L11"/>
        <s v="L12"/>
        <s v="L13"/>
        <s v="L14"/>
        <s v="L15"/>
        <s v="M01"/>
        <s v="M02"/>
        <s v="M03"/>
        <s v="M04"/>
        <s v="M05"/>
        <s v="M06"/>
        <s v="M07"/>
        <s v="O01"/>
        <s v="O02"/>
        <s v="O03"/>
        <s v="O04"/>
        <s v="O05"/>
        <s v="O06"/>
        <s v="O07"/>
        <s v="O08"/>
        <s v="O09"/>
        <s v="O10"/>
        <s v="O11"/>
        <s v="O12"/>
        <s v="O13"/>
        <s v="O14"/>
        <s v="B01"/>
        <s v="B02"/>
        <s v="B03"/>
        <s v="B04"/>
        <s v="B05"/>
        <s v="B06"/>
        <s v="B07"/>
        <s v="B08"/>
        <s v="T01"/>
        <s v="T02"/>
        <s v="T03"/>
        <s v="T04"/>
        <s v="T05"/>
        <s v="T06"/>
        <s v="T07"/>
        <s v="T08"/>
        <s v="T09"/>
        <s v="T10"/>
        <s v="W01"/>
        <m/>
      </sharedItems>
    </cacheField>
    <cacheField name="사이즈" numFmtId="0">
      <sharedItems containsString="0" containsBlank="1" containsNumber="1" containsInteger="1" minValue="30" maxValue="72" count="8">
        <n v="30"/>
        <n v="36"/>
        <n v="41"/>
        <n v="45"/>
        <n v="54"/>
        <n v="63"/>
        <n v="72"/>
        <m/>
      </sharedItems>
    </cacheField>
    <cacheField name="수량" numFmtId="41">
      <sharedItems containsString="0" containsBlank="1" containsNumber="1" containsInteger="1" minValue="0" maxValue="6"/>
    </cacheField>
    <cacheField name="입출" numFmtId="0">
      <sharedItems containsBlank="1"/>
    </cacheField>
    <cacheField name="제품명" numFmtId="0">
      <sharedItems containsBlank="1" count="193">
        <s v="Black/White Rope Laces"/>
        <s v="Grey/Black Rope Laces"/>
        <s v="Grey/White Rope Laces"/>
        <s v="Black/Red Rope Laces"/>
        <s v="Blue/White Rope Laces"/>
        <s v="Red/White Rope Laces"/>
        <s v="Blue/Black Rope Laces"/>
        <s v="Mint/Black Rope Laces"/>
        <s v="Oxford Tan Rope Laces"/>
        <s v="Metallic Red/Black Rope Laces"/>
        <s v="Metallic Gold/White Rope Laces"/>
        <s v="Olive/Black Rope Laces"/>
        <s v="Pink/White Rope Laces"/>
        <s v="Mint Green/White Rope Laces"/>
        <s v="Volt/Black Rope Laces"/>
        <s v="Green/White Rope Laces"/>
        <s v="Black/Metallic Gold Rope Laces"/>
        <s v="Columbia Blue/Black Rope Laces"/>
        <s v="Red/Orange Rope Laces"/>
        <s v="Infrapink/Black Rope Laces"/>
        <s v="Hot Pink/Black Rope Laces"/>
        <s v="Purple/Black Rope Laces"/>
        <s v="Yellow/Black Rope Laces"/>
        <s v="Yellow/White Rope Laces"/>
        <s v="Black/Tan Rope Laces"/>
        <s v="Cream/White Rope Laces"/>
        <s v="Black/Metallic Gold v2.0 Rope Laces"/>
        <s v="White/Metallic Gold v2.0 Rope Laces"/>
        <s v="Green/Black Rope Laces"/>
        <s v="Burgundy/Grey Rope Laces"/>
        <s v="Navy Blue/Burgundy Rope Laces"/>
        <s v="Sail Blue Rope Laces"/>
        <s v="Team Red/White Rope Laces"/>
        <s v="Beige Rope Laces"/>
        <s v="Black Rope Laces"/>
        <s v="White Rope Laces"/>
        <s v="Blue Rope Laces"/>
        <s v="Red Rope Laces"/>
        <s v="Navy Blue Rope Laces"/>
        <s v="Black 3M Reflective Rope Laces"/>
        <s v="Blue 3M Reflective Rope Laces"/>
        <s v="White 3M Reflective Rope Laces"/>
        <s v="Red 3M Reflective Rope Laces"/>
        <s v="Grey 3M/3M Reflective Rope Laces"/>
        <s v="Olive 3M Reflective Rope Laces"/>
        <s v="Volt 3M Reflective Rope Laces"/>
        <s v="Mint 3M Reflective Rope Laces"/>
        <s v="Cove Blue 3M Reflective Rope Laces"/>
        <s v="Yellow 3M Reflective Rope Laces"/>
        <s v="Purple 3M Reflective Rope Laces"/>
        <s v="Orange 3M Reflective Rope Laces"/>
        <s v="Pink 3M Reflective Rope Laces"/>
        <s v="Green 3M Reflective Rope Laces"/>
        <s v="Sapphire 3M Reflective Rope Laces"/>
        <s v="Black 3M Inverse Rope Laces"/>
        <s v="White 3M Inverse Rope Laces"/>
        <s v="Blue 3M Inverse Rope Laces"/>
        <s v="Red 3M Inverse Rope Laces"/>
        <s v="Charcoal 3M Inverse Rope Laces"/>
        <s v="Mint 3M Inverse Rope Laces"/>
        <s v="Cove Blue 3M Inverse Rope Laces"/>
        <s v="Volt 3M Inverse Rope Laces"/>
        <s v="White Shoe Laces"/>
        <s v="Black Shoe Laces"/>
        <s v="Red Shoe Laces"/>
        <s v="Royal Blue Shoe Laces"/>
        <s v="Mint Shoe Laces"/>
        <s v="Bahama Blue Shoe Laces"/>
        <s v="Maize Shoe Laces"/>
        <s v="Maroon Shoe Laces"/>
        <s v="Navy Blue Shoe Laces"/>
        <s v="Neon Green Shoe Laces"/>
        <s v="Neon Pink Shoe Laces"/>
        <s v="Pale Yellow Shoe Laces"/>
        <s v="Paradise Purple Shoe Laces"/>
        <s v="Pink Shoe Laces"/>
        <s v="Purple Shoe Laces"/>
        <s v="Silver Shoe Laces"/>
        <s v="Teal Shoe Laces"/>
        <s v="Volt Shoe Laces"/>
        <s v="Olive Shoe Laces"/>
        <s v="Lilac Shoe Laces"/>
        <s v="Light Grey Shoe Laces"/>
        <s v="Beige Shoe Laces"/>
        <s v="Brown Shoe Laces"/>
        <s v="Carolina Blue Shoe Laces"/>
        <s v="Charcoal Grey Shoe Laces"/>
        <s v="Columbia Blue Shoe Laces"/>
        <s v="Dark Brown Shoe Laces"/>
        <s v="Dark Green Shoe Laces"/>
        <s v="Dark Grey Shoe Laces"/>
        <s v="Dark Orange Shoe Laces"/>
        <s v="Flaming Orange Shoe Laces"/>
        <s v="Fuchsia Shoe Laces"/>
        <s v="Gold Shoe Laces"/>
        <s v="Kelly Green Shoe Laces"/>
        <s v="Light Beige Shoe Laces"/>
        <s v="White  - ReflectiveFlatLaces1.0"/>
        <s v="Black Reflective Flat Laces1.0 "/>
        <s v="Red  - ReflectiveFlatLaces1.0"/>
        <s v="Blue  - ReflectiveFlatLaces1.0"/>
        <s v="White  - ReflectiveFlatLaces2.0"/>
        <s v="Black  - ReflectiveFlatLaces2.0"/>
        <s v="Blue  - ReflectiveFlatLaces2.0"/>
        <s v="Red  - ReflectiveFlatLaces2.0"/>
        <s v="Cove Blue  - ReflectiveFlatLaces2.0"/>
        <s v="Mint  - ReflectiveFlatLaces2.0"/>
        <s v="Volt  - ReflectiveFlatLaces2.0"/>
        <s v="Black Reflective Flat Laces"/>
        <s v="Silver Reflective Flat Laces"/>
        <s v="White Reflective Flat Laces"/>
        <s v="Navy Blue  - ReflectiveFlatLaces1.0"/>
        <s v="Sapphire  - ReflectiveFlatLaces1.0"/>
        <s v="Black  - XIRopeLaces"/>
        <s v="Cool Grey  - XIRopeLaces"/>
        <s v="Gamma Blue  - XIRopeLaces"/>
        <s v="Grape  - XIRopeLaces"/>
        <s v="Legend Blue  - XIRopeLaces"/>
        <s v="Light Grey  - XIRopeLaces"/>
        <s v="Navy Blue  - XIRopeLaces"/>
        <s v="Red  - XILaces"/>
        <s v="Royal Blue  - XIRopeLaces"/>
        <s v="White  - XIRopeLaces"/>
        <s v="Beige Roshe - StyleLaces"/>
        <s v="Black Roshe - StyleLaces"/>
        <s v="Bone Roshe - StyleLaces"/>
        <s v="Cappuccino Roshe - StyleLaces"/>
        <s v="Chocolate Roshe - StyleLaces"/>
        <s v="Dark Brown Roshe - StyleLaces"/>
        <s v="Hunter Green Roshe - StyleLaces"/>
        <s v="Navy Blue Roshe - StyleLaces"/>
        <s v="Neon Green Roshe - StyleLaces"/>
        <s v="Neon Pink Roshe - StyleLaces"/>
        <s v="Red Roshe - StyleLaces"/>
        <s v="White Roshe - StyleLaces"/>
        <s v="Yellow Roshe - StyleLaces"/>
        <s v="Black Luxury Leather Laces - GoldPlated"/>
        <s v="Black Luxury Leather Laces - GunmetalPlated"/>
        <s v="Black Luxury Leather Laces - SilverPlated"/>
        <s v="White Luxury Leather Laces - GoldPlated"/>
        <s v="White Luxury Leather Laces - GunmetalPlated"/>
        <s v="White Luxury Leather Laces - SilverPlated"/>
        <s v="Gold Luxury Leather Laces - GoldPlated"/>
        <s v="Gold Luxury Leather Laces - GunmetalPlated"/>
        <s v="Gold Luxury Leather Laces - SilverPlated"/>
        <s v="Red Luxury Leather Laces - GoldPlated"/>
        <s v="Red Luxury Leather Laces - GunmetalPlated"/>
        <s v="Red Luxury Leather Laces - SilverPlated"/>
        <s v="Royal Blue Luxury Leather Laces - GoldPlated"/>
        <s v="Royal Blue Luxury Leather Laces - GunmetalPlated"/>
        <s v="Royal Blue Luxury Leather Laces - SilverPlated"/>
        <s v="Black/Red Multi - ColorRopeLaces"/>
        <s v="Black/White Multi - ColorRopeLaces"/>
        <s v="Blue Multi - ColorRopeLaces"/>
        <s v="Green Multi - ColorRopeLaces"/>
        <s v="Orange Multi - ColorRopeLaces"/>
        <s v="Pink Multi - ColorRopeLaces"/>
        <s v="Volt Multi - ColorRopeLaces"/>
        <s v="Black  - OvalSBLaces"/>
        <s v="Blue  - OvalSBLaces"/>
        <s v="Carolina Blue  - OvalSBLaces"/>
        <s v="Green  - OvalSBLaces"/>
        <s v="Grey  - OvalSBLaces"/>
        <s v="Light Grey  - OvalSBLaces"/>
        <s v="Orange  - OvalSBLaces"/>
        <s v="Pink  - OvalSBLaces"/>
        <s v="Purple  - OvalSBLaces"/>
        <s v="Red  - OvalSBLaces"/>
        <s v="Royal Blue  - OvalSBLaces"/>
        <s v="Tiffany/Mint  - OvalSBLaces"/>
        <s v="Volt  - OvalSBLaces"/>
        <s v="Yellow  - OvalSBLaces"/>
        <s v="Black Boot Laces"/>
        <s v="Black/Brown Boot Laces"/>
        <s v="Black/Grey Boot Laces"/>
        <s v="Black/Hunter Green Boot Laces"/>
        <s v="Black/Tan Boot Laces"/>
        <s v="Brown Boot Laces"/>
        <s v="Brown/Beige Boot Laces"/>
        <s v="Rawhide Boot Laces"/>
        <s v="Black  - ThinOvalLaces"/>
        <s v="Black/Red  - ThinOvalLaces"/>
        <s v="Flaming Orange  - ThinOvalLaces"/>
        <s v="Kelly Green  - ThinOvalLaces"/>
        <s v="Light Grey  - ThinOvalLaces"/>
        <s v="Navy Blue  - ThinOvalLaces"/>
        <s v="Red  - ThinOvalLaces"/>
        <s v="Royal Blue  - ThinOvalLaces"/>
        <s v="Volt  - ThinOvalLaces"/>
        <s v="White  - ThinOvalLaces"/>
        <s v="Black Waxed Shoe Laces"/>
        <e v="#N/A"/>
        <m/>
      </sharedItems>
    </cacheField>
    <cacheField name="실수량" numFmtId="0">
      <sharedItems containsString="0" containsBlank="1" containsNumber="1" containsInteger="1" minValue="-1" maxValue="6" count="7">
        <n v="1"/>
        <n v="3"/>
        <n v="2"/>
        <n v="0"/>
        <n v="6"/>
        <n v="-1"/>
        <m/>
      </sharedItems>
    </cacheField>
    <cacheField name="판매가" numFmtId="41">
      <sharedItems containsBlank="1" containsMixedTypes="1" containsNumber="1" containsInteger="1" minValue="5000" maxValue="25000"/>
    </cacheField>
    <cacheField name="판매가합계" numFmtId="41">
      <sharedItems containsBlank="1" containsMixedTypes="1" containsNumber="1" containsInteger="1" minValue="0" maxValue="75000"/>
    </cacheField>
    <cacheField name="현지판매가" numFmtId="0">
      <sharedItems containsBlank="1" containsMixedTypes="1" containsNumber="1" minValue="3.95" maxValue="19.95"/>
    </cacheField>
    <cacheField name="수입가" numFmtId="0">
      <sharedItems containsBlank="1" containsMixedTypes="1" containsNumber="1" minValue="1.58" maxValue="7.98"/>
    </cacheField>
    <cacheField name="수입가합계" numFmtId="0">
      <sharedItems containsBlank="1" containsMixedTypes="1" containsNumber="1" minValue="0" maxValue="23.94"/>
    </cacheField>
    <cacheField name="구분" numFmtId="0">
      <sharedItems containsBlank="1"/>
    </cacheField>
    <cacheField name="인보이스넘버" numFmtId="0">
      <sharedItems containsString="0" containsBlank="1" containsNumber="1" containsInteger="1" minValue="28605" maxValue="28605"/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Registered User" refreshedDate="42986.477497685184" createdVersion="3" refreshedVersion="3" minRefreshableVersion="3" recordCount="620">
  <cacheSource type="worksheet">
    <worksheetSource ref="A1:O4999" sheet="Sheet1"/>
  </cacheSource>
  <cacheFields count="15">
    <cacheField name="월" numFmtId="0">
      <sharedItems containsBlank="1" count="4">
        <s v="7월"/>
        <s v="8월"/>
        <s v="9월"/>
        <m/>
      </sharedItems>
    </cacheField>
    <cacheField name="연도" numFmtId="0">
      <sharedItems containsNonDate="0" containsDate="1" containsString="0" containsBlank="1" minDate="2017-07-11T00:00:00" maxDate="2017-09-08T00:00:00"/>
    </cacheField>
    <cacheField name="모델명" numFmtId="0">
      <sharedItems containsBlank="1" count="201">
        <s v="R01"/>
        <s v="R02"/>
        <s v="R03"/>
        <s v="R04"/>
        <s v="R05"/>
        <s v="R06"/>
        <s v="R07"/>
        <s v="R08"/>
        <s v="R09"/>
        <s v="R10"/>
        <s v="R11"/>
        <s v="R12"/>
        <s v="R13"/>
        <s v="R14"/>
        <s v="R15"/>
        <s v="R16"/>
        <s v="R17"/>
        <s v="R18"/>
        <s v="R19"/>
        <s v="R20"/>
        <s v="R21"/>
        <s v="R22"/>
        <s v="R23"/>
        <s v="R24"/>
        <s v="R25"/>
        <s v="R26"/>
        <s v="R27"/>
        <s v="R28"/>
        <s v="R29"/>
        <s v="R30"/>
        <s v="R31"/>
        <s v="R32"/>
        <s v="R33"/>
        <s v="R34"/>
        <s v="R35"/>
        <s v="R36"/>
        <s v="R37"/>
        <s v="R38"/>
        <s v="R39"/>
        <s v="3M01"/>
        <s v="3M02"/>
        <s v="3M03"/>
        <s v="3M04"/>
        <s v="3M05"/>
        <s v="3M06"/>
        <s v="3M07"/>
        <s v="3M08"/>
        <s v="3M09"/>
        <s v="3M10"/>
        <s v="3M11"/>
        <s v="3M12"/>
        <s v="3M13"/>
        <s v="3M14"/>
        <s v="3M15"/>
        <s v="I01"/>
        <s v="I02"/>
        <s v="I03"/>
        <s v="I04"/>
        <s v="I05"/>
        <s v="I06"/>
        <s v="I07"/>
        <s v="I08"/>
        <s v="F01"/>
        <s v="F02"/>
        <s v="F03"/>
        <s v="F04"/>
        <s v="F05"/>
        <s v="F06"/>
        <s v="F07"/>
        <s v="F08"/>
        <s v="F09"/>
        <s v="F10"/>
        <s v="F11"/>
        <s v="F12"/>
        <s v="F13"/>
        <s v="F14"/>
        <s v="F15"/>
        <s v="F16"/>
        <s v="F17"/>
        <s v="F18"/>
        <s v="F19"/>
        <s v="F20"/>
        <s v="F21"/>
        <s v="F22"/>
        <s v="F23"/>
        <s v="F24"/>
        <s v="F25"/>
        <s v="F26"/>
        <s v="F27"/>
        <s v="F28"/>
        <s v="F29"/>
        <s v="F30"/>
        <s v="F31"/>
        <s v="F32"/>
        <s v="F33"/>
        <s v="F34"/>
        <s v="F35"/>
        <s v="RF01"/>
        <s v="RF02"/>
        <s v="RF03"/>
        <s v="RF04"/>
        <s v="RF05"/>
        <s v="RF06"/>
        <s v="RF07"/>
        <s v="RF08"/>
        <s v="RF09"/>
        <s v="RF10"/>
        <s v="RF11"/>
        <s v="RF12"/>
        <s v="RF13"/>
        <s v="RF14"/>
        <s v="RF15"/>
        <s v="RF16"/>
        <s v="X01"/>
        <s v="X02"/>
        <s v="X03"/>
        <s v="X04"/>
        <s v="X05"/>
        <s v="X06"/>
        <s v="X07"/>
        <s v="X08"/>
        <s v="X09"/>
        <s v="X10"/>
        <s v="RO01"/>
        <s v="RO02"/>
        <s v="RO03"/>
        <s v="RO04"/>
        <s v="RO05"/>
        <s v="RO06"/>
        <s v="RO07"/>
        <s v="RO08"/>
        <s v="RO09"/>
        <s v="RO10"/>
        <s v="RO11"/>
        <s v="RO12"/>
        <s v="RO13"/>
        <s v="L01"/>
        <s v="L02"/>
        <s v="L03"/>
        <s v="L04"/>
        <s v="L05"/>
        <s v="L06"/>
        <s v="L07"/>
        <s v="L08"/>
        <s v="L09"/>
        <s v="L10"/>
        <s v="L11"/>
        <s v="L12"/>
        <s v="L13"/>
        <s v="L14"/>
        <s v="L15"/>
        <s v="M01"/>
        <s v="M02"/>
        <s v="M03"/>
        <s v="M04"/>
        <s v="M05"/>
        <s v="M06"/>
        <s v="M07"/>
        <s v="O01"/>
        <s v="O02"/>
        <s v="O03"/>
        <s v="O04"/>
        <s v="O05"/>
        <s v="O06"/>
        <s v="O07"/>
        <s v="O08"/>
        <s v="O09"/>
        <s v="O10"/>
        <s v="O11"/>
        <s v="O12"/>
        <s v="O13"/>
        <s v="O14"/>
        <s v="B01"/>
        <s v="B02"/>
        <s v="B03"/>
        <s v="B04"/>
        <s v="B05"/>
        <s v="B06"/>
        <s v="B07"/>
        <s v="B08"/>
        <s v="T01"/>
        <s v="T02"/>
        <s v="T03"/>
        <s v="T04"/>
        <s v="T05"/>
        <s v="T06"/>
        <s v="T07"/>
        <s v="T08"/>
        <s v="T09"/>
        <s v="T10"/>
        <s v="W01"/>
        <s v="MF01"/>
        <s v="MF02"/>
        <s v="MF03"/>
        <s v="MF04"/>
        <s v="MF05"/>
        <s v="RF17"/>
        <s v="RF18"/>
        <s v="RF19"/>
        <s v="RF20"/>
        <m/>
      </sharedItems>
    </cacheField>
    <cacheField name="사이즈" numFmtId="0">
      <sharedItems containsString="0" containsBlank="1" containsNumber="1" containsInteger="1" minValue="30" maxValue="72" count="8">
        <n v="30"/>
        <n v="36"/>
        <n v="41"/>
        <n v="45"/>
        <n v="54"/>
        <n v="63"/>
        <n v="72"/>
        <m/>
      </sharedItems>
    </cacheField>
    <cacheField name="수량" numFmtId="41">
      <sharedItems containsString="0" containsBlank="1" containsNumber="1" containsInteger="1" minValue="0" maxValue="6"/>
    </cacheField>
    <cacheField name="입출" numFmtId="0">
      <sharedItems containsBlank="1"/>
    </cacheField>
    <cacheField name="제품명" numFmtId="0">
      <sharedItems containsBlank="1" count="202">
        <s v="Black/White Rope Laces"/>
        <s v="Grey/Black Rope Laces"/>
        <s v="Grey/White Rope Laces"/>
        <s v="Black/Red Rope Laces"/>
        <s v="Blue/White Rope Laces"/>
        <s v="Red/White Rope Laces"/>
        <s v="Blue/Black Rope Laces"/>
        <s v="Mint/Black Rope Laces"/>
        <s v="Oxford Tan Rope Laces"/>
        <s v="Metallic Red/Black Rope Laces"/>
        <s v="Metallic Gold/White Rope Laces"/>
        <s v="Olive/Black Rope Laces"/>
        <s v="Pink/White Rope Laces"/>
        <s v="Mint Green/White Rope Laces"/>
        <s v="Volt/Black Rope Laces"/>
        <s v="Green/White Rope Laces"/>
        <s v="Black/Metallic Gold Rope Laces"/>
        <s v="Columbia Blue/Black Rope Laces"/>
        <s v="Red/Orange Rope Laces"/>
        <s v="Infrapink/Black Rope Laces"/>
        <s v="Hot Pink/Black Rope Laces"/>
        <s v="Purple/Black Rope Laces"/>
        <s v="Yellow/Black Rope Laces"/>
        <s v="Yellow/White Rope Laces"/>
        <s v="Black/Tan Rope Laces"/>
        <s v="Cream/White Rope Laces"/>
        <s v="Black/Metallic Gold v2.0 Rope Laces"/>
        <s v="White/Metallic Gold v2.0 Rope Laces"/>
        <s v="Green/Black Rope Laces"/>
        <s v="Burgundy/Grey Rope Laces"/>
        <s v="Navy Blue/Burgundy Rope Laces"/>
        <s v="Sail Blue Rope Laces"/>
        <s v="Team Red/White Rope Laces"/>
        <s v="Beige Rope Laces"/>
        <s v="Black Rope Laces"/>
        <s v="White Rope Laces"/>
        <s v="Blue Rope Laces"/>
        <s v="Red Rope Laces"/>
        <s v="Navy Blue Rope Laces"/>
        <s v="Black 3M Reflective Rope Laces"/>
        <s v="Blue 3M Reflective Rope Laces"/>
        <s v="White 3M Reflective Rope Laces"/>
        <s v="Red 3M Reflective Rope Laces"/>
        <s v="Grey 3M/3M Reflective Rope Laces"/>
        <s v="Olive 3M Reflective Rope Laces"/>
        <s v="Volt 3M Reflective Rope Laces"/>
        <s v="Mint 3M Reflective Rope Laces"/>
        <s v="Cove Blue 3M Reflective Rope Laces"/>
        <s v="Yellow 3M Reflective Rope Laces"/>
        <s v="Purple 3M Reflective Rope Laces"/>
        <s v="Orange 3M Reflective Rope Laces"/>
        <s v="Pink 3M Reflective Rope Laces"/>
        <s v="Green 3M Reflective Rope Laces"/>
        <s v="Sapphire 3M Reflective Rope Laces"/>
        <s v="Black 3M Inverse Rope Laces"/>
        <s v="White 3M Inverse Rope Laces"/>
        <s v="Blue 3M Inverse Rope Laces"/>
        <s v="Red 3M Inverse Rope Laces"/>
        <s v="Charcoal 3M Inverse Rope Laces"/>
        <s v="Mint 3M Inverse Rope Laces"/>
        <s v="Cove Blue 3M Inverse Rope Laces"/>
        <s v="Volt 3M Inverse Rope Laces"/>
        <s v="White Shoe Laces"/>
        <s v="Black Shoe Laces"/>
        <s v="Red Shoe Laces"/>
        <s v="Royal Blue Shoe Laces"/>
        <s v="Mint Shoe Laces"/>
        <s v="Bahama Blue Shoe Laces"/>
        <s v="Maize Shoe Laces"/>
        <s v="Maroon Shoe Laces"/>
        <s v="Navy Blue Shoe Laces"/>
        <s v="Neon Green Shoe Laces"/>
        <s v="Neon Pink Shoe Laces"/>
        <s v="Pale Yellow Shoe Laces"/>
        <s v="Paradise Purple Shoe Laces"/>
        <s v="Pink Shoe Laces"/>
        <s v="Purple Shoe Laces"/>
        <s v="Silver Shoe Laces"/>
        <s v="Teal Shoe Laces"/>
        <s v="Volt Shoe Laces"/>
        <s v="Olive Shoe Laces"/>
        <s v="Lilac Shoe Laces"/>
        <s v="Light Grey Shoe Laces"/>
        <s v="Beige Shoe Laces"/>
        <s v="Brown Shoe Laces"/>
        <s v="Carolina Blue Shoe Laces"/>
        <s v="Charcoal Grey Shoe Laces"/>
        <s v="Columbia Blue Shoe Laces"/>
        <s v="Dark Brown Shoe Laces"/>
        <s v="Dark Green Shoe Laces"/>
        <s v="Dark Grey Shoe Laces"/>
        <s v="Dark Orange Shoe Laces"/>
        <s v="Flaming Orange Shoe Laces"/>
        <s v="Fuchsia Shoe Laces"/>
        <s v="Gold Shoe Laces"/>
        <s v="Kelly Green Shoe Laces"/>
        <s v="Light Beige Shoe Laces"/>
        <s v="White  - ReflectiveFlatLaces1.0"/>
        <s v="Black Reflective Flat Laces1.0 "/>
        <s v="Red  - ReflectiveFlatLaces1.0"/>
        <s v="Blue  - ReflectiveFlatLaces1.0"/>
        <s v="White  - ReflectiveFlatLaces2.0"/>
        <s v="Black  - ReflectiveFlatLaces2.0"/>
        <s v="Blue  - ReflectiveFlatLaces2.0"/>
        <s v="Red  - ReflectiveFlatLaces2.0"/>
        <s v="Cove Blue  - ReflectiveFlatLaces2.0"/>
        <s v="Mint  - ReflectiveFlatLaces2.0"/>
        <s v="Volt  - ReflectiveFlatLaces2.0"/>
        <s v="Black Reflective Flat Laces"/>
        <s v="Silver Reflective Flat Laces"/>
        <s v="White Reflective Flat Laces"/>
        <s v="Navy Blue  - ReflectiveFlatLaces1.0"/>
        <s v="Sapphire  - ReflectiveFlatLaces1.0"/>
        <s v="Black  - XIRopeLaces"/>
        <s v="Cool Grey  - XIRopeLaces"/>
        <s v="Gamma Blue  - XIRopeLaces"/>
        <s v="Grape  - XIRopeLaces"/>
        <s v="Legend Blue  - XIRopeLaces"/>
        <s v="Light Grey  - XIRopeLaces"/>
        <s v="Navy Blue  - XIRopeLaces"/>
        <s v="Red  - XILaces"/>
        <s v="Royal Blue  - XIRopeLaces"/>
        <s v="White  - XIRopeLaces"/>
        <s v="Beige Roshe - StyleLaces"/>
        <s v="Black Roshe - StyleLaces"/>
        <s v="Bone Roshe - StyleLaces"/>
        <s v="Cappuccino Roshe - StyleLaces"/>
        <s v="Chocolate Roshe - StyleLaces"/>
        <s v="Dark Brown Roshe - StyleLaces"/>
        <s v="Hunter Green Roshe - StyleLaces"/>
        <s v="Navy Blue Roshe - StyleLaces"/>
        <s v="Neon Green Roshe - StyleLaces"/>
        <s v="Neon Pink Roshe - StyleLaces"/>
        <s v="Red Roshe - StyleLaces"/>
        <s v="White Roshe - StyleLaces"/>
        <s v="Yellow Roshe - StyleLaces"/>
        <s v="Black Luxury Leather Laces - GoldPlated"/>
        <s v="Black Luxury Leather Laces - GunmetalPlated"/>
        <s v="Black Luxury Leather Laces - SilverPlated"/>
        <s v="White Luxury Leather Laces - GoldPlated"/>
        <s v="White Luxury Leather Laces - GunmetalPlated"/>
        <s v="White Luxury Leather Laces - SilverPlated"/>
        <s v="Gold Luxury Leather Laces - GoldPlated"/>
        <s v="Gold Luxury Leather Laces - GunmetalPlated"/>
        <s v="Gold Luxury Leather Laces - SilverPlated"/>
        <s v="Red Luxury Leather Laces - GoldPlated"/>
        <s v="Red Luxury Leather Laces - GunmetalPlated"/>
        <s v="Red Luxury Leather Laces - SilverPlated"/>
        <s v="Royal Blue Luxury Leather Laces - GoldPlated"/>
        <s v="Royal Blue Luxury Leather Laces - GunmetalPlated"/>
        <s v="Royal Blue Luxury Leather Laces - SilverPlated"/>
        <s v="Black/Red Multi - ColorRopeLaces"/>
        <s v="Black/White Multi - ColorRopeLaces"/>
        <s v="Blue Multi - ColorRopeLaces"/>
        <s v="Green Multi - ColorRopeLaces"/>
        <s v="Orange Multi - ColorRopeLaces"/>
        <s v="Pink Multi - ColorRopeLaces"/>
        <s v="Volt Multi - ColorRopeLaces"/>
        <s v="Black  - OvalSBLaces"/>
        <s v="Blue  - OvalSBLaces"/>
        <s v="Carolina Blue  - OvalSBLaces"/>
        <s v="Green  - OvalSBLaces"/>
        <s v="Grey  - OvalSBLaces"/>
        <s v="Light Grey  - OvalSBLaces"/>
        <s v="Orange  - OvalSBLaces"/>
        <s v="Pink  - OvalSBLaces"/>
        <s v="Purple  - OvalSBLaces"/>
        <s v="Red  - OvalSBLaces"/>
        <s v="Royal Blue  - OvalSBLaces"/>
        <s v="Tiffany/Mint  - OvalSBLaces"/>
        <s v="Volt  - OvalSBLaces"/>
        <s v="Yellow  - OvalSBLaces"/>
        <s v="Black Boot Laces"/>
        <s v="Black/Brown Boot Laces"/>
        <s v="Black/Grey Boot Laces"/>
        <s v="Black/Hunter Green Boot Laces"/>
        <s v="Black/Tan Boot Laces"/>
        <s v="Brown Boot Laces"/>
        <s v="Brown/Beige Boot Laces"/>
        <s v="Rawhide Boot Laces"/>
        <s v="Black  - ThinOvalLaces"/>
        <s v="Black/Red  - ThinOvalLaces"/>
        <s v="Flaming Orange  - ThinOvalLaces"/>
        <s v="Kelly Green  - ThinOvalLaces"/>
        <s v="Light Grey  - ThinOvalLaces"/>
        <s v="Navy Blue  - ThinOvalLaces"/>
        <s v="Red  - ThinOvalLaces"/>
        <s v="Royal Blue  - ThinOvalLaces"/>
        <s v="Volt  - ThinOvalLaces"/>
        <s v="White  - ThinOvalLaces"/>
        <s v="Black Waxed Shoe Laces"/>
        <s v="Grey/Black Multi-Color Flat Laces"/>
        <s v="Black/Red Multi-Color Flat Laces"/>
        <s v="Black/White Multi-Color Flat Laces"/>
        <s v="Grey/White Multi-Color Flat Laces"/>
        <s v="Beige/White Multi-Color Flat Laces"/>
        <s v="Sapphire - Reflective Flat Laces 2.0"/>
        <s v="Navy Blue - Reflective Flat Laces 2.0"/>
        <s v="Olive - Reflective Flat Laces 1.0"/>
        <s v="Olive - Reflective Flat Laces 2.0"/>
        <m/>
        <e v="#N/A" u="1"/>
      </sharedItems>
    </cacheField>
    <cacheField name="실수량" numFmtId="0">
      <sharedItems containsString="0" containsBlank="1" containsNumber="1" containsInteger="1" minValue="-2" maxValue="6"/>
    </cacheField>
    <cacheField name="판매가" numFmtId="41">
      <sharedItems containsString="0" containsBlank="1" containsNumber="1" containsInteger="1" minValue="5000" maxValue="25000"/>
    </cacheField>
    <cacheField name="판매가합계" numFmtId="41">
      <sharedItems containsString="0" containsBlank="1" containsNumber="1" containsInteger="1" minValue="0" maxValue="75000"/>
    </cacheField>
    <cacheField name="현지판매가" numFmtId="0">
      <sharedItems containsString="0" containsBlank="1" containsNumber="1" minValue="3.95" maxValue="19.95"/>
    </cacheField>
    <cacheField name="수입가" numFmtId="0">
      <sharedItems containsString="0" containsBlank="1" containsNumber="1" minValue="0" maxValue="7.98"/>
    </cacheField>
    <cacheField name="수입가합계" numFmtId="0">
      <sharedItems containsString="0" containsBlank="1" containsNumber="1" minValue="0" maxValue="23.94"/>
    </cacheField>
    <cacheField name="구분" numFmtId="0">
      <sharedItems containsBlank="1" containsMixedTypes="1" containsNumber="1" containsInteger="1" minValue="0" maxValue="0" count="16">
        <s v="Rope Laces"/>
        <s v="3M Reflective Rope Laces"/>
        <s v="3M Inverse Rope Laces"/>
        <s v="Shoe Laces"/>
        <s v="Reflective Flat Laces"/>
        <s v="XI Rope Laces"/>
        <s v="Roshe-Style Laces"/>
        <s v="Luxury Leather Laces"/>
        <s v="Multi-Color Rope Laces"/>
        <s v="Oval SB Laces"/>
        <s v="Boot Laces"/>
        <s v="Thin Oval Laces"/>
        <s v="Waxed Shoe Laces"/>
        <s v="Multi-Color Flat Laces"/>
        <m/>
        <n v="0" u="1"/>
      </sharedItems>
    </cacheField>
    <cacheField name="인보이스넘버" numFmtId="0">
      <sharedItems containsString="0" containsBlank="1" containsNumber="1" containsInteger="1" minValue="28605" maxValue="2860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20">
  <r>
    <x v="0"/>
    <d v="2017-07-11T00:00:00"/>
    <x v="0"/>
    <x v="0"/>
    <n v="1"/>
    <s v="입"/>
    <x v="0"/>
    <x v="0"/>
    <n v="7000"/>
    <n v="7000"/>
    <n v="5.95"/>
    <n v="2.3800000000000003"/>
    <n v="2.3800000000000003"/>
    <s v="Rope Laces"/>
    <n v="28605"/>
  </r>
  <r>
    <x v="0"/>
    <d v="2017-07-11T00:00:00"/>
    <x v="0"/>
    <x v="1"/>
    <n v="3"/>
    <s v="입"/>
    <x v="0"/>
    <x v="1"/>
    <n v="7000"/>
    <n v="21000"/>
    <n v="5.95"/>
    <n v="2.3800000000000003"/>
    <n v="7.1400000000000006"/>
    <s v="Rope Laces"/>
    <n v="28605"/>
  </r>
  <r>
    <x v="0"/>
    <d v="2017-07-11T00:00:00"/>
    <x v="0"/>
    <x v="2"/>
    <n v="3"/>
    <s v="입"/>
    <x v="0"/>
    <x v="1"/>
    <n v="7000"/>
    <n v="21000"/>
    <n v="5.95"/>
    <n v="2.3800000000000003"/>
    <n v="7.1400000000000006"/>
    <s v="Rope Laces"/>
    <n v="28605"/>
  </r>
  <r>
    <x v="0"/>
    <d v="2017-07-11T00:00:00"/>
    <x v="0"/>
    <x v="3"/>
    <n v="3"/>
    <s v="입"/>
    <x v="0"/>
    <x v="1"/>
    <n v="7000"/>
    <n v="21000"/>
    <n v="5.95"/>
    <n v="2.3800000000000003"/>
    <n v="7.1400000000000006"/>
    <s v="Rope Laces"/>
    <n v="28605"/>
  </r>
  <r>
    <x v="0"/>
    <d v="2017-07-11T00:00:00"/>
    <x v="0"/>
    <x v="4"/>
    <n v="1"/>
    <s v="입"/>
    <x v="0"/>
    <x v="0"/>
    <n v="7000"/>
    <n v="7000"/>
    <n v="5.95"/>
    <n v="2.3800000000000003"/>
    <n v="2.3800000000000003"/>
    <s v="Rope Laces"/>
    <n v="28605"/>
  </r>
  <r>
    <x v="0"/>
    <d v="2017-07-11T00:00:00"/>
    <x v="1"/>
    <x v="0"/>
    <n v="1"/>
    <s v="입"/>
    <x v="1"/>
    <x v="0"/>
    <n v="7000"/>
    <n v="7000"/>
    <n v="5.95"/>
    <n v="2.3800000000000003"/>
    <n v="2.3800000000000003"/>
    <s v="Rope Laces"/>
    <n v="28605"/>
  </r>
  <r>
    <x v="0"/>
    <d v="2017-07-11T00:00:00"/>
    <x v="1"/>
    <x v="1"/>
    <n v="3"/>
    <s v="입"/>
    <x v="1"/>
    <x v="1"/>
    <n v="7000"/>
    <n v="21000"/>
    <n v="5.95"/>
    <n v="2.3800000000000003"/>
    <n v="7.1400000000000006"/>
    <s v="Rope Laces"/>
    <n v="28605"/>
  </r>
  <r>
    <x v="0"/>
    <d v="2017-07-11T00:00:00"/>
    <x v="1"/>
    <x v="2"/>
    <n v="3"/>
    <s v="입"/>
    <x v="1"/>
    <x v="1"/>
    <n v="7000"/>
    <n v="21000"/>
    <n v="5.95"/>
    <n v="2.3800000000000003"/>
    <n v="7.1400000000000006"/>
    <s v="Rope Laces"/>
    <n v="28605"/>
  </r>
  <r>
    <x v="0"/>
    <d v="2017-07-11T00:00:00"/>
    <x v="1"/>
    <x v="3"/>
    <n v="3"/>
    <s v="입"/>
    <x v="1"/>
    <x v="1"/>
    <n v="7000"/>
    <n v="21000"/>
    <n v="5.95"/>
    <n v="2.3800000000000003"/>
    <n v="7.1400000000000006"/>
    <s v="Rope Laces"/>
    <n v="28605"/>
  </r>
  <r>
    <x v="0"/>
    <d v="2017-07-11T00:00:00"/>
    <x v="1"/>
    <x v="4"/>
    <n v="1"/>
    <s v="입"/>
    <x v="1"/>
    <x v="0"/>
    <n v="7000"/>
    <n v="7000"/>
    <n v="5.95"/>
    <n v="2.3800000000000003"/>
    <n v="2.3800000000000003"/>
    <s v="Rope Laces"/>
    <n v="28605"/>
  </r>
  <r>
    <x v="0"/>
    <d v="2017-07-11T00:00:00"/>
    <x v="2"/>
    <x v="0"/>
    <n v="1"/>
    <s v="입"/>
    <x v="2"/>
    <x v="0"/>
    <n v="7000"/>
    <n v="7000"/>
    <n v="5.95"/>
    <n v="2.3800000000000003"/>
    <n v="2.3800000000000003"/>
    <s v="Rope Laces"/>
    <n v="28605"/>
  </r>
  <r>
    <x v="0"/>
    <d v="2017-07-11T00:00:00"/>
    <x v="2"/>
    <x v="1"/>
    <n v="3"/>
    <s v="입"/>
    <x v="2"/>
    <x v="1"/>
    <n v="7000"/>
    <n v="21000"/>
    <n v="5.95"/>
    <n v="2.3800000000000003"/>
    <n v="7.1400000000000006"/>
    <s v="Rope Laces"/>
    <n v="28605"/>
  </r>
  <r>
    <x v="0"/>
    <d v="2017-07-11T00:00:00"/>
    <x v="2"/>
    <x v="2"/>
    <n v="3"/>
    <s v="입"/>
    <x v="2"/>
    <x v="1"/>
    <n v="7000"/>
    <n v="21000"/>
    <n v="5.95"/>
    <n v="2.3800000000000003"/>
    <n v="7.1400000000000006"/>
    <s v="Rope Laces"/>
    <n v="28605"/>
  </r>
  <r>
    <x v="0"/>
    <d v="2017-07-11T00:00:00"/>
    <x v="2"/>
    <x v="3"/>
    <n v="3"/>
    <s v="입"/>
    <x v="2"/>
    <x v="1"/>
    <n v="7000"/>
    <n v="21000"/>
    <n v="5.95"/>
    <n v="2.3800000000000003"/>
    <n v="7.1400000000000006"/>
    <s v="Rope Laces"/>
    <n v="28605"/>
  </r>
  <r>
    <x v="0"/>
    <d v="2017-07-11T00:00:00"/>
    <x v="2"/>
    <x v="4"/>
    <n v="1"/>
    <s v="입"/>
    <x v="2"/>
    <x v="0"/>
    <n v="7000"/>
    <n v="7000"/>
    <n v="5.95"/>
    <n v="2.3800000000000003"/>
    <n v="2.3800000000000003"/>
    <s v="Rope Laces"/>
    <n v="28605"/>
  </r>
  <r>
    <x v="0"/>
    <d v="2017-07-11T00:00:00"/>
    <x v="3"/>
    <x v="0"/>
    <n v="1"/>
    <s v="입"/>
    <x v="3"/>
    <x v="0"/>
    <n v="7000"/>
    <n v="7000"/>
    <n v="5.95"/>
    <n v="2.3800000000000003"/>
    <n v="2.3800000000000003"/>
    <s v="Rope Laces"/>
    <n v="28605"/>
  </r>
  <r>
    <x v="0"/>
    <d v="2017-07-11T00:00:00"/>
    <x v="3"/>
    <x v="1"/>
    <n v="3"/>
    <s v="입"/>
    <x v="3"/>
    <x v="1"/>
    <n v="7000"/>
    <n v="21000"/>
    <n v="5.95"/>
    <n v="2.3800000000000003"/>
    <n v="7.1400000000000006"/>
    <s v="Rope Laces"/>
    <n v="28605"/>
  </r>
  <r>
    <x v="0"/>
    <d v="2017-07-11T00:00:00"/>
    <x v="3"/>
    <x v="3"/>
    <n v="3"/>
    <s v="입"/>
    <x v="3"/>
    <x v="1"/>
    <n v="7000"/>
    <n v="21000"/>
    <n v="5.95"/>
    <n v="2.3800000000000003"/>
    <n v="7.1400000000000006"/>
    <s v="Rope Laces"/>
    <n v="28605"/>
  </r>
  <r>
    <x v="0"/>
    <d v="2017-07-11T00:00:00"/>
    <x v="3"/>
    <x v="4"/>
    <n v="1"/>
    <s v="입"/>
    <x v="3"/>
    <x v="0"/>
    <n v="7000"/>
    <n v="7000"/>
    <n v="5.95"/>
    <n v="2.3800000000000003"/>
    <n v="2.3800000000000003"/>
    <s v="Rope Laces"/>
    <n v="28605"/>
  </r>
  <r>
    <x v="0"/>
    <d v="2017-07-11T00:00:00"/>
    <x v="4"/>
    <x v="3"/>
    <n v="1"/>
    <s v="입"/>
    <x v="4"/>
    <x v="0"/>
    <n v="7000"/>
    <n v="7000"/>
    <n v="5.95"/>
    <n v="2.3800000000000003"/>
    <n v="2.3800000000000003"/>
    <s v="Rope Laces"/>
    <n v="28605"/>
  </r>
  <r>
    <x v="0"/>
    <d v="2017-07-11T00:00:00"/>
    <x v="4"/>
    <x v="4"/>
    <n v="1"/>
    <s v="입"/>
    <x v="4"/>
    <x v="0"/>
    <n v="7000"/>
    <n v="7000"/>
    <n v="5.95"/>
    <n v="2.3800000000000003"/>
    <n v="2.3800000000000003"/>
    <s v="Rope Laces"/>
    <n v="28605"/>
  </r>
  <r>
    <x v="0"/>
    <d v="2017-07-11T00:00:00"/>
    <x v="5"/>
    <x v="3"/>
    <n v="1"/>
    <s v="입"/>
    <x v="5"/>
    <x v="0"/>
    <n v="7000"/>
    <n v="7000"/>
    <n v="5.95"/>
    <n v="2.3800000000000003"/>
    <n v="2.3800000000000003"/>
    <s v="Rope Laces"/>
    <n v="28605"/>
  </r>
  <r>
    <x v="0"/>
    <d v="2017-07-11T00:00:00"/>
    <x v="5"/>
    <x v="4"/>
    <n v="1"/>
    <s v="입"/>
    <x v="5"/>
    <x v="0"/>
    <n v="7000"/>
    <n v="7000"/>
    <n v="5.95"/>
    <n v="2.3800000000000003"/>
    <n v="2.3800000000000003"/>
    <s v="Rope Laces"/>
    <n v="28605"/>
  </r>
  <r>
    <x v="0"/>
    <d v="2017-07-11T00:00:00"/>
    <x v="6"/>
    <x v="1"/>
    <n v="2"/>
    <s v="입"/>
    <x v="6"/>
    <x v="2"/>
    <n v="7000"/>
    <n v="14000"/>
    <n v="5.95"/>
    <n v="2.3800000000000003"/>
    <n v="4.7600000000000007"/>
    <s v="Rope Laces"/>
    <n v="28605"/>
  </r>
  <r>
    <x v="0"/>
    <d v="2017-07-11T00:00:00"/>
    <x v="6"/>
    <x v="3"/>
    <n v="2"/>
    <s v="입"/>
    <x v="6"/>
    <x v="2"/>
    <n v="7000"/>
    <n v="14000"/>
    <n v="5.95"/>
    <n v="2.3800000000000003"/>
    <n v="4.7600000000000007"/>
    <s v="Rope Laces"/>
    <n v="28605"/>
  </r>
  <r>
    <x v="0"/>
    <d v="2017-07-11T00:00:00"/>
    <x v="6"/>
    <x v="4"/>
    <n v="1"/>
    <s v="입"/>
    <x v="6"/>
    <x v="0"/>
    <n v="7000"/>
    <n v="7000"/>
    <n v="5.95"/>
    <n v="2.3800000000000003"/>
    <n v="2.3800000000000003"/>
    <s v="Rope Laces"/>
    <n v="28605"/>
  </r>
  <r>
    <x v="0"/>
    <d v="2017-07-11T00:00:00"/>
    <x v="7"/>
    <x v="1"/>
    <n v="2"/>
    <s v="입"/>
    <x v="7"/>
    <x v="2"/>
    <n v="7000"/>
    <n v="14000"/>
    <n v="5.95"/>
    <n v="2.3800000000000003"/>
    <n v="4.7600000000000007"/>
    <s v="Rope Laces"/>
    <n v="28605"/>
  </r>
  <r>
    <x v="0"/>
    <d v="2017-07-11T00:00:00"/>
    <x v="7"/>
    <x v="3"/>
    <n v="2"/>
    <s v="입"/>
    <x v="7"/>
    <x v="2"/>
    <n v="7000"/>
    <n v="14000"/>
    <n v="5.95"/>
    <n v="2.3800000000000003"/>
    <n v="4.7600000000000007"/>
    <s v="Rope Laces"/>
    <n v="28605"/>
  </r>
  <r>
    <x v="0"/>
    <d v="2017-07-11T00:00:00"/>
    <x v="7"/>
    <x v="4"/>
    <n v="1"/>
    <s v="입"/>
    <x v="7"/>
    <x v="0"/>
    <n v="7000"/>
    <n v="7000"/>
    <n v="5.95"/>
    <n v="2.3800000000000003"/>
    <n v="2.3800000000000003"/>
    <s v="Rope Laces"/>
    <n v="28605"/>
  </r>
  <r>
    <x v="0"/>
    <d v="2017-07-11T00:00:00"/>
    <x v="8"/>
    <x v="0"/>
    <n v="1"/>
    <s v="입"/>
    <x v="8"/>
    <x v="0"/>
    <n v="7000"/>
    <n v="7000"/>
    <n v="5.95"/>
    <n v="2.3800000000000003"/>
    <n v="2.3800000000000003"/>
    <s v="Rope Laces"/>
    <n v="28605"/>
  </r>
  <r>
    <x v="0"/>
    <d v="2017-07-11T00:00:00"/>
    <x v="8"/>
    <x v="1"/>
    <n v="2"/>
    <s v="입"/>
    <x v="8"/>
    <x v="2"/>
    <n v="7000"/>
    <n v="14000"/>
    <n v="5.95"/>
    <n v="2.3800000000000003"/>
    <n v="4.7600000000000007"/>
    <s v="Rope Laces"/>
    <n v="28605"/>
  </r>
  <r>
    <x v="0"/>
    <d v="2017-07-11T00:00:00"/>
    <x v="8"/>
    <x v="3"/>
    <n v="2"/>
    <s v="입"/>
    <x v="8"/>
    <x v="2"/>
    <n v="7000"/>
    <n v="14000"/>
    <n v="5.95"/>
    <n v="2.3800000000000003"/>
    <n v="4.7600000000000007"/>
    <s v="Rope Laces"/>
    <n v="28605"/>
  </r>
  <r>
    <x v="0"/>
    <d v="2017-07-11T00:00:00"/>
    <x v="8"/>
    <x v="4"/>
    <n v="1"/>
    <s v="입"/>
    <x v="8"/>
    <x v="0"/>
    <n v="7000"/>
    <n v="7000"/>
    <n v="5.95"/>
    <n v="2.3800000000000003"/>
    <n v="2.3800000000000003"/>
    <s v="Rope Laces"/>
    <n v="28605"/>
  </r>
  <r>
    <x v="0"/>
    <d v="2017-07-11T00:00:00"/>
    <x v="9"/>
    <x v="1"/>
    <n v="2"/>
    <s v="입"/>
    <x v="9"/>
    <x v="2"/>
    <n v="7000"/>
    <n v="14000"/>
    <n v="5.95"/>
    <n v="2.3800000000000003"/>
    <n v="4.7600000000000007"/>
    <s v="Rope Laces"/>
    <n v="28605"/>
  </r>
  <r>
    <x v="0"/>
    <d v="2017-07-11T00:00:00"/>
    <x v="9"/>
    <x v="3"/>
    <n v="2"/>
    <s v="입"/>
    <x v="9"/>
    <x v="2"/>
    <n v="7000"/>
    <n v="14000"/>
    <n v="5.95"/>
    <n v="2.3800000000000003"/>
    <n v="4.7600000000000007"/>
    <s v="Rope Laces"/>
    <n v="28605"/>
  </r>
  <r>
    <x v="0"/>
    <d v="2017-07-11T00:00:00"/>
    <x v="9"/>
    <x v="4"/>
    <n v="1"/>
    <s v="입"/>
    <x v="9"/>
    <x v="0"/>
    <n v="7000"/>
    <n v="7000"/>
    <n v="5.95"/>
    <n v="2.3800000000000003"/>
    <n v="2.3800000000000003"/>
    <s v="Rope Laces"/>
    <n v="28605"/>
  </r>
  <r>
    <x v="0"/>
    <d v="2017-07-11T00:00:00"/>
    <x v="10"/>
    <x v="1"/>
    <n v="2"/>
    <s v="입"/>
    <x v="10"/>
    <x v="2"/>
    <n v="7000"/>
    <n v="14000"/>
    <n v="5.95"/>
    <n v="2.3800000000000003"/>
    <n v="4.7600000000000007"/>
    <s v="Rope Laces"/>
    <n v="28605"/>
  </r>
  <r>
    <x v="0"/>
    <d v="2017-07-11T00:00:00"/>
    <x v="10"/>
    <x v="3"/>
    <n v="2"/>
    <s v="입"/>
    <x v="10"/>
    <x v="2"/>
    <n v="7000"/>
    <n v="14000"/>
    <n v="5.95"/>
    <n v="2.3800000000000003"/>
    <n v="4.7600000000000007"/>
    <s v="Rope Laces"/>
    <n v="28605"/>
  </r>
  <r>
    <x v="0"/>
    <d v="2017-07-11T00:00:00"/>
    <x v="10"/>
    <x v="4"/>
    <n v="1"/>
    <s v="입"/>
    <x v="10"/>
    <x v="0"/>
    <n v="7000"/>
    <n v="7000"/>
    <n v="5.95"/>
    <n v="2.3800000000000003"/>
    <n v="2.3800000000000003"/>
    <s v="Rope Laces"/>
    <n v="28605"/>
  </r>
  <r>
    <x v="0"/>
    <d v="2017-07-11T00:00:00"/>
    <x v="11"/>
    <x v="1"/>
    <n v="2"/>
    <s v="입"/>
    <x v="11"/>
    <x v="2"/>
    <n v="7000"/>
    <n v="14000"/>
    <n v="5.95"/>
    <n v="2.3800000000000003"/>
    <n v="4.7600000000000007"/>
    <s v="Rope Laces"/>
    <n v="28605"/>
  </r>
  <r>
    <x v="0"/>
    <d v="2017-07-11T00:00:00"/>
    <x v="11"/>
    <x v="3"/>
    <n v="2"/>
    <s v="입"/>
    <x v="11"/>
    <x v="2"/>
    <n v="7000"/>
    <n v="14000"/>
    <n v="5.95"/>
    <n v="2.3800000000000003"/>
    <n v="4.7600000000000007"/>
    <s v="Rope Laces"/>
    <n v="28605"/>
  </r>
  <r>
    <x v="0"/>
    <d v="2017-07-11T00:00:00"/>
    <x v="11"/>
    <x v="4"/>
    <n v="1"/>
    <s v="입"/>
    <x v="11"/>
    <x v="0"/>
    <n v="7000"/>
    <n v="7000"/>
    <n v="5.95"/>
    <n v="2.3800000000000003"/>
    <n v="2.3800000000000003"/>
    <s v="Rope Laces"/>
    <n v="28605"/>
  </r>
  <r>
    <x v="0"/>
    <d v="2017-07-11T00:00:00"/>
    <x v="12"/>
    <x v="0"/>
    <n v="1"/>
    <s v="입"/>
    <x v="12"/>
    <x v="0"/>
    <n v="7000"/>
    <n v="7000"/>
    <n v="5.95"/>
    <n v="2.3800000000000003"/>
    <n v="2.3800000000000003"/>
    <s v="Rope Laces"/>
    <n v="28605"/>
  </r>
  <r>
    <x v="0"/>
    <d v="2017-07-11T00:00:00"/>
    <x v="12"/>
    <x v="1"/>
    <n v="2"/>
    <s v="입"/>
    <x v="12"/>
    <x v="2"/>
    <n v="7000"/>
    <n v="14000"/>
    <n v="5.95"/>
    <n v="2.3800000000000003"/>
    <n v="4.7600000000000007"/>
    <s v="Rope Laces"/>
    <n v="28605"/>
  </r>
  <r>
    <x v="0"/>
    <d v="2017-07-11T00:00:00"/>
    <x v="12"/>
    <x v="3"/>
    <n v="2"/>
    <s v="입"/>
    <x v="12"/>
    <x v="2"/>
    <n v="7000"/>
    <n v="14000"/>
    <n v="5.95"/>
    <n v="2.3800000000000003"/>
    <n v="4.7600000000000007"/>
    <s v="Rope Laces"/>
    <n v="28605"/>
  </r>
  <r>
    <x v="0"/>
    <d v="2017-07-11T00:00:00"/>
    <x v="12"/>
    <x v="4"/>
    <n v="1"/>
    <s v="입"/>
    <x v="12"/>
    <x v="0"/>
    <n v="7000"/>
    <n v="7000"/>
    <n v="5.95"/>
    <n v="2.3800000000000003"/>
    <n v="2.3800000000000003"/>
    <s v="Rope Laces"/>
    <n v="28605"/>
  </r>
  <r>
    <x v="0"/>
    <d v="2017-07-11T00:00:00"/>
    <x v="13"/>
    <x v="1"/>
    <n v="2"/>
    <s v="입"/>
    <x v="13"/>
    <x v="2"/>
    <n v="7000"/>
    <n v="14000"/>
    <n v="5.95"/>
    <n v="2.3800000000000003"/>
    <n v="4.7600000000000007"/>
    <s v="Rope Laces"/>
    <n v="28605"/>
  </r>
  <r>
    <x v="0"/>
    <d v="2017-07-11T00:00:00"/>
    <x v="13"/>
    <x v="3"/>
    <n v="2"/>
    <s v="입"/>
    <x v="13"/>
    <x v="2"/>
    <n v="7000"/>
    <n v="14000"/>
    <n v="5.95"/>
    <n v="2.3800000000000003"/>
    <n v="4.7600000000000007"/>
    <s v="Rope Laces"/>
    <n v="28605"/>
  </r>
  <r>
    <x v="0"/>
    <d v="2017-07-11T00:00:00"/>
    <x v="13"/>
    <x v="4"/>
    <n v="1"/>
    <s v="입"/>
    <x v="13"/>
    <x v="0"/>
    <n v="7000"/>
    <n v="7000"/>
    <n v="5.95"/>
    <n v="2.3800000000000003"/>
    <n v="2.3800000000000003"/>
    <s v="Rope Laces"/>
    <n v="28605"/>
  </r>
  <r>
    <x v="0"/>
    <d v="2017-07-11T00:00:00"/>
    <x v="14"/>
    <x v="1"/>
    <n v="2"/>
    <s v="입"/>
    <x v="14"/>
    <x v="2"/>
    <n v="7000"/>
    <n v="14000"/>
    <n v="5.95"/>
    <n v="2.3800000000000003"/>
    <n v="4.7600000000000007"/>
    <s v="Rope Laces"/>
    <n v="28605"/>
  </r>
  <r>
    <x v="0"/>
    <d v="2017-07-11T00:00:00"/>
    <x v="14"/>
    <x v="3"/>
    <n v="2"/>
    <s v="입"/>
    <x v="14"/>
    <x v="2"/>
    <n v="7000"/>
    <n v="14000"/>
    <n v="5.95"/>
    <n v="2.3800000000000003"/>
    <n v="4.7600000000000007"/>
    <s v="Rope Laces"/>
    <n v="28605"/>
  </r>
  <r>
    <x v="0"/>
    <d v="2017-07-11T00:00:00"/>
    <x v="14"/>
    <x v="4"/>
    <n v="1"/>
    <s v="입"/>
    <x v="14"/>
    <x v="0"/>
    <n v="7000"/>
    <n v="7000"/>
    <n v="5.95"/>
    <n v="2.3800000000000003"/>
    <n v="2.3800000000000003"/>
    <s v="Rope Laces"/>
    <n v="28605"/>
  </r>
  <r>
    <x v="0"/>
    <d v="2017-07-11T00:00:00"/>
    <x v="15"/>
    <x v="1"/>
    <n v="2"/>
    <s v="입"/>
    <x v="15"/>
    <x v="2"/>
    <n v="7000"/>
    <n v="14000"/>
    <n v="5.95"/>
    <n v="2.3800000000000003"/>
    <n v="4.7600000000000007"/>
    <s v="Rope Laces"/>
    <n v="28605"/>
  </r>
  <r>
    <x v="0"/>
    <d v="2017-07-11T00:00:00"/>
    <x v="15"/>
    <x v="3"/>
    <n v="2"/>
    <s v="입"/>
    <x v="15"/>
    <x v="2"/>
    <n v="7000"/>
    <n v="14000"/>
    <n v="5.95"/>
    <n v="2.3800000000000003"/>
    <n v="4.7600000000000007"/>
    <s v="Rope Laces"/>
    <n v="28605"/>
  </r>
  <r>
    <x v="0"/>
    <d v="2017-07-11T00:00:00"/>
    <x v="15"/>
    <x v="4"/>
    <n v="1"/>
    <s v="입"/>
    <x v="15"/>
    <x v="0"/>
    <n v="7000"/>
    <n v="7000"/>
    <n v="5.95"/>
    <n v="2.3800000000000003"/>
    <n v="2.3800000000000003"/>
    <s v="Rope Laces"/>
    <n v="28605"/>
  </r>
  <r>
    <x v="0"/>
    <d v="2017-07-11T00:00:00"/>
    <x v="16"/>
    <x v="3"/>
    <n v="1"/>
    <s v="입"/>
    <x v="16"/>
    <x v="0"/>
    <n v="7000"/>
    <n v="7000"/>
    <n v="5.95"/>
    <n v="2.3800000000000003"/>
    <n v="2.3800000000000003"/>
    <s v="Rope Laces"/>
    <n v="28605"/>
  </r>
  <r>
    <x v="0"/>
    <d v="2017-07-11T00:00:00"/>
    <x v="16"/>
    <x v="4"/>
    <n v="1"/>
    <s v="입"/>
    <x v="16"/>
    <x v="0"/>
    <n v="7000"/>
    <n v="7000"/>
    <n v="5.95"/>
    <n v="2.3800000000000003"/>
    <n v="2.3800000000000003"/>
    <s v="Rope Laces"/>
    <n v="28605"/>
  </r>
  <r>
    <x v="0"/>
    <d v="2017-07-11T00:00:00"/>
    <x v="17"/>
    <x v="0"/>
    <n v="1"/>
    <s v="입"/>
    <x v="17"/>
    <x v="0"/>
    <n v="7000"/>
    <n v="7000"/>
    <n v="5.95"/>
    <n v="2.3800000000000003"/>
    <n v="2.3800000000000003"/>
    <s v="Rope Laces"/>
    <n v="28605"/>
  </r>
  <r>
    <x v="0"/>
    <d v="2017-07-11T00:00:00"/>
    <x v="17"/>
    <x v="3"/>
    <n v="2"/>
    <s v="입"/>
    <x v="17"/>
    <x v="2"/>
    <n v="7000"/>
    <n v="14000"/>
    <n v="5.95"/>
    <n v="2.3800000000000003"/>
    <n v="4.7600000000000007"/>
    <s v="Rope Laces"/>
    <n v="28605"/>
  </r>
  <r>
    <x v="0"/>
    <d v="2017-07-11T00:00:00"/>
    <x v="17"/>
    <x v="4"/>
    <n v="1"/>
    <s v="입"/>
    <x v="17"/>
    <x v="0"/>
    <n v="7000"/>
    <n v="7000"/>
    <n v="5.95"/>
    <n v="2.3800000000000003"/>
    <n v="2.3800000000000003"/>
    <s v="Rope Laces"/>
    <n v="28605"/>
  </r>
  <r>
    <x v="0"/>
    <d v="2017-07-11T00:00:00"/>
    <x v="18"/>
    <x v="3"/>
    <n v="1"/>
    <s v="입"/>
    <x v="18"/>
    <x v="0"/>
    <n v="7000"/>
    <n v="7000"/>
    <n v="5.95"/>
    <n v="2.3800000000000003"/>
    <n v="2.3800000000000003"/>
    <s v="Rope Laces"/>
    <n v="28605"/>
  </r>
  <r>
    <x v="0"/>
    <d v="2017-07-11T00:00:00"/>
    <x v="18"/>
    <x v="4"/>
    <n v="1"/>
    <s v="입"/>
    <x v="18"/>
    <x v="0"/>
    <n v="7000"/>
    <n v="7000"/>
    <n v="5.95"/>
    <n v="2.3800000000000003"/>
    <n v="2.3800000000000003"/>
    <s v="Rope Laces"/>
    <n v="28605"/>
  </r>
  <r>
    <x v="0"/>
    <d v="2017-07-11T00:00:00"/>
    <x v="19"/>
    <x v="1"/>
    <n v="2"/>
    <s v="입"/>
    <x v="19"/>
    <x v="2"/>
    <n v="7000"/>
    <n v="14000"/>
    <n v="5.95"/>
    <n v="2.3800000000000003"/>
    <n v="4.7600000000000007"/>
    <s v="Rope Laces"/>
    <n v="28605"/>
  </r>
  <r>
    <x v="0"/>
    <d v="2017-07-11T00:00:00"/>
    <x v="19"/>
    <x v="3"/>
    <n v="2"/>
    <s v="입"/>
    <x v="19"/>
    <x v="2"/>
    <n v="7000"/>
    <n v="14000"/>
    <n v="5.95"/>
    <n v="2.3800000000000003"/>
    <n v="4.7600000000000007"/>
    <s v="Rope Laces"/>
    <n v="28605"/>
  </r>
  <r>
    <x v="0"/>
    <d v="2017-07-11T00:00:00"/>
    <x v="19"/>
    <x v="4"/>
    <n v="1"/>
    <s v="입"/>
    <x v="19"/>
    <x v="0"/>
    <n v="7000"/>
    <n v="7000"/>
    <n v="5.95"/>
    <n v="2.3800000000000003"/>
    <n v="2.3800000000000003"/>
    <s v="Rope Laces"/>
    <n v="28605"/>
  </r>
  <r>
    <x v="0"/>
    <d v="2017-07-11T00:00:00"/>
    <x v="20"/>
    <x v="1"/>
    <n v="1"/>
    <s v="입"/>
    <x v="20"/>
    <x v="0"/>
    <n v="7000"/>
    <n v="7000"/>
    <n v="5.95"/>
    <n v="2.3800000000000003"/>
    <n v="2.3800000000000003"/>
    <s v="Rope Laces"/>
    <n v="28605"/>
  </r>
  <r>
    <x v="0"/>
    <d v="2017-07-11T00:00:00"/>
    <x v="20"/>
    <x v="3"/>
    <n v="1"/>
    <s v="입"/>
    <x v="20"/>
    <x v="0"/>
    <n v="7000"/>
    <n v="7000"/>
    <n v="5.95"/>
    <n v="2.3800000000000003"/>
    <n v="2.3800000000000003"/>
    <s v="Rope Laces"/>
    <n v="28605"/>
  </r>
  <r>
    <x v="0"/>
    <d v="2017-07-11T00:00:00"/>
    <x v="20"/>
    <x v="4"/>
    <n v="1"/>
    <s v="입"/>
    <x v="20"/>
    <x v="0"/>
    <n v="7000"/>
    <n v="7000"/>
    <n v="5.95"/>
    <n v="2.3800000000000003"/>
    <n v="2.3800000000000003"/>
    <s v="Rope Laces"/>
    <n v="28605"/>
  </r>
  <r>
    <x v="0"/>
    <d v="2017-07-11T00:00:00"/>
    <x v="21"/>
    <x v="3"/>
    <n v="1"/>
    <s v="입"/>
    <x v="21"/>
    <x v="0"/>
    <n v="7000"/>
    <n v="7000"/>
    <n v="5.95"/>
    <n v="2.3800000000000003"/>
    <n v="2.3800000000000003"/>
    <s v="Rope Laces"/>
    <n v="28605"/>
  </r>
  <r>
    <x v="0"/>
    <d v="2017-07-11T00:00:00"/>
    <x v="21"/>
    <x v="4"/>
    <n v="1"/>
    <s v="입"/>
    <x v="21"/>
    <x v="0"/>
    <n v="7000"/>
    <n v="7000"/>
    <n v="5.95"/>
    <n v="2.3800000000000003"/>
    <n v="2.3800000000000003"/>
    <s v="Rope Laces"/>
    <n v="28605"/>
  </r>
  <r>
    <x v="0"/>
    <d v="2017-07-11T00:00:00"/>
    <x v="22"/>
    <x v="3"/>
    <n v="1"/>
    <s v="입"/>
    <x v="22"/>
    <x v="0"/>
    <n v="7000"/>
    <n v="7000"/>
    <n v="5.95"/>
    <n v="2.3800000000000003"/>
    <n v="2.3800000000000003"/>
    <s v="Rope Laces"/>
    <n v="28605"/>
  </r>
  <r>
    <x v="0"/>
    <d v="2017-07-11T00:00:00"/>
    <x v="22"/>
    <x v="4"/>
    <n v="1"/>
    <s v="입"/>
    <x v="22"/>
    <x v="0"/>
    <n v="7000"/>
    <n v="7000"/>
    <n v="5.95"/>
    <n v="2.3800000000000003"/>
    <n v="2.3800000000000003"/>
    <s v="Rope Laces"/>
    <n v="28605"/>
  </r>
  <r>
    <x v="0"/>
    <d v="2017-07-11T00:00:00"/>
    <x v="23"/>
    <x v="3"/>
    <n v="1"/>
    <s v="입"/>
    <x v="23"/>
    <x v="0"/>
    <n v="7000"/>
    <n v="7000"/>
    <n v="5.95"/>
    <n v="2.3800000000000003"/>
    <n v="2.3800000000000003"/>
    <s v="Rope Laces"/>
    <n v="28605"/>
  </r>
  <r>
    <x v="0"/>
    <d v="2017-07-11T00:00:00"/>
    <x v="23"/>
    <x v="4"/>
    <n v="1"/>
    <s v="입"/>
    <x v="23"/>
    <x v="0"/>
    <n v="7000"/>
    <n v="7000"/>
    <n v="5.95"/>
    <n v="2.3800000000000003"/>
    <n v="2.3800000000000003"/>
    <s v="Rope Laces"/>
    <n v="28605"/>
  </r>
  <r>
    <x v="0"/>
    <d v="2017-07-11T00:00:00"/>
    <x v="24"/>
    <x v="3"/>
    <n v="1"/>
    <s v="입"/>
    <x v="24"/>
    <x v="0"/>
    <n v="7000"/>
    <n v="7000"/>
    <n v="5.95"/>
    <n v="2.3800000000000003"/>
    <n v="2.3800000000000003"/>
    <s v="Rope Laces"/>
    <n v="28605"/>
  </r>
  <r>
    <x v="0"/>
    <d v="2017-07-11T00:00:00"/>
    <x v="24"/>
    <x v="4"/>
    <n v="1"/>
    <s v="입"/>
    <x v="24"/>
    <x v="0"/>
    <n v="7000"/>
    <n v="7000"/>
    <n v="5.95"/>
    <n v="2.3800000000000003"/>
    <n v="2.3800000000000003"/>
    <s v="Rope Laces"/>
    <n v="28605"/>
  </r>
  <r>
    <x v="0"/>
    <d v="2017-07-11T00:00:00"/>
    <x v="25"/>
    <x v="3"/>
    <n v="1"/>
    <s v="입"/>
    <x v="25"/>
    <x v="0"/>
    <n v="7000"/>
    <n v="7000"/>
    <n v="5.95"/>
    <n v="2.3800000000000003"/>
    <n v="2.3800000000000003"/>
    <s v="Rope Laces"/>
    <n v="28605"/>
  </r>
  <r>
    <x v="0"/>
    <d v="2017-07-11T00:00:00"/>
    <x v="25"/>
    <x v="4"/>
    <n v="1"/>
    <s v="입"/>
    <x v="25"/>
    <x v="0"/>
    <n v="7000"/>
    <n v="7000"/>
    <n v="5.95"/>
    <n v="2.3800000000000003"/>
    <n v="2.3800000000000003"/>
    <s v="Rope Laces"/>
    <n v="28605"/>
  </r>
  <r>
    <x v="0"/>
    <d v="2017-07-11T00:00:00"/>
    <x v="26"/>
    <x v="1"/>
    <n v="1"/>
    <s v="입"/>
    <x v="26"/>
    <x v="0"/>
    <n v="7000"/>
    <n v="7000"/>
    <n v="5.95"/>
    <n v="2.3800000000000003"/>
    <n v="2.3800000000000003"/>
    <s v="Rope Laces"/>
    <n v="28605"/>
  </r>
  <r>
    <x v="0"/>
    <d v="2017-07-11T00:00:00"/>
    <x v="26"/>
    <x v="3"/>
    <n v="1"/>
    <s v="입"/>
    <x v="26"/>
    <x v="0"/>
    <n v="7000"/>
    <n v="7000"/>
    <n v="5.95"/>
    <n v="2.3800000000000003"/>
    <n v="2.3800000000000003"/>
    <s v="Rope Laces"/>
    <n v="28605"/>
  </r>
  <r>
    <x v="0"/>
    <d v="2017-07-11T00:00:00"/>
    <x v="26"/>
    <x v="4"/>
    <n v="1"/>
    <s v="입"/>
    <x v="26"/>
    <x v="0"/>
    <n v="7000"/>
    <n v="7000"/>
    <n v="5.95"/>
    <n v="2.3800000000000003"/>
    <n v="2.3800000000000003"/>
    <s v="Rope Laces"/>
    <n v="28605"/>
  </r>
  <r>
    <x v="0"/>
    <d v="2017-07-11T00:00:00"/>
    <x v="27"/>
    <x v="1"/>
    <n v="1"/>
    <s v="입"/>
    <x v="27"/>
    <x v="0"/>
    <n v="7000"/>
    <n v="7000"/>
    <n v="5.95"/>
    <n v="2.3800000000000003"/>
    <n v="2.3800000000000003"/>
    <s v="Rope Laces"/>
    <n v="28605"/>
  </r>
  <r>
    <x v="0"/>
    <d v="2017-07-11T00:00:00"/>
    <x v="27"/>
    <x v="3"/>
    <n v="1"/>
    <s v="입"/>
    <x v="27"/>
    <x v="0"/>
    <n v="7000"/>
    <n v="7000"/>
    <n v="5.95"/>
    <n v="2.3800000000000003"/>
    <n v="2.3800000000000003"/>
    <s v="Rope Laces"/>
    <n v="28605"/>
  </r>
  <r>
    <x v="0"/>
    <d v="2017-07-11T00:00:00"/>
    <x v="27"/>
    <x v="4"/>
    <n v="1"/>
    <s v="입"/>
    <x v="27"/>
    <x v="0"/>
    <n v="7000"/>
    <n v="7000"/>
    <n v="5.95"/>
    <n v="2.3800000000000003"/>
    <n v="2.3800000000000003"/>
    <s v="Rope Laces"/>
    <n v="28605"/>
  </r>
  <r>
    <x v="0"/>
    <d v="2017-07-11T00:00:00"/>
    <x v="28"/>
    <x v="3"/>
    <n v="1"/>
    <s v="입"/>
    <x v="28"/>
    <x v="0"/>
    <n v="7000"/>
    <n v="7000"/>
    <n v="5.95"/>
    <n v="2.3800000000000003"/>
    <n v="2.3800000000000003"/>
    <s v="Rope Laces"/>
    <n v="28605"/>
  </r>
  <r>
    <x v="0"/>
    <d v="2017-07-11T00:00:00"/>
    <x v="28"/>
    <x v="4"/>
    <n v="1"/>
    <s v="입"/>
    <x v="28"/>
    <x v="0"/>
    <n v="7000"/>
    <n v="7000"/>
    <n v="5.95"/>
    <n v="2.3800000000000003"/>
    <n v="2.3800000000000003"/>
    <s v="Rope Laces"/>
    <n v="28605"/>
  </r>
  <r>
    <x v="0"/>
    <d v="2017-07-11T00:00:00"/>
    <x v="29"/>
    <x v="3"/>
    <n v="1"/>
    <s v="입"/>
    <x v="29"/>
    <x v="0"/>
    <n v="7000"/>
    <n v="7000"/>
    <n v="5.95"/>
    <n v="2.3800000000000003"/>
    <n v="2.3800000000000003"/>
    <s v="Rope Laces"/>
    <n v="28605"/>
  </r>
  <r>
    <x v="0"/>
    <d v="2017-07-11T00:00:00"/>
    <x v="29"/>
    <x v="4"/>
    <n v="1"/>
    <s v="입"/>
    <x v="29"/>
    <x v="0"/>
    <n v="7000"/>
    <n v="7000"/>
    <n v="5.95"/>
    <n v="2.3800000000000003"/>
    <n v="2.3800000000000003"/>
    <s v="Rope Laces"/>
    <n v="28605"/>
  </r>
  <r>
    <x v="0"/>
    <d v="2017-07-11T00:00:00"/>
    <x v="30"/>
    <x v="3"/>
    <n v="1"/>
    <s v="입"/>
    <x v="30"/>
    <x v="0"/>
    <n v="7000"/>
    <n v="7000"/>
    <n v="5.95"/>
    <n v="2.3800000000000003"/>
    <n v="2.3800000000000003"/>
    <s v="Rope Laces"/>
    <n v="28605"/>
  </r>
  <r>
    <x v="0"/>
    <d v="2017-07-11T00:00:00"/>
    <x v="30"/>
    <x v="4"/>
    <n v="1"/>
    <s v="입"/>
    <x v="30"/>
    <x v="0"/>
    <n v="7000"/>
    <n v="7000"/>
    <n v="5.95"/>
    <n v="2.3800000000000003"/>
    <n v="2.3800000000000003"/>
    <s v="Rope Laces"/>
    <n v="28605"/>
  </r>
  <r>
    <x v="0"/>
    <d v="2017-07-11T00:00:00"/>
    <x v="31"/>
    <x v="1"/>
    <n v="1"/>
    <s v="입"/>
    <x v="31"/>
    <x v="0"/>
    <n v="7000"/>
    <n v="7000"/>
    <n v="5.95"/>
    <n v="2.3800000000000003"/>
    <n v="2.3800000000000003"/>
    <s v="Rope Laces"/>
    <n v="28605"/>
  </r>
  <r>
    <x v="0"/>
    <d v="2017-07-11T00:00:00"/>
    <x v="32"/>
    <x v="1"/>
    <n v="1"/>
    <s v="입"/>
    <x v="32"/>
    <x v="0"/>
    <n v="7000"/>
    <n v="7000"/>
    <n v="5.95"/>
    <n v="2.3800000000000003"/>
    <n v="2.3800000000000003"/>
    <s v="Rope Laces"/>
    <n v="28605"/>
  </r>
  <r>
    <x v="0"/>
    <d v="2017-07-11T00:00:00"/>
    <x v="33"/>
    <x v="0"/>
    <n v="1"/>
    <s v="입"/>
    <x v="33"/>
    <x v="0"/>
    <n v="7000"/>
    <n v="7000"/>
    <n v="5.95"/>
    <n v="2.3800000000000003"/>
    <n v="2.3800000000000003"/>
    <s v="Rope Laces"/>
    <n v="28605"/>
  </r>
  <r>
    <x v="0"/>
    <d v="2017-07-11T00:00:00"/>
    <x v="33"/>
    <x v="1"/>
    <n v="2"/>
    <s v="입"/>
    <x v="33"/>
    <x v="2"/>
    <n v="7000"/>
    <n v="14000"/>
    <n v="5.95"/>
    <n v="2.3800000000000003"/>
    <n v="4.7600000000000007"/>
    <s v="Rope Laces"/>
    <n v="28605"/>
  </r>
  <r>
    <x v="0"/>
    <d v="2017-07-11T00:00:00"/>
    <x v="33"/>
    <x v="3"/>
    <n v="1"/>
    <s v="입"/>
    <x v="33"/>
    <x v="0"/>
    <n v="7000"/>
    <n v="7000"/>
    <n v="5.95"/>
    <n v="2.3800000000000003"/>
    <n v="2.3800000000000003"/>
    <s v="Rope Laces"/>
    <n v="28605"/>
  </r>
  <r>
    <x v="0"/>
    <d v="2017-07-11T00:00:00"/>
    <x v="34"/>
    <x v="0"/>
    <n v="1"/>
    <s v="입"/>
    <x v="34"/>
    <x v="0"/>
    <n v="7000"/>
    <n v="7000"/>
    <n v="5.95"/>
    <n v="2.3800000000000003"/>
    <n v="2.3800000000000003"/>
    <s v="Rope Laces"/>
    <n v="28605"/>
  </r>
  <r>
    <x v="0"/>
    <d v="2017-07-11T00:00:00"/>
    <x v="34"/>
    <x v="1"/>
    <n v="3"/>
    <s v="입"/>
    <x v="34"/>
    <x v="1"/>
    <n v="7000"/>
    <n v="21000"/>
    <n v="5.95"/>
    <n v="2.3800000000000003"/>
    <n v="7.1400000000000006"/>
    <s v="Rope Laces"/>
    <n v="28605"/>
  </r>
  <r>
    <x v="0"/>
    <d v="2017-07-11T00:00:00"/>
    <x v="34"/>
    <x v="2"/>
    <n v="3"/>
    <s v="입"/>
    <x v="34"/>
    <x v="1"/>
    <n v="7000"/>
    <n v="21000"/>
    <n v="5.95"/>
    <n v="2.3800000000000003"/>
    <n v="7.1400000000000006"/>
    <s v="Rope Laces"/>
    <n v="28605"/>
  </r>
  <r>
    <x v="0"/>
    <d v="2017-07-11T00:00:00"/>
    <x v="34"/>
    <x v="3"/>
    <n v="3"/>
    <s v="입"/>
    <x v="34"/>
    <x v="1"/>
    <n v="7000"/>
    <n v="21000"/>
    <n v="5.95"/>
    <n v="2.3800000000000003"/>
    <n v="7.1400000000000006"/>
    <s v="Rope Laces"/>
    <n v="28605"/>
  </r>
  <r>
    <x v="0"/>
    <d v="2017-07-11T00:00:00"/>
    <x v="34"/>
    <x v="4"/>
    <n v="2"/>
    <s v="입"/>
    <x v="34"/>
    <x v="2"/>
    <n v="7000"/>
    <n v="14000"/>
    <n v="5.95"/>
    <n v="2.3800000000000003"/>
    <n v="4.7600000000000007"/>
    <s v="Rope Laces"/>
    <n v="28605"/>
  </r>
  <r>
    <x v="0"/>
    <d v="2017-07-11T00:00:00"/>
    <x v="35"/>
    <x v="0"/>
    <n v="1"/>
    <s v="입"/>
    <x v="35"/>
    <x v="0"/>
    <n v="7000"/>
    <n v="7000"/>
    <n v="5.95"/>
    <n v="2.3800000000000003"/>
    <n v="2.3800000000000003"/>
    <s v="Rope Laces"/>
    <n v="28605"/>
  </r>
  <r>
    <x v="0"/>
    <d v="2017-07-11T00:00:00"/>
    <x v="35"/>
    <x v="1"/>
    <n v="3"/>
    <s v="입"/>
    <x v="35"/>
    <x v="1"/>
    <n v="7000"/>
    <n v="21000"/>
    <n v="5.95"/>
    <n v="2.3800000000000003"/>
    <n v="7.1400000000000006"/>
    <s v="Rope Laces"/>
    <n v="28605"/>
  </r>
  <r>
    <x v="0"/>
    <d v="2017-07-11T00:00:00"/>
    <x v="35"/>
    <x v="2"/>
    <n v="3"/>
    <s v="입"/>
    <x v="35"/>
    <x v="1"/>
    <n v="7000"/>
    <n v="21000"/>
    <n v="5.95"/>
    <n v="2.3800000000000003"/>
    <n v="7.1400000000000006"/>
    <s v="Rope Laces"/>
    <n v="28605"/>
  </r>
  <r>
    <x v="0"/>
    <d v="2017-07-11T00:00:00"/>
    <x v="35"/>
    <x v="3"/>
    <n v="3"/>
    <s v="입"/>
    <x v="35"/>
    <x v="1"/>
    <n v="7000"/>
    <n v="21000"/>
    <n v="5.95"/>
    <n v="2.3800000000000003"/>
    <n v="7.1400000000000006"/>
    <s v="Rope Laces"/>
    <n v="28605"/>
  </r>
  <r>
    <x v="0"/>
    <d v="2017-07-11T00:00:00"/>
    <x v="35"/>
    <x v="4"/>
    <n v="2"/>
    <s v="입"/>
    <x v="35"/>
    <x v="2"/>
    <n v="7000"/>
    <n v="14000"/>
    <n v="5.95"/>
    <n v="2.3800000000000003"/>
    <n v="4.7600000000000007"/>
    <s v="Rope Laces"/>
    <n v="28605"/>
  </r>
  <r>
    <x v="0"/>
    <d v="2017-07-11T00:00:00"/>
    <x v="36"/>
    <x v="0"/>
    <n v="2"/>
    <s v="입"/>
    <x v="36"/>
    <x v="2"/>
    <n v="7000"/>
    <n v="14000"/>
    <n v="5.95"/>
    <n v="2.3800000000000003"/>
    <n v="4.7600000000000007"/>
    <s v="Rope Laces"/>
    <n v="28605"/>
  </r>
  <r>
    <x v="0"/>
    <d v="2017-07-11T00:00:00"/>
    <x v="36"/>
    <x v="1"/>
    <n v="2"/>
    <s v="입"/>
    <x v="36"/>
    <x v="2"/>
    <n v="7000"/>
    <n v="14000"/>
    <n v="5.95"/>
    <n v="2.3800000000000003"/>
    <n v="4.7600000000000007"/>
    <s v="Rope Laces"/>
    <n v="28605"/>
  </r>
  <r>
    <x v="0"/>
    <d v="2017-07-11T00:00:00"/>
    <x v="36"/>
    <x v="3"/>
    <n v="2"/>
    <s v="입"/>
    <x v="36"/>
    <x v="2"/>
    <n v="7000"/>
    <n v="14000"/>
    <n v="5.95"/>
    <n v="2.3800000000000003"/>
    <n v="4.7600000000000007"/>
    <s v="Rope Laces"/>
    <n v="28605"/>
  </r>
  <r>
    <x v="0"/>
    <d v="2017-07-11T00:00:00"/>
    <x v="37"/>
    <x v="0"/>
    <n v="2"/>
    <s v="입"/>
    <x v="37"/>
    <x v="2"/>
    <n v="7000"/>
    <n v="14000"/>
    <n v="5.95"/>
    <n v="2.3800000000000003"/>
    <n v="4.7600000000000007"/>
    <s v="Rope Laces"/>
    <n v="28605"/>
  </r>
  <r>
    <x v="0"/>
    <d v="2017-07-11T00:00:00"/>
    <x v="37"/>
    <x v="1"/>
    <n v="2"/>
    <s v="입"/>
    <x v="37"/>
    <x v="2"/>
    <n v="7000"/>
    <n v="14000"/>
    <n v="5.95"/>
    <n v="2.3800000000000003"/>
    <n v="4.7600000000000007"/>
    <s v="Rope Laces"/>
    <n v="28605"/>
  </r>
  <r>
    <x v="0"/>
    <d v="2017-07-11T00:00:00"/>
    <x v="37"/>
    <x v="3"/>
    <n v="2"/>
    <s v="입"/>
    <x v="37"/>
    <x v="2"/>
    <n v="7000"/>
    <n v="14000"/>
    <n v="5.95"/>
    <n v="2.3800000000000003"/>
    <n v="4.7600000000000007"/>
    <s v="Rope Laces"/>
    <n v="28605"/>
  </r>
  <r>
    <x v="0"/>
    <d v="2017-07-11T00:00:00"/>
    <x v="38"/>
    <x v="0"/>
    <n v="1"/>
    <s v="입"/>
    <x v="38"/>
    <x v="0"/>
    <n v="7000"/>
    <n v="7000"/>
    <n v="5.95"/>
    <n v="2.3800000000000003"/>
    <n v="2.3800000000000003"/>
    <s v="Rope Laces"/>
    <n v="28605"/>
  </r>
  <r>
    <x v="0"/>
    <d v="2017-07-11T00:00:00"/>
    <x v="38"/>
    <x v="1"/>
    <n v="1"/>
    <s v="입"/>
    <x v="38"/>
    <x v="0"/>
    <n v="7000"/>
    <n v="7000"/>
    <n v="5.95"/>
    <n v="2.3800000000000003"/>
    <n v="2.3800000000000003"/>
    <s v="Rope Laces"/>
    <n v="28605"/>
  </r>
  <r>
    <x v="0"/>
    <d v="2017-07-11T00:00:00"/>
    <x v="38"/>
    <x v="3"/>
    <n v="1"/>
    <s v="입"/>
    <x v="38"/>
    <x v="0"/>
    <n v="7000"/>
    <n v="7000"/>
    <n v="5.95"/>
    <n v="2.3800000000000003"/>
    <n v="2.3800000000000003"/>
    <s v="Rope Laces"/>
    <n v="28605"/>
  </r>
  <r>
    <x v="0"/>
    <d v="2017-07-11T00:00:00"/>
    <x v="39"/>
    <x v="0"/>
    <n v="1"/>
    <s v="입"/>
    <x v="39"/>
    <x v="0"/>
    <n v="8000"/>
    <n v="8000"/>
    <n v="6.95"/>
    <n v="2.7800000000000002"/>
    <n v="2.7800000000000002"/>
    <s v="3M Reflective Rope Laces"/>
    <n v="28605"/>
  </r>
  <r>
    <x v="0"/>
    <d v="2017-07-11T00:00:00"/>
    <x v="39"/>
    <x v="1"/>
    <n v="2"/>
    <s v="입"/>
    <x v="39"/>
    <x v="2"/>
    <n v="8000"/>
    <n v="16000"/>
    <n v="6.95"/>
    <n v="2.7800000000000002"/>
    <n v="5.5600000000000005"/>
    <s v="3M Reflective Rope Laces"/>
    <n v="28605"/>
  </r>
  <r>
    <x v="0"/>
    <d v="2017-07-11T00:00:00"/>
    <x v="39"/>
    <x v="2"/>
    <n v="2"/>
    <s v="입"/>
    <x v="39"/>
    <x v="2"/>
    <n v="8000"/>
    <n v="16000"/>
    <n v="6.95"/>
    <n v="2.7800000000000002"/>
    <n v="5.5600000000000005"/>
    <s v="3M Reflective Rope Laces"/>
    <n v="28605"/>
  </r>
  <r>
    <x v="0"/>
    <d v="2017-07-11T00:00:00"/>
    <x v="39"/>
    <x v="3"/>
    <n v="2"/>
    <s v="입"/>
    <x v="39"/>
    <x v="2"/>
    <n v="8000"/>
    <n v="16000"/>
    <n v="6.95"/>
    <n v="2.7800000000000002"/>
    <n v="5.5600000000000005"/>
    <s v="3M Reflective Rope Laces"/>
    <n v="28605"/>
  </r>
  <r>
    <x v="0"/>
    <d v="2017-07-11T00:00:00"/>
    <x v="39"/>
    <x v="4"/>
    <n v="1"/>
    <s v="입"/>
    <x v="39"/>
    <x v="0"/>
    <n v="8000"/>
    <n v="8000"/>
    <n v="6.95"/>
    <n v="2.7800000000000002"/>
    <n v="2.7800000000000002"/>
    <s v="3M Reflective Rope Laces"/>
    <n v="28605"/>
  </r>
  <r>
    <x v="0"/>
    <d v="2017-07-11T00:00:00"/>
    <x v="40"/>
    <x v="0"/>
    <n v="1"/>
    <s v="입"/>
    <x v="40"/>
    <x v="0"/>
    <n v="8000"/>
    <n v="8000"/>
    <n v="6.95"/>
    <n v="2.7800000000000002"/>
    <n v="2.7800000000000002"/>
    <s v="3M Reflective Rope Laces"/>
    <n v="28605"/>
  </r>
  <r>
    <x v="0"/>
    <d v="2017-07-11T00:00:00"/>
    <x v="40"/>
    <x v="1"/>
    <n v="2"/>
    <s v="입"/>
    <x v="40"/>
    <x v="2"/>
    <n v="8000"/>
    <n v="16000"/>
    <n v="6.95"/>
    <n v="2.7800000000000002"/>
    <n v="5.5600000000000005"/>
    <s v="3M Reflective Rope Laces"/>
    <n v="28605"/>
  </r>
  <r>
    <x v="0"/>
    <d v="2017-07-11T00:00:00"/>
    <x v="40"/>
    <x v="3"/>
    <n v="2"/>
    <s v="입"/>
    <x v="40"/>
    <x v="2"/>
    <n v="8000"/>
    <n v="16000"/>
    <n v="6.95"/>
    <n v="2.7800000000000002"/>
    <n v="5.5600000000000005"/>
    <s v="3M Reflective Rope Laces"/>
    <n v="28605"/>
  </r>
  <r>
    <x v="0"/>
    <d v="2017-07-11T00:00:00"/>
    <x v="40"/>
    <x v="4"/>
    <n v="1"/>
    <s v="입"/>
    <x v="40"/>
    <x v="0"/>
    <n v="8000"/>
    <n v="8000"/>
    <n v="6.95"/>
    <n v="2.7800000000000002"/>
    <n v="2.7800000000000002"/>
    <s v="3M Reflective Rope Laces"/>
    <n v="28605"/>
  </r>
  <r>
    <x v="0"/>
    <d v="2017-07-11T00:00:00"/>
    <x v="41"/>
    <x v="0"/>
    <n v="1"/>
    <s v="입"/>
    <x v="41"/>
    <x v="0"/>
    <n v="8000"/>
    <n v="8000"/>
    <n v="6.95"/>
    <n v="2.7800000000000002"/>
    <n v="2.7800000000000002"/>
    <s v="3M Reflective Rope Laces"/>
    <n v="28605"/>
  </r>
  <r>
    <x v="0"/>
    <d v="2017-07-11T00:00:00"/>
    <x v="41"/>
    <x v="1"/>
    <n v="2"/>
    <s v="입"/>
    <x v="41"/>
    <x v="2"/>
    <n v="8000"/>
    <n v="16000"/>
    <n v="6.95"/>
    <n v="2.7800000000000002"/>
    <n v="5.5600000000000005"/>
    <s v="3M Reflective Rope Laces"/>
    <n v="28605"/>
  </r>
  <r>
    <x v="0"/>
    <d v="2017-07-11T00:00:00"/>
    <x v="41"/>
    <x v="2"/>
    <n v="2"/>
    <s v="입"/>
    <x v="41"/>
    <x v="2"/>
    <n v="8000"/>
    <n v="16000"/>
    <n v="6.95"/>
    <n v="2.7800000000000002"/>
    <n v="5.5600000000000005"/>
    <s v="3M Reflective Rope Laces"/>
    <n v="28605"/>
  </r>
  <r>
    <x v="0"/>
    <d v="2017-07-11T00:00:00"/>
    <x v="41"/>
    <x v="3"/>
    <n v="2"/>
    <s v="입"/>
    <x v="41"/>
    <x v="2"/>
    <n v="8000"/>
    <n v="16000"/>
    <n v="6.95"/>
    <n v="2.7800000000000002"/>
    <n v="5.5600000000000005"/>
    <s v="3M Reflective Rope Laces"/>
    <n v="28605"/>
  </r>
  <r>
    <x v="0"/>
    <d v="2017-07-11T00:00:00"/>
    <x v="41"/>
    <x v="4"/>
    <n v="1"/>
    <s v="입"/>
    <x v="41"/>
    <x v="0"/>
    <n v="8000"/>
    <n v="8000"/>
    <n v="6.95"/>
    <n v="2.7800000000000002"/>
    <n v="2.7800000000000002"/>
    <s v="3M Reflective Rope Laces"/>
    <n v="28605"/>
  </r>
  <r>
    <x v="0"/>
    <d v="2017-07-11T00:00:00"/>
    <x v="42"/>
    <x v="0"/>
    <n v="1"/>
    <s v="입"/>
    <x v="42"/>
    <x v="0"/>
    <n v="8000"/>
    <n v="8000"/>
    <n v="6.95"/>
    <n v="2.7800000000000002"/>
    <n v="2.7800000000000002"/>
    <s v="3M Reflective Rope Laces"/>
    <n v="28605"/>
  </r>
  <r>
    <x v="0"/>
    <d v="2017-07-11T00:00:00"/>
    <x v="42"/>
    <x v="1"/>
    <n v="2"/>
    <s v="입"/>
    <x v="42"/>
    <x v="2"/>
    <n v="8000"/>
    <n v="16000"/>
    <n v="6.95"/>
    <n v="2.7800000000000002"/>
    <n v="5.5600000000000005"/>
    <s v="3M Reflective Rope Laces"/>
    <n v="28605"/>
  </r>
  <r>
    <x v="0"/>
    <d v="2017-07-11T00:00:00"/>
    <x v="42"/>
    <x v="3"/>
    <n v="2"/>
    <s v="입"/>
    <x v="42"/>
    <x v="2"/>
    <n v="8000"/>
    <n v="16000"/>
    <n v="6.95"/>
    <n v="2.7800000000000002"/>
    <n v="5.5600000000000005"/>
    <s v="3M Reflective Rope Laces"/>
    <n v="28605"/>
  </r>
  <r>
    <x v="0"/>
    <d v="2017-07-11T00:00:00"/>
    <x v="42"/>
    <x v="4"/>
    <n v="1"/>
    <s v="입"/>
    <x v="42"/>
    <x v="0"/>
    <n v="8000"/>
    <n v="8000"/>
    <n v="6.95"/>
    <n v="2.7800000000000002"/>
    <n v="2.7800000000000002"/>
    <s v="3M Reflective Rope Laces"/>
    <n v="28605"/>
  </r>
  <r>
    <x v="0"/>
    <d v="2017-07-11T00:00:00"/>
    <x v="43"/>
    <x v="4"/>
    <n v="1"/>
    <s v="입"/>
    <x v="43"/>
    <x v="0"/>
    <n v="8000"/>
    <n v="8000"/>
    <n v="5.95"/>
    <n v="2.3800000000000003"/>
    <n v="2.3800000000000003"/>
    <s v="3M Reflective Rope Laces"/>
    <n v="28605"/>
  </r>
  <r>
    <x v="0"/>
    <d v="2017-07-11T00:00:00"/>
    <x v="44"/>
    <x v="1"/>
    <n v="2"/>
    <s v="입"/>
    <x v="44"/>
    <x v="2"/>
    <n v="8000"/>
    <n v="16000"/>
    <n v="6.95"/>
    <n v="2.7800000000000002"/>
    <n v="5.5600000000000005"/>
    <s v="3M Reflective Rope Laces"/>
    <n v="28605"/>
  </r>
  <r>
    <x v="0"/>
    <d v="2017-07-11T00:00:00"/>
    <x v="44"/>
    <x v="3"/>
    <n v="2"/>
    <s v="입"/>
    <x v="44"/>
    <x v="2"/>
    <n v="8000"/>
    <n v="16000"/>
    <n v="6.95"/>
    <n v="2.7800000000000002"/>
    <n v="5.5600000000000005"/>
    <s v="3M Reflective Rope Laces"/>
    <n v="28605"/>
  </r>
  <r>
    <x v="0"/>
    <d v="2017-07-11T00:00:00"/>
    <x v="44"/>
    <x v="4"/>
    <n v="1"/>
    <s v="입"/>
    <x v="44"/>
    <x v="0"/>
    <n v="8000"/>
    <n v="8000"/>
    <n v="6.95"/>
    <n v="2.7800000000000002"/>
    <n v="2.7800000000000002"/>
    <s v="3M Reflective Rope Laces"/>
    <n v="28605"/>
  </r>
  <r>
    <x v="0"/>
    <d v="2017-07-11T00:00:00"/>
    <x v="45"/>
    <x v="1"/>
    <n v="2"/>
    <s v="입"/>
    <x v="45"/>
    <x v="2"/>
    <n v="8000"/>
    <n v="16000"/>
    <n v="6.95"/>
    <n v="2.7800000000000002"/>
    <n v="5.5600000000000005"/>
    <s v="3M Reflective Rope Laces"/>
    <n v="28605"/>
  </r>
  <r>
    <x v="0"/>
    <d v="2017-07-11T00:00:00"/>
    <x v="45"/>
    <x v="3"/>
    <n v="2"/>
    <s v="입"/>
    <x v="45"/>
    <x v="2"/>
    <n v="8000"/>
    <n v="16000"/>
    <n v="6.95"/>
    <n v="2.7800000000000002"/>
    <n v="5.5600000000000005"/>
    <s v="3M Reflective Rope Laces"/>
    <n v="28605"/>
  </r>
  <r>
    <x v="0"/>
    <d v="2017-07-11T00:00:00"/>
    <x v="45"/>
    <x v="4"/>
    <n v="1"/>
    <s v="입"/>
    <x v="45"/>
    <x v="0"/>
    <n v="8000"/>
    <n v="8000"/>
    <n v="6.95"/>
    <n v="2.7800000000000002"/>
    <n v="2.7800000000000002"/>
    <s v="3M Reflective Rope Laces"/>
    <n v="28605"/>
  </r>
  <r>
    <x v="0"/>
    <d v="2017-07-11T00:00:00"/>
    <x v="46"/>
    <x v="0"/>
    <n v="1"/>
    <s v="입"/>
    <x v="46"/>
    <x v="0"/>
    <n v="8000"/>
    <n v="8000"/>
    <n v="6.95"/>
    <n v="2.7800000000000002"/>
    <n v="2.7800000000000002"/>
    <s v="3M Reflective Rope Laces"/>
    <n v="28605"/>
  </r>
  <r>
    <x v="0"/>
    <d v="2017-07-11T00:00:00"/>
    <x v="46"/>
    <x v="1"/>
    <n v="2"/>
    <s v="입"/>
    <x v="46"/>
    <x v="2"/>
    <n v="8000"/>
    <n v="16000"/>
    <n v="6.95"/>
    <n v="2.7800000000000002"/>
    <n v="5.5600000000000005"/>
    <s v="3M Reflective Rope Laces"/>
    <n v="28605"/>
  </r>
  <r>
    <x v="0"/>
    <d v="2017-07-11T00:00:00"/>
    <x v="46"/>
    <x v="3"/>
    <n v="2"/>
    <s v="입"/>
    <x v="46"/>
    <x v="2"/>
    <n v="8000"/>
    <n v="16000"/>
    <n v="6.95"/>
    <n v="2.7800000000000002"/>
    <n v="5.5600000000000005"/>
    <s v="3M Reflective Rope Laces"/>
    <n v="28605"/>
  </r>
  <r>
    <x v="0"/>
    <d v="2017-07-11T00:00:00"/>
    <x v="46"/>
    <x v="4"/>
    <n v="1"/>
    <s v="입"/>
    <x v="46"/>
    <x v="0"/>
    <n v="8000"/>
    <n v="8000"/>
    <n v="6.95"/>
    <n v="2.7800000000000002"/>
    <n v="2.7800000000000002"/>
    <s v="3M Reflective Rope Laces"/>
    <n v="28605"/>
  </r>
  <r>
    <x v="0"/>
    <d v="2017-07-11T00:00:00"/>
    <x v="47"/>
    <x v="0"/>
    <n v="1"/>
    <s v="입"/>
    <x v="47"/>
    <x v="0"/>
    <n v="8000"/>
    <n v="8000"/>
    <n v="6.95"/>
    <n v="2.7800000000000002"/>
    <n v="2.7800000000000002"/>
    <s v="3M Reflective Rope Laces"/>
    <n v="28605"/>
  </r>
  <r>
    <x v="0"/>
    <d v="2017-07-11T00:00:00"/>
    <x v="47"/>
    <x v="1"/>
    <n v="2"/>
    <s v="입"/>
    <x v="47"/>
    <x v="2"/>
    <n v="8000"/>
    <n v="16000"/>
    <n v="6.95"/>
    <n v="2.7800000000000002"/>
    <n v="5.5600000000000005"/>
    <s v="3M Reflective Rope Laces"/>
    <n v="28605"/>
  </r>
  <r>
    <x v="0"/>
    <d v="2017-07-11T00:00:00"/>
    <x v="47"/>
    <x v="3"/>
    <n v="2"/>
    <s v="입"/>
    <x v="47"/>
    <x v="2"/>
    <n v="8000"/>
    <n v="16000"/>
    <n v="6.95"/>
    <n v="2.7800000000000002"/>
    <n v="5.5600000000000005"/>
    <s v="3M Reflective Rope Laces"/>
    <n v="28605"/>
  </r>
  <r>
    <x v="0"/>
    <d v="2017-07-11T00:00:00"/>
    <x v="47"/>
    <x v="4"/>
    <n v="1"/>
    <s v="입"/>
    <x v="47"/>
    <x v="0"/>
    <n v="8000"/>
    <n v="8000"/>
    <n v="6.95"/>
    <n v="2.7800000000000002"/>
    <n v="2.7800000000000002"/>
    <s v="3M Reflective Rope Laces"/>
    <n v="28605"/>
  </r>
  <r>
    <x v="0"/>
    <d v="2017-07-11T00:00:00"/>
    <x v="48"/>
    <x v="3"/>
    <n v="1"/>
    <s v="입"/>
    <x v="48"/>
    <x v="0"/>
    <n v="8000"/>
    <n v="8000"/>
    <n v="6.95"/>
    <n v="2.7800000000000002"/>
    <n v="2.7800000000000002"/>
    <s v="3M Reflective Rope Laces"/>
    <n v="28605"/>
  </r>
  <r>
    <x v="0"/>
    <d v="2017-07-11T00:00:00"/>
    <x v="48"/>
    <x v="4"/>
    <n v="1"/>
    <s v="입"/>
    <x v="48"/>
    <x v="0"/>
    <n v="8000"/>
    <n v="8000"/>
    <n v="6.95"/>
    <n v="2.7800000000000002"/>
    <n v="2.7800000000000002"/>
    <s v="3M Reflective Rope Laces"/>
    <n v="28605"/>
  </r>
  <r>
    <x v="0"/>
    <d v="2017-07-11T00:00:00"/>
    <x v="49"/>
    <x v="3"/>
    <n v="1"/>
    <s v="입"/>
    <x v="49"/>
    <x v="0"/>
    <n v="8000"/>
    <n v="8000"/>
    <n v="6.95"/>
    <n v="2.7800000000000002"/>
    <n v="2.7800000000000002"/>
    <s v="3M Reflective Rope Laces"/>
    <n v="28605"/>
  </r>
  <r>
    <x v="0"/>
    <d v="2017-07-11T00:00:00"/>
    <x v="49"/>
    <x v="4"/>
    <n v="1"/>
    <s v="입"/>
    <x v="49"/>
    <x v="0"/>
    <n v="8000"/>
    <n v="8000"/>
    <n v="6.95"/>
    <n v="2.7800000000000002"/>
    <n v="2.7800000000000002"/>
    <s v="3M Reflective Rope Laces"/>
    <n v="28605"/>
  </r>
  <r>
    <x v="0"/>
    <d v="2017-07-11T00:00:00"/>
    <x v="50"/>
    <x v="4"/>
    <n v="1"/>
    <s v="입"/>
    <x v="50"/>
    <x v="0"/>
    <n v="8000"/>
    <n v="8000"/>
    <n v="6.95"/>
    <n v="2.7800000000000002"/>
    <n v="2.7800000000000002"/>
    <s v="3M Reflective Rope Laces"/>
    <n v="28605"/>
  </r>
  <r>
    <x v="0"/>
    <d v="2017-07-11T00:00:00"/>
    <x v="51"/>
    <x v="0"/>
    <n v="1"/>
    <s v="입"/>
    <x v="51"/>
    <x v="0"/>
    <n v="8000"/>
    <n v="8000"/>
    <n v="6.95"/>
    <n v="2.7800000000000002"/>
    <n v="2.7800000000000002"/>
    <s v="3M Reflective Rope Laces"/>
    <n v="28605"/>
  </r>
  <r>
    <x v="0"/>
    <d v="2017-07-11T00:00:00"/>
    <x v="51"/>
    <x v="1"/>
    <n v="1"/>
    <s v="입"/>
    <x v="51"/>
    <x v="0"/>
    <n v="8000"/>
    <n v="8000"/>
    <n v="6.95"/>
    <n v="2.7800000000000002"/>
    <n v="2.7800000000000002"/>
    <s v="3M Reflective Rope Laces"/>
    <n v="28605"/>
  </r>
  <r>
    <x v="0"/>
    <d v="2017-07-11T00:00:00"/>
    <x v="51"/>
    <x v="3"/>
    <n v="1"/>
    <s v="입"/>
    <x v="51"/>
    <x v="0"/>
    <n v="8000"/>
    <n v="8000"/>
    <n v="6.95"/>
    <n v="2.7800000000000002"/>
    <n v="2.7800000000000002"/>
    <s v="3M Reflective Rope Laces"/>
    <n v="28605"/>
  </r>
  <r>
    <x v="0"/>
    <d v="2017-07-11T00:00:00"/>
    <x v="51"/>
    <x v="4"/>
    <n v="1"/>
    <s v="입"/>
    <x v="51"/>
    <x v="0"/>
    <n v="8000"/>
    <n v="8000"/>
    <n v="6.95"/>
    <n v="2.7800000000000002"/>
    <n v="2.7800000000000002"/>
    <s v="3M Reflective Rope Laces"/>
    <n v="28605"/>
  </r>
  <r>
    <x v="0"/>
    <d v="2017-07-11T00:00:00"/>
    <x v="52"/>
    <x v="1"/>
    <n v="1"/>
    <s v="입"/>
    <x v="52"/>
    <x v="0"/>
    <n v="8000"/>
    <n v="8000"/>
    <n v="5.95"/>
    <n v="2.3800000000000003"/>
    <n v="2.3800000000000003"/>
    <s v="3M Reflective Rope Laces"/>
    <n v="28605"/>
  </r>
  <r>
    <x v="0"/>
    <d v="2017-07-11T00:00:00"/>
    <x v="52"/>
    <x v="3"/>
    <n v="1"/>
    <s v="입"/>
    <x v="52"/>
    <x v="0"/>
    <n v="8000"/>
    <n v="8000"/>
    <n v="5.95"/>
    <n v="2.3800000000000003"/>
    <n v="2.3800000000000003"/>
    <s v="3M Reflective Rope Laces"/>
    <n v="28605"/>
  </r>
  <r>
    <x v="0"/>
    <d v="2017-07-11T00:00:00"/>
    <x v="52"/>
    <x v="4"/>
    <n v="1"/>
    <s v="입"/>
    <x v="52"/>
    <x v="0"/>
    <n v="8000"/>
    <n v="8000"/>
    <n v="5.95"/>
    <n v="2.3800000000000003"/>
    <n v="2.3800000000000003"/>
    <s v="3M Reflective Rope Laces"/>
    <n v="28605"/>
  </r>
  <r>
    <x v="0"/>
    <d v="2017-07-11T00:00:00"/>
    <x v="53"/>
    <x v="1"/>
    <n v="1"/>
    <s v="입"/>
    <x v="53"/>
    <x v="0"/>
    <n v="8000"/>
    <n v="8000"/>
    <n v="6.95"/>
    <n v="2.7800000000000002"/>
    <n v="2.7800000000000002"/>
    <s v="3M Reflective Rope Laces"/>
    <n v="28605"/>
  </r>
  <r>
    <x v="0"/>
    <d v="2017-07-11T00:00:00"/>
    <x v="53"/>
    <x v="3"/>
    <n v="1"/>
    <s v="입"/>
    <x v="53"/>
    <x v="0"/>
    <n v="8000"/>
    <n v="8000"/>
    <n v="6.95"/>
    <n v="2.7800000000000002"/>
    <n v="2.7800000000000002"/>
    <s v="3M Reflective Rope Laces"/>
    <n v="28605"/>
  </r>
  <r>
    <x v="0"/>
    <d v="2017-07-11T00:00:00"/>
    <x v="53"/>
    <x v="4"/>
    <n v="1"/>
    <s v="입"/>
    <x v="53"/>
    <x v="0"/>
    <n v="8000"/>
    <n v="8000"/>
    <n v="6.95"/>
    <n v="2.7800000000000002"/>
    <n v="2.7800000000000002"/>
    <s v="3M Reflective Rope Laces"/>
    <n v="28605"/>
  </r>
  <r>
    <x v="0"/>
    <d v="2017-07-11T00:00:00"/>
    <x v="54"/>
    <x v="0"/>
    <n v="1"/>
    <s v="입"/>
    <x v="54"/>
    <x v="0"/>
    <n v="8000"/>
    <n v="8000"/>
    <n v="6.95"/>
    <n v="2.7800000000000002"/>
    <n v="2.7800000000000002"/>
    <s v="3M Inverse Rope Laces"/>
    <n v="28605"/>
  </r>
  <r>
    <x v="0"/>
    <d v="2017-07-11T00:00:00"/>
    <x v="54"/>
    <x v="1"/>
    <n v="2"/>
    <s v="입"/>
    <x v="54"/>
    <x v="2"/>
    <n v="8000"/>
    <n v="16000"/>
    <n v="6.95"/>
    <n v="2.7800000000000002"/>
    <n v="5.5600000000000005"/>
    <s v="3M Inverse Rope Laces"/>
    <n v="28605"/>
  </r>
  <r>
    <x v="0"/>
    <d v="2017-07-11T00:00:00"/>
    <x v="54"/>
    <x v="2"/>
    <n v="2"/>
    <s v="입"/>
    <x v="54"/>
    <x v="2"/>
    <n v="8000"/>
    <n v="16000"/>
    <n v="6.95"/>
    <n v="2.7800000000000002"/>
    <n v="5.5600000000000005"/>
    <s v="3M Inverse Rope Laces"/>
    <n v="28605"/>
  </r>
  <r>
    <x v="0"/>
    <d v="2017-07-11T00:00:00"/>
    <x v="54"/>
    <x v="3"/>
    <n v="2"/>
    <s v="입"/>
    <x v="54"/>
    <x v="2"/>
    <n v="8000"/>
    <n v="16000"/>
    <n v="6.95"/>
    <n v="2.7800000000000002"/>
    <n v="5.5600000000000005"/>
    <s v="3M Inverse Rope Laces"/>
    <n v="28605"/>
  </r>
  <r>
    <x v="0"/>
    <d v="2017-07-11T00:00:00"/>
    <x v="54"/>
    <x v="4"/>
    <n v="1"/>
    <s v="입"/>
    <x v="54"/>
    <x v="0"/>
    <n v="8000"/>
    <n v="8000"/>
    <n v="6.95"/>
    <n v="2.7800000000000002"/>
    <n v="2.7800000000000002"/>
    <s v="3M Inverse Rope Laces"/>
    <n v="28605"/>
  </r>
  <r>
    <x v="0"/>
    <d v="2017-07-11T00:00:00"/>
    <x v="55"/>
    <x v="0"/>
    <n v="1"/>
    <s v="입"/>
    <x v="55"/>
    <x v="0"/>
    <n v="8000"/>
    <n v="8000"/>
    <n v="6.95"/>
    <n v="2.7800000000000002"/>
    <n v="2.7800000000000002"/>
    <s v="3M Inverse Rope Laces"/>
    <n v="28605"/>
  </r>
  <r>
    <x v="0"/>
    <d v="2017-07-11T00:00:00"/>
    <x v="55"/>
    <x v="1"/>
    <n v="2"/>
    <s v="입"/>
    <x v="55"/>
    <x v="2"/>
    <n v="8000"/>
    <n v="16000"/>
    <n v="6.95"/>
    <n v="2.7800000000000002"/>
    <n v="5.5600000000000005"/>
    <s v="3M Inverse Rope Laces"/>
    <n v="28605"/>
  </r>
  <r>
    <x v="0"/>
    <d v="2017-07-11T00:00:00"/>
    <x v="55"/>
    <x v="2"/>
    <n v="2"/>
    <s v="입"/>
    <x v="55"/>
    <x v="2"/>
    <n v="8000"/>
    <n v="16000"/>
    <n v="6.95"/>
    <n v="2.7800000000000002"/>
    <n v="5.5600000000000005"/>
    <s v="3M Inverse Rope Laces"/>
    <n v="28605"/>
  </r>
  <r>
    <x v="0"/>
    <d v="2017-07-11T00:00:00"/>
    <x v="55"/>
    <x v="3"/>
    <n v="2"/>
    <s v="입"/>
    <x v="55"/>
    <x v="2"/>
    <n v="8000"/>
    <n v="16000"/>
    <n v="6.95"/>
    <n v="2.7800000000000002"/>
    <n v="5.5600000000000005"/>
    <s v="3M Inverse Rope Laces"/>
    <n v="28605"/>
  </r>
  <r>
    <x v="0"/>
    <d v="2017-07-11T00:00:00"/>
    <x v="55"/>
    <x v="4"/>
    <n v="1"/>
    <s v="입"/>
    <x v="55"/>
    <x v="0"/>
    <n v="8000"/>
    <n v="8000"/>
    <n v="6.95"/>
    <n v="2.7800000000000002"/>
    <n v="2.7800000000000002"/>
    <s v="3M Inverse Rope Laces"/>
    <n v="28605"/>
  </r>
  <r>
    <x v="0"/>
    <d v="2017-07-11T00:00:00"/>
    <x v="56"/>
    <x v="1"/>
    <n v="1"/>
    <s v="입"/>
    <x v="56"/>
    <x v="0"/>
    <n v="8000"/>
    <n v="8000"/>
    <n v="6.95"/>
    <n v="2.7800000000000002"/>
    <n v="2.7800000000000002"/>
    <s v="3M Inverse Rope Laces"/>
    <n v="28605"/>
  </r>
  <r>
    <x v="0"/>
    <d v="2017-07-11T00:00:00"/>
    <x v="56"/>
    <x v="3"/>
    <n v="1"/>
    <s v="입"/>
    <x v="56"/>
    <x v="0"/>
    <n v="8000"/>
    <n v="8000"/>
    <n v="6.95"/>
    <n v="2.7800000000000002"/>
    <n v="2.7800000000000002"/>
    <s v="3M Inverse Rope Laces"/>
    <n v="28605"/>
  </r>
  <r>
    <x v="0"/>
    <d v="2017-07-11T00:00:00"/>
    <x v="56"/>
    <x v="4"/>
    <n v="1"/>
    <s v="입"/>
    <x v="56"/>
    <x v="0"/>
    <n v="8000"/>
    <n v="8000"/>
    <n v="6.95"/>
    <n v="2.7800000000000002"/>
    <n v="2.7800000000000002"/>
    <s v="3M Inverse Rope Laces"/>
    <n v="28605"/>
  </r>
  <r>
    <x v="0"/>
    <d v="2017-07-11T00:00:00"/>
    <x v="57"/>
    <x v="1"/>
    <n v="1"/>
    <s v="입"/>
    <x v="57"/>
    <x v="0"/>
    <n v="8000"/>
    <n v="8000"/>
    <n v="6.95"/>
    <n v="2.7800000000000002"/>
    <n v="2.7800000000000002"/>
    <s v="3M Inverse Rope Laces"/>
    <n v="28605"/>
  </r>
  <r>
    <x v="0"/>
    <d v="2017-07-11T00:00:00"/>
    <x v="57"/>
    <x v="3"/>
    <n v="1"/>
    <s v="입"/>
    <x v="57"/>
    <x v="0"/>
    <n v="8000"/>
    <n v="8000"/>
    <n v="6.95"/>
    <n v="2.7800000000000002"/>
    <n v="2.7800000000000002"/>
    <s v="3M Inverse Rope Laces"/>
    <n v="28605"/>
  </r>
  <r>
    <x v="0"/>
    <d v="2017-07-11T00:00:00"/>
    <x v="57"/>
    <x v="4"/>
    <n v="1"/>
    <s v="입"/>
    <x v="57"/>
    <x v="0"/>
    <n v="8000"/>
    <n v="8000"/>
    <n v="6.95"/>
    <n v="2.7800000000000002"/>
    <n v="2.7800000000000002"/>
    <s v="3M Inverse Rope Laces"/>
    <n v="28605"/>
  </r>
  <r>
    <x v="0"/>
    <d v="2017-07-11T00:00:00"/>
    <x v="58"/>
    <x v="1"/>
    <n v="1"/>
    <s v="입"/>
    <x v="58"/>
    <x v="0"/>
    <n v="8000"/>
    <n v="8000"/>
    <n v="6.95"/>
    <n v="2.7800000000000002"/>
    <n v="2.7800000000000002"/>
    <s v="3M Inverse Rope Laces"/>
    <n v="28605"/>
  </r>
  <r>
    <x v="0"/>
    <d v="2017-07-11T00:00:00"/>
    <x v="58"/>
    <x v="3"/>
    <n v="1"/>
    <s v="입"/>
    <x v="58"/>
    <x v="0"/>
    <n v="8000"/>
    <n v="8000"/>
    <n v="6.95"/>
    <n v="2.7800000000000002"/>
    <n v="2.7800000000000002"/>
    <s v="3M Inverse Rope Laces"/>
    <n v="28605"/>
  </r>
  <r>
    <x v="0"/>
    <d v="2017-07-11T00:00:00"/>
    <x v="58"/>
    <x v="4"/>
    <n v="1"/>
    <s v="입"/>
    <x v="58"/>
    <x v="0"/>
    <n v="8000"/>
    <n v="8000"/>
    <n v="6.95"/>
    <n v="2.7800000000000002"/>
    <n v="2.7800000000000002"/>
    <s v="3M Inverse Rope Laces"/>
    <n v="28605"/>
  </r>
  <r>
    <x v="0"/>
    <d v="2017-07-11T00:00:00"/>
    <x v="59"/>
    <x v="1"/>
    <n v="1"/>
    <s v="입"/>
    <x v="59"/>
    <x v="0"/>
    <n v="8000"/>
    <n v="8000"/>
    <n v="6.95"/>
    <n v="2.7800000000000002"/>
    <n v="2.7800000000000002"/>
    <s v="3M Inverse Rope Laces"/>
    <n v="28605"/>
  </r>
  <r>
    <x v="0"/>
    <d v="2017-07-11T00:00:00"/>
    <x v="59"/>
    <x v="3"/>
    <n v="1"/>
    <s v="입"/>
    <x v="59"/>
    <x v="0"/>
    <n v="8000"/>
    <n v="8000"/>
    <n v="6.95"/>
    <n v="2.7800000000000002"/>
    <n v="2.7800000000000002"/>
    <s v="3M Inverse Rope Laces"/>
    <n v="28605"/>
  </r>
  <r>
    <x v="0"/>
    <d v="2017-07-11T00:00:00"/>
    <x v="59"/>
    <x v="4"/>
    <n v="1"/>
    <s v="입"/>
    <x v="59"/>
    <x v="0"/>
    <n v="8000"/>
    <n v="8000"/>
    <n v="6.95"/>
    <n v="2.7800000000000002"/>
    <n v="2.7800000000000002"/>
    <s v="3M Inverse Rope Laces"/>
    <n v="28605"/>
  </r>
  <r>
    <x v="0"/>
    <d v="2017-07-11T00:00:00"/>
    <x v="60"/>
    <x v="1"/>
    <n v="1"/>
    <s v="입"/>
    <x v="60"/>
    <x v="0"/>
    <n v="8000"/>
    <n v="8000"/>
    <n v="6.95"/>
    <n v="2.7800000000000002"/>
    <n v="2.7800000000000002"/>
    <s v="3M Inverse Rope Laces"/>
    <n v="28605"/>
  </r>
  <r>
    <x v="0"/>
    <d v="2017-07-11T00:00:00"/>
    <x v="60"/>
    <x v="3"/>
    <n v="1"/>
    <s v="입"/>
    <x v="60"/>
    <x v="0"/>
    <n v="8000"/>
    <n v="8000"/>
    <n v="6.95"/>
    <n v="2.7800000000000002"/>
    <n v="2.7800000000000002"/>
    <s v="3M Inverse Rope Laces"/>
    <n v="28605"/>
  </r>
  <r>
    <x v="0"/>
    <d v="2017-07-11T00:00:00"/>
    <x v="60"/>
    <x v="4"/>
    <n v="1"/>
    <s v="입"/>
    <x v="60"/>
    <x v="0"/>
    <n v="8000"/>
    <n v="8000"/>
    <n v="6.95"/>
    <n v="2.7800000000000002"/>
    <n v="2.7800000000000002"/>
    <s v="3M Inverse Rope Laces"/>
    <n v="28605"/>
  </r>
  <r>
    <x v="0"/>
    <d v="2017-07-11T00:00:00"/>
    <x v="61"/>
    <x v="1"/>
    <n v="1"/>
    <s v="입"/>
    <x v="61"/>
    <x v="0"/>
    <n v="8000"/>
    <n v="8000"/>
    <n v="6.95"/>
    <n v="2.7800000000000002"/>
    <n v="2.7800000000000002"/>
    <s v="3M Inverse Rope Laces"/>
    <n v="28605"/>
  </r>
  <r>
    <x v="0"/>
    <d v="2017-07-11T00:00:00"/>
    <x v="61"/>
    <x v="3"/>
    <n v="1"/>
    <s v="입"/>
    <x v="61"/>
    <x v="0"/>
    <n v="8000"/>
    <n v="8000"/>
    <n v="6.95"/>
    <n v="2.7800000000000002"/>
    <n v="2.7800000000000002"/>
    <s v="3M Inverse Rope Laces"/>
    <n v="28605"/>
  </r>
  <r>
    <x v="0"/>
    <d v="2017-07-11T00:00:00"/>
    <x v="61"/>
    <x v="4"/>
    <n v="1"/>
    <s v="입"/>
    <x v="61"/>
    <x v="0"/>
    <n v="8000"/>
    <n v="8000"/>
    <n v="6.95"/>
    <n v="2.7800000000000002"/>
    <n v="2.7800000000000002"/>
    <s v="3M Inverse Rope Laces"/>
    <n v="28605"/>
  </r>
  <r>
    <x v="0"/>
    <d v="2017-07-11T00:00:00"/>
    <x v="62"/>
    <x v="3"/>
    <n v="3"/>
    <s v="입"/>
    <x v="62"/>
    <x v="1"/>
    <n v="6000"/>
    <n v="18000"/>
    <n v="4.95"/>
    <n v="1.9800000000000002"/>
    <n v="5.94"/>
    <s v="Shoe Laces"/>
    <n v="28605"/>
  </r>
  <r>
    <x v="0"/>
    <d v="2017-07-11T00:00:00"/>
    <x v="62"/>
    <x v="4"/>
    <n v="3"/>
    <s v="입"/>
    <x v="62"/>
    <x v="1"/>
    <n v="6000"/>
    <n v="18000"/>
    <n v="4.95"/>
    <n v="1.9800000000000002"/>
    <n v="5.94"/>
    <s v="Shoe Laces"/>
    <n v="28605"/>
  </r>
  <r>
    <x v="0"/>
    <d v="2017-07-11T00:00:00"/>
    <x v="62"/>
    <x v="5"/>
    <n v="1"/>
    <s v="입"/>
    <x v="62"/>
    <x v="0"/>
    <n v="6000"/>
    <n v="6000"/>
    <n v="4.95"/>
    <n v="1.9800000000000002"/>
    <n v="1.9800000000000002"/>
    <s v="Shoe Laces"/>
    <n v="28605"/>
  </r>
  <r>
    <x v="0"/>
    <d v="2017-07-11T00:00:00"/>
    <x v="63"/>
    <x v="3"/>
    <n v="3"/>
    <s v="입"/>
    <x v="63"/>
    <x v="1"/>
    <n v="6000"/>
    <n v="18000"/>
    <n v="4.95"/>
    <n v="1.9800000000000002"/>
    <n v="5.94"/>
    <s v="Shoe Laces"/>
    <n v="28605"/>
  </r>
  <r>
    <x v="0"/>
    <d v="2017-07-11T00:00:00"/>
    <x v="63"/>
    <x v="4"/>
    <n v="3"/>
    <s v="입"/>
    <x v="63"/>
    <x v="1"/>
    <n v="6000"/>
    <n v="18000"/>
    <n v="4.95"/>
    <n v="1.9800000000000002"/>
    <n v="5.94"/>
    <s v="Shoe Laces"/>
    <n v="28605"/>
  </r>
  <r>
    <x v="0"/>
    <d v="2017-07-11T00:00:00"/>
    <x v="63"/>
    <x v="5"/>
    <n v="1"/>
    <s v="입"/>
    <x v="63"/>
    <x v="0"/>
    <n v="6000"/>
    <n v="6000"/>
    <n v="4.95"/>
    <n v="1.9800000000000002"/>
    <n v="1.9800000000000002"/>
    <s v="Shoe Laces"/>
    <n v="28605"/>
  </r>
  <r>
    <x v="0"/>
    <d v="2017-07-11T00:00:00"/>
    <x v="64"/>
    <x v="3"/>
    <n v="3"/>
    <s v="입"/>
    <x v="64"/>
    <x v="1"/>
    <n v="6000"/>
    <n v="18000"/>
    <n v="4.95"/>
    <n v="1.9800000000000002"/>
    <n v="5.94"/>
    <s v="Shoe Laces"/>
    <n v="28605"/>
  </r>
  <r>
    <x v="0"/>
    <d v="2017-07-11T00:00:00"/>
    <x v="64"/>
    <x v="4"/>
    <n v="3"/>
    <s v="입"/>
    <x v="64"/>
    <x v="1"/>
    <n v="6000"/>
    <n v="18000"/>
    <n v="4.95"/>
    <n v="1.9800000000000002"/>
    <n v="5.94"/>
    <s v="Shoe Laces"/>
    <n v="28605"/>
  </r>
  <r>
    <x v="0"/>
    <d v="2017-07-11T00:00:00"/>
    <x v="64"/>
    <x v="5"/>
    <n v="1"/>
    <s v="입"/>
    <x v="64"/>
    <x v="0"/>
    <n v="6000"/>
    <n v="6000"/>
    <n v="4.95"/>
    <n v="1.9800000000000002"/>
    <n v="1.9800000000000002"/>
    <s v="Shoe Laces"/>
    <n v="28605"/>
  </r>
  <r>
    <x v="0"/>
    <d v="2017-07-11T00:00:00"/>
    <x v="65"/>
    <x v="3"/>
    <n v="3"/>
    <s v="입"/>
    <x v="65"/>
    <x v="1"/>
    <n v="6000"/>
    <n v="18000"/>
    <n v="4.95"/>
    <n v="1.9800000000000002"/>
    <n v="5.94"/>
    <s v="Shoe Laces"/>
    <n v="28605"/>
  </r>
  <r>
    <x v="0"/>
    <d v="2017-07-11T00:00:00"/>
    <x v="65"/>
    <x v="4"/>
    <n v="3"/>
    <s v="입"/>
    <x v="65"/>
    <x v="1"/>
    <n v="6000"/>
    <n v="18000"/>
    <n v="4.95"/>
    <n v="1.9800000000000002"/>
    <n v="5.94"/>
    <s v="Shoe Laces"/>
    <n v="28605"/>
  </r>
  <r>
    <x v="0"/>
    <d v="2017-07-11T00:00:00"/>
    <x v="65"/>
    <x v="5"/>
    <n v="1"/>
    <s v="입"/>
    <x v="65"/>
    <x v="0"/>
    <n v="6000"/>
    <n v="6000"/>
    <n v="4.95"/>
    <n v="1.9800000000000002"/>
    <n v="1.9800000000000002"/>
    <s v="Shoe Laces"/>
    <n v="28605"/>
  </r>
  <r>
    <x v="0"/>
    <d v="2017-07-11T00:00:00"/>
    <x v="66"/>
    <x v="3"/>
    <n v="3"/>
    <s v="입"/>
    <x v="66"/>
    <x v="1"/>
    <n v="6000"/>
    <n v="18000"/>
    <n v="4.95"/>
    <n v="1.9800000000000002"/>
    <n v="5.94"/>
    <s v="Shoe Laces"/>
    <n v="28605"/>
  </r>
  <r>
    <x v="0"/>
    <d v="2017-07-11T00:00:00"/>
    <x v="66"/>
    <x v="4"/>
    <n v="3"/>
    <s v="입"/>
    <x v="66"/>
    <x v="1"/>
    <n v="6000"/>
    <n v="18000"/>
    <n v="4.95"/>
    <n v="1.9800000000000002"/>
    <n v="5.94"/>
    <s v="Shoe Laces"/>
    <n v="28605"/>
  </r>
  <r>
    <x v="0"/>
    <d v="2017-07-11T00:00:00"/>
    <x v="67"/>
    <x v="3"/>
    <n v="3"/>
    <s v="입"/>
    <x v="67"/>
    <x v="1"/>
    <n v="6000"/>
    <n v="18000"/>
    <n v="4.95"/>
    <n v="1.9800000000000002"/>
    <n v="5.94"/>
    <s v="Shoe Laces"/>
    <n v="28605"/>
  </r>
  <r>
    <x v="0"/>
    <d v="2017-07-11T00:00:00"/>
    <x v="67"/>
    <x v="4"/>
    <n v="3"/>
    <s v="입"/>
    <x v="67"/>
    <x v="1"/>
    <n v="6000"/>
    <n v="18000"/>
    <n v="4.95"/>
    <n v="1.9800000000000002"/>
    <n v="5.94"/>
    <s v="Shoe Laces"/>
    <n v="28605"/>
  </r>
  <r>
    <x v="0"/>
    <d v="2017-07-11T00:00:00"/>
    <x v="68"/>
    <x v="3"/>
    <n v="3"/>
    <s v="입"/>
    <x v="68"/>
    <x v="1"/>
    <n v="6000"/>
    <n v="18000"/>
    <n v="4.95"/>
    <n v="1.9800000000000002"/>
    <n v="5.94"/>
    <s v="Shoe Laces"/>
    <n v="28605"/>
  </r>
  <r>
    <x v="0"/>
    <d v="2017-07-11T00:00:00"/>
    <x v="68"/>
    <x v="4"/>
    <n v="3"/>
    <s v="입"/>
    <x v="68"/>
    <x v="1"/>
    <n v="6000"/>
    <n v="18000"/>
    <n v="4.95"/>
    <n v="1.9800000000000002"/>
    <n v="5.94"/>
    <s v="Shoe Laces"/>
    <n v="28605"/>
  </r>
  <r>
    <x v="0"/>
    <d v="2017-07-11T00:00:00"/>
    <x v="69"/>
    <x v="3"/>
    <n v="3"/>
    <s v="입"/>
    <x v="69"/>
    <x v="1"/>
    <n v="6000"/>
    <n v="18000"/>
    <n v="4.95"/>
    <n v="1.9800000000000002"/>
    <n v="5.94"/>
    <s v="Shoe Laces"/>
    <n v="28605"/>
  </r>
  <r>
    <x v="0"/>
    <d v="2017-07-11T00:00:00"/>
    <x v="69"/>
    <x v="4"/>
    <n v="3"/>
    <s v="입"/>
    <x v="69"/>
    <x v="1"/>
    <n v="6000"/>
    <n v="18000"/>
    <n v="4.95"/>
    <n v="1.9800000000000002"/>
    <n v="5.94"/>
    <s v="Shoe Laces"/>
    <n v="28605"/>
  </r>
  <r>
    <x v="0"/>
    <d v="2017-07-11T00:00:00"/>
    <x v="70"/>
    <x v="3"/>
    <n v="3"/>
    <s v="입"/>
    <x v="70"/>
    <x v="1"/>
    <n v="6000"/>
    <n v="18000"/>
    <n v="4.95"/>
    <n v="1.9800000000000002"/>
    <n v="5.94"/>
    <s v="Shoe Laces"/>
    <n v="28605"/>
  </r>
  <r>
    <x v="0"/>
    <d v="2017-07-11T00:00:00"/>
    <x v="70"/>
    <x v="4"/>
    <n v="3"/>
    <s v="입"/>
    <x v="70"/>
    <x v="1"/>
    <n v="6000"/>
    <n v="18000"/>
    <n v="4.95"/>
    <n v="1.9800000000000002"/>
    <n v="5.94"/>
    <s v="Shoe Laces"/>
    <n v="28605"/>
  </r>
  <r>
    <x v="0"/>
    <d v="2017-07-11T00:00:00"/>
    <x v="70"/>
    <x v="5"/>
    <n v="1"/>
    <s v="입"/>
    <x v="70"/>
    <x v="0"/>
    <n v="6000"/>
    <n v="6000"/>
    <n v="4.95"/>
    <n v="1.9800000000000002"/>
    <n v="1.9800000000000002"/>
    <s v="Shoe Laces"/>
    <n v="28605"/>
  </r>
  <r>
    <x v="0"/>
    <d v="2017-07-11T00:00:00"/>
    <x v="71"/>
    <x v="3"/>
    <n v="3"/>
    <s v="입"/>
    <x v="71"/>
    <x v="1"/>
    <n v="6000"/>
    <n v="18000"/>
    <n v="4.95"/>
    <n v="1.9800000000000002"/>
    <n v="5.94"/>
    <s v="Shoe Laces"/>
    <n v="28605"/>
  </r>
  <r>
    <x v="0"/>
    <d v="2017-07-11T00:00:00"/>
    <x v="71"/>
    <x v="4"/>
    <n v="3"/>
    <s v="입"/>
    <x v="71"/>
    <x v="1"/>
    <n v="6000"/>
    <n v="18000"/>
    <n v="4.95"/>
    <n v="1.9800000000000002"/>
    <n v="5.94"/>
    <s v="Shoe Laces"/>
    <n v="28605"/>
  </r>
  <r>
    <x v="0"/>
    <d v="2017-07-11T00:00:00"/>
    <x v="72"/>
    <x v="3"/>
    <n v="3"/>
    <s v="입"/>
    <x v="72"/>
    <x v="1"/>
    <n v="6000"/>
    <n v="18000"/>
    <n v="4.95"/>
    <n v="1.9800000000000002"/>
    <n v="5.94"/>
    <s v="Shoe Laces"/>
    <n v="28605"/>
  </r>
  <r>
    <x v="0"/>
    <d v="2017-07-11T00:00:00"/>
    <x v="72"/>
    <x v="4"/>
    <n v="3"/>
    <s v="입"/>
    <x v="72"/>
    <x v="1"/>
    <n v="6000"/>
    <n v="18000"/>
    <n v="4.95"/>
    <n v="1.9800000000000002"/>
    <n v="5.94"/>
    <s v="Shoe Laces"/>
    <n v="28605"/>
  </r>
  <r>
    <x v="0"/>
    <d v="2017-07-11T00:00:00"/>
    <x v="73"/>
    <x v="3"/>
    <n v="3"/>
    <s v="입"/>
    <x v="73"/>
    <x v="1"/>
    <n v="6000"/>
    <n v="18000"/>
    <n v="4.95"/>
    <n v="1.9800000000000002"/>
    <n v="5.94"/>
    <s v="Shoe Laces"/>
    <n v="28605"/>
  </r>
  <r>
    <x v="0"/>
    <d v="2017-07-11T00:00:00"/>
    <x v="73"/>
    <x v="4"/>
    <n v="3"/>
    <s v="입"/>
    <x v="73"/>
    <x v="1"/>
    <n v="6000"/>
    <n v="18000"/>
    <n v="4.95"/>
    <n v="1.9800000000000002"/>
    <n v="5.94"/>
    <s v="Shoe Laces"/>
    <n v="28605"/>
  </r>
  <r>
    <x v="0"/>
    <d v="2017-07-11T00:00:00"/>
    <x v="74"/>
    <x v="3"/>
    <n v="3"/>
    <s v="입"/>
    <x v="74"/>
    <x v="1"/>
    <n v="6000"/>
    <n v="18000"/>
    <n v="4.95"/>
    <n v="1.9800000000000002"/>
    <n v="5.94"/>
    <s v="Shoe Laces"/>
    <n v="28605"/>
  </r>
  <r>
    <x v="0"/>
    <d v="2017-07-11T00:00:00"/>
    <x v="74"/>
    <x v="4"/>
    <n v="3"/>
    <s v="입"/>
    <x v="74"/>
    <x v="1"/>
    <n v="6000"/>
    <n v="18000"/>
    <n v="4.95"/>
    <n v="1.9800000000000002"/>
    <n v="5.94"/>
    <s v="Shoe Laces"/>
    <n v="28605"/>
  </r>
  <r>
    <x v="0"/>
    <d v="2017-07-11T00:00:00"/>
    <x v="75"/>
    <x v="3"/>
    <n v="3"/>
    <s v="입"/>
    <x v="75"/>
    <x v="1"/>
    <n v="6000"/>
    <n v="18000"/>
    <n v="4.95"/>
    <n v="1.9800000000000002"/>
    <n v="5.94"/>
    <s v="Shoe Laces"/>
    <n v="28605"/>
  </r>
  <r>
    <x v="0"/>
    <d v="2017-07-11T00:00:00"/>
    <x v="75"/>
    <x v="4"/>
    <n v="3"/>
    <s v="입"/>
    <x v="75"/>
    <x v="1"/>
    <n v="6000"/>
    <n v="18000"/>
    <n v="4.95"/>
    <n v="1.9800000000000002"/>
    <n v="5.94"/>
    <s v="Shoe Laces"/>
    <n v="28605"/>
  </r>
  <r>
    <x v="0"/>
    <d v="2017-07-11T00:00:00"/>
    <x v="76"/>
    <x v="3"/>
    <n v="3"/>
    <s v="입"/>
    <x v="76"/>
    <x v="1"/>
    <n v="6000"/>
    <n v="18000"/>
    <n v="4.95"/>
    <n v="1.9800000000000002"/>
    <n v="5.94"/>
    <s v="Shoe Laces"/>
    <n v="28605"/>
  </r>
  <r>
    <x v="0"/>
    <d v="2017-07-11T00:00:00"/>
    <x v="76"/>
    <x v="4"/>
    <n v="3"/>
    <s v="입"/>
    <x v="76"/>
    <x v="1"/>
    <n v="6000"/>
    <n v="18000"/>
    <n v="4.95"/>
    <n v="1.9800000000000002"/>
    <n v="5.94"/>
    <s v="Shoe Laces"/>
    <n v="28605"/>
  </r>
  <r>
    <x v="0"/>
    <d v="2017-07-11T00:00:00"/>
    <x v="77"/>
    <x v="3"/>
    <n v="3"/>
    <s v="입"/>
    <x v="77"/>
    <x v="1"/>
    <n v="6000"/>
    <n v="18000"/>
    <n v="4.95"/>
    <n v="1.9800000000000002"/>
    <n v="5.94"/>
    <s v="Shoe Laces"/>
    <n v="28605"/>
  </r>
  <r>
    <x v="0"/>
    <d v="2017-07-11T00:00:00"/>
    <x v="77"/>
    <x v="4"/>
    <n v="3"/>
    <s v="입"/>
    <x v="77"/>
    <x v="1"/>
    <n v="6000"/>
    <n v="18000"/>
    <n v="4.95"/>
    <n v="1.9800000000000002"/>
    <n v="5.94"/>
    <s v="Shoe Laces"/>
    <n v="28605"/>
  </r>
  <r>
    <x v="0"/>
    <d v="2017-07-11T00:00:00"/>
    <x v="78"/>
    <x v="3"/>
    <n v="3"/>
    <s v="입"/>
    <x v="78"/>
    <x v="1"/>
    <n v="6000"/>
    <n v="18000"/>
    <n v="4.95"/>
    <n v="1.9800000000000002"/>
    <n v="5.94"/>
    <s v="Shoe Laces"/>
    <n v="28605"/>
  </r>
  <r>
    <x v="0"/>
    <d v="2017-07-11T00:00:00"/>
    <x v="78"/>
    <x v="4"/>
    <n v="3"/>
    <s v="입"/>
    <x v="78"/>
    <x v="1"/>
    <n v="6000"/>
    <n v="18000"/>
    <n v="4.95"/>
    <n v="1.9800000000000002"/>
    <n v="5.94"/>
    <s v="Shoe Laces"/>
    <n v="28605"/>
  </r>
  <r>
    <x v="0"/>
    <d v="2017-07-11T00:00:00"/>
    <x v="79"/>
    <x v="3"/>
    <n v="3"/>
    <s v="입"/>
    <x v="79"/>
    <x v="1"/>
    <n v="6000"/>
    <n v="18000"/>
    <n v="4.95"/>
    <n v="1.9800000000000002"/>
    <n v="5.94"/>
    <s v="Shoe Laces"/>
    <n v="28605"/>
  </r>
  <r>
    <x v="0"/>
    <d v="2017-07-11T00:00:00"/>
    <x v="79"/>
    <x v="4"/>
    <n v="3"/>
    <s v="입"/>
    <x v="79"/>
    <x v="1"/>
    <n v="6000"/>
    <n v="18000"/>
    <n v="4.95"/>
    <n v="1.9800000000000002"/>
    <n v="5.94"/>
    <s v="Shoe Laces"/>
    <n v="28605"/>
  </r>
  <r>
    <x v="0"/>
    <d v="2017-07-11T00:00:00"/>
    <x v="80"/>
    <x v="3"/>
    <n v="3"/>
    <s v="입"/>
    <x v="80"/>
    <x v="1"/>
    <n v="6000"/>
    <n v="18000"/>
    <n v="4.95"/>
    <n v="1.9800000000000002"/>
    <n v="5.94"/>
    <s v="Shoe Laces"/>
    <n v="28605"/>
  </r>
  <r>
    <x v="0"/>
    <d v="2017-07-11T00:00:00"/>
    <x v="80"/>
    <x v="4"/>
    <n v="3"/>
    <s v="입"/>
    <x v="80"/>
    <x v="1"/>
    <n v="6000"/>
    <n v="18000"/>
    <n v="4.95"/>
    <n v="1.9800000000000002"/>
    <n v="5.94"/>
    <s v="Shoe Laces"/>
    <n v="28605"/>
  </r>
  <r>
    <x v="0"/>
    <d v="2017-07-11T00:00:00"/>
    <x v="81"/>
    <x v="3"/>
    <n v="3"/>
    <s v="입"/>
    <x v="81"/>
    <x v="1"/>
    <n v="6000"/>
    <n v="18000"/>
    <n v="4.95"/>
    <n v="1.9800000000000002"/>
    <n v="5.94"/>
    <s v="Shoe Laces"/>
    <n v="28605"/>
  </r>
  <r>
    <x v="0"/>
    <d v="2017-07-11T00:00:00"/>
    <x v="81"/>
    <x v="4"/>
    <n v="3"/>
    <s v="입"/>
    <x v="81"/>
    <x v="1"/>
    <n v="6000"/>
    <n v="18000"/>
    <n v="4.95"/>
    <n v="1.9800000000000002"/>
    <n v="5.94"/>
    <s v="Shoe Laces"/>
    <n v="28605"/>
  </r>
  <r>
    <x v="0"/>
    <d v="2017-07-11T00:00:00"/>
    <x v="82"/>
    <x v="3"/>
    <n v="3"/>
    <s v="입"/>
    <x v="82"/>
    <x v="1"/>
    <n v="6000"/>
    <n v="18000"/>
    <n v="4.95"/>
    <n v="1.9800000000000002"/>
    <n v="5.94"/>
    <s v="Shoe Laces"/>
    <n v="28605"/>
  </r>
  <r>
    <x v="0"/>
    <d v="2017-07-11T00:00:00"/>
    <x v="82"/>
    <x v="4"/>
    <n v="3"/>
    <s v="입"/>
    <x v="82"/>
    <x v="1"/>
    <n v="6000"/>
    <n v="18000"/>
    <n v="4.95"/>
    <n v="1.9800000000000002"/>
    <n v="5.94"/>
    <s v="Shoe Laces"/>
    <n v="28605"/>
  </r>
  <r>
    <x v="0"/>
    <d v="2017-07-11T00:00:00"/>
    <x v="83"/>
    <x v="3"/>
    <n v="3"/>
    <s v="입"/>
    <x v="83"/>
    <x v="1"/>
    <n v="6000"/>
    <n v="18000"/>
    <n v="4.95"/>
    <n v="1.9800000000000002"/>
    <n v="5.94"/>
    <s v="Shoe Laces"/>
    <n v="28605"/>
  </r>
  <r>
    <x v="0"/>
    <d v="2017-07-11T00:00:00"/>
    <x v="83"/>
    <x v="4"/>
    <n v="3"/>
    <s v="입"/>
    <x v="83"/>
    <x v="1"/>
    <n v="6000"/>
    <n v="18000"/>
    <n v="4.95"/>
    <n v="1.9800000000000002"/>
    <n v="5.94"/>
    <s v="Shoe Laces"/>
    <n v="28605"/>
  </r>
  <r>
    <x v="0"/>
    <d v="2017-07-11T00:00:00"/>
    <x v="84"/>
    <x v="3"/>
    <n v="3"/>
    <s v="입"/>
    <x v="84"/>
    <x v="1"/>
    <n v="6000"/>
    <n v="18000"/>
    <n v="4.95"/>
    <n v="1.9800000000000002"/>
    <n v="5.94"/>
    <s v="Shoe Laces"/>
    <n v="28605"/>
  </r>
  <r>
    <x v="0"/>
    <d v="2017-07-11T00:00:00"/>
    <x v="84"/>
    <x v="4"/>
    <n v="3"/>
    <s v="입"/>
    <x v="84"/>
    <x v="1"/>
    <n v="6000"/>
    <n v="18000"/>
    <n v="4.95"/>
    <n v="1.9800000000000002"/>
    <n v="5.94"/>
    <s v="Shoe Laces"/>
    <n v="28605"/>
  </r>
  <r>
    <x v="0"/>
    <d v="2017-07-11T00:00:00"/>
    <x v="85"/>
    <x v="3"/>
    <n v="3"/>
    <s v="입"/>
    <x v="85"/>
    <x v="1"/>
    <n v="6000"/>
    <n v="18000"/>
    <n v="4.95"/>
    <n v="1.9800000000000002"/>
    <n v="5.94"/>
    <s v="Shoe Laces"/>
    <n v="28605"/>
  </r>
  <r>
    <x v="0"/>
    <d v="2017-07-11T00:00:00"/>
    <x v="85"/>
    <x v="4"/>
    <n v="3"/>
    <s v="입"/>
    <x v="85"/>
    <x v="1"/>
    <n v="6000"/>
    <n v="18000"/>
    <n v="4.95"/>
    <n v="1.9800000000000002"/>
    <n v="5.94"/>
    <s v="Shoe Laces"/>
    <n v="28605"/>
  </r>
  <r>
    <x v="0"/>
    <d v="2017-07-11T00:00:00"/>
    <x v="86"/>
    <x v="3"/>
    <n v="3"/>
    <s v="입"/>
    <x v="86"/>
    <x v="1"/>
    <n v="6000"/>
    <n v="18000"/>
    <n v="4.95"/>
    <n v="1.9800000000000002"/>
    <n v="5.94"/>
    <s v="Shoe Laces"/>
    <n v="28605"/>
  </r>
  <r>
    <x v="0"/>
    <d v="2017-07-11T00:00:00"/>
    <x v="86"/>
    <x v="4"/>
    <n v="1"/>
    <s v="입"/>
    <x v="86"/>
    <x v="0"/>
    <n v="6000"/>
    <n v="6000"/>
    <n v="4.95"/>
    <n v="1.9800000000000002"/>
    <n v="1.9800000000000002"/>
    <s v="Shoe Laces"/>
    <n v="28605"/>
  </r>
  <r>
    <x v="0"/>
    <d v="2017-07-11T00:00:00"/>
    <x v="87"/>
    <x v="3"/>
    <n v="3"/>
    <s v="입"/>
    <x v="87"/>
    <x v="1"/>
    <n v="6000"/>
    <n v="18000"/>
    <n v="4.95"/>
    <n v="1.9800000000000002"/>
    <n v="5.94"/>
    <s v="Shoe Laces"/>
    <n v="28605"/>
  </r>
  <r>
    <x v="0"/>
    <d v="2017-07-11T00:00:00"/>
    <x v="87"/>
    <x v="4"/>
    <n v="3"/>
    <s v="입"/>
    <x v="87"/>
    <x v="1"/>
    <n v="6000"/>
    <n v="18000"/>
    <n v="4.95"/>
    <n v="1.9800000000000002"/>
    <n v="5.94"/>
    <s v="Shoe Laces"/>
    <n v="28605"/>
  </r>
  <r>
    <x v="0"/>
    <d v="2017-07-11T00:00:00"/>
    <x v="88"/>
    <x v="3"/>
    <n v="3"/>
    <s v="입"/>
    <x v="88"/>
    <x v="1"/>
    <n v="6000"/>
    <n v="18000"/>
    <n v="4.95"/>
    <n v="1.9800000000000002"/>
    <n v="5.94"/>
    <s v="Shoe Laces"/>
    <n v="28605"/>
  </r>
  <r>
    <x v="0"/>
    <d v="2017-07-11T00:00:00"/>
    <x v="88"/>
    <x v="4"/>
    <n v="3"/>
    <s v="입"/>
    <x v="88"/>
    <x v="1"/>
    <n v="6000"/>
    <n v="18000"/>
    <n v="4.95"/>
    <n v="1.9800000000000002"/>
    <n v="5.94"/>
    <s v="Shoe Laces"/>
    <n v="28605"/>
  </r>
  <r>
    <x v="0"/>
    <d v="2017-07-11T00:00:00"/>
    <x v="89"/>
    <x v="3"/>
    <n v="3"/>
    <s v="입"/>
    <x v="89"/>
    <x v="1"/>
    <n v="6000"/>
    <n v="18000"/>
    <n v="4.95"/>
    <n v="1.9800000000000002"/>
    <n v="5.94"/>
    <s v="Shoe Laces"/>
    <n v="28605"/>
  </r>
  <r>
    <x v="0"/>
    <d v="2017-07-11T00:00:00"/>
    <x v="89"/>
    <x v="4"/>
    <n v="3"/>
    <s v="입"/>
    <x v="89"/>
    <x v="1"/>
    <n v="6000"/>
    <n v="18000"/>
    <n v="4.95"/>
    <n v="1.9800000000000002"/>
    <n v="5.94"/>
    <s v="Shoe Laces"/>
    <n v="28605"/>
  </r>
  <r>
    <x v="0"/>
    <d v="2017-07-11T00:00:00"/>
    <x v="90"/>
    <x v="3"/>
    <n v="3"/>
    <s v="입"/>
    <x v="90"/>
    <x v="1"/>
    <n v="6000"/>
    <n v="18000"/>
    <n v="4.95"/>
    <n v="1.9800000000000002"/>
    <n v="5.94"/>
    <s v="Shoe Laces"/>
    <n v="28605"/>
  </r>
  <r>
    <x v="0"/>
    <d v="2017-07-11T00:00:00"/>
    <x v="90"/>
    <x v="4"/>
    <n v="3"/>
    <s v="입"/>
    <x v="90"/>
    <x v="1"/>
    <n v="6000"/>
    <n v="18000"/>
    <n v="4.95"/>
    <n v="1.9800000000000002"/>
    <n v="5.94"/>
    <s v="Shoe Laces"/>
    <n v="28605"/>
  </r>
  <r>
    <x v="0"/>
    <d v="2017-07-11T00:00:00"/>
    <x v="91"/>
    <x v="3"/>
    <n v="3"/>
    <s v="입"/>
    <x v="91"/>
    <x v="1"/>
    <n v="6000"/>
    <n v="18000"/>
    <n v="4.95"/>
    <n v="1.9800000000000002"/>
    <n v="5.94"/>
    <s v="Shoe Laces"/>
    <n v="28605"/>
  </r>
  <r>
    <x v="0"/>
    <d v="2017-07-11T00:00:00"/>
    <x v="91"/>
    <x v="4"/>
    <n v="3"/>
    <s v="입"/>
    <x v="91"/>
    <x v="1"/>
    <n v="6000"/>
    <n v="18000"/>
    <n v="4.95"/>
    <n v="1.9800000000000002"/>
    <n v="5.94"/>
    <s v="Shoe Laces"/>
    <n v="28605"/>
  </r>
  <r>
    <x v="0"/>
    <d v="2017-07-11T00:00:00"/>
    <x v="92"/>
    <x v="3"/>
    <n v="3"/>
    <s v="입"/>
    <x v="92"/>
    <x v="1"/>
    <n v="6000"/>
    <n v="18000"/>
    <n v="4.95"/>
    <n v="1.9800000000000002"/>
    <n v="5.94"/>
    <s v="Shoe Laces"/>
    <n v="28605"/>
  </r>
  <r>
    <x v="0"/>
    <d v="2017-07-11T00:00:00"/>
    <x v="92"/>
    <x v="4"/>
    <n v="3"/>
    <s v="입"/>
    <x v="92"/>
    <x v="1"/>
    <n v="6000"/>
    <n v="18000"/>
    <n v="4.95"/>
    <n v="1.9800000000000002"/>
    <n v="5.94"/>
    <s v="Shoe Laces"/>
    <n v="28605"/>
  </r>
  <r>
    <x v="0"/>
    <d v="2017-07-11T00:00:00"/>
    <x v="93"/>
    <x v="3"/>
    <n v="3"/>
    <s v="입"/>
    <x v="93"/>
    <x v="1"/>
    <n v="6000"/>
    <n v="18000"/>
    <n v="4.95"/>
    <n v="1.9800000000000002"/>
    <n v="5.94"/>
    <s v="Shoe Laces"/>
    <n v="28605"/>
  </r>
  <r>
    <x v="0"/>
    <d v="2017-07-11T00:00:00"/>
    <x v="93"/>
    <x v="4"/>
    <n v="3"/>
    <s v="입"/>
    <x v="93"/>
    <x v="1"/>
    <n v="6000"/>
    <n v="18000"/>
    <n v="4.95"/>
    <n v="1.9800000000000002"/>
    <n v="5.94"/>
    <s v="Shoe Laces"/>
    <n v="28605"/>
  </r>
  <r>
    <x v="0"/>
    <d v="2017-07-11T00:00:00"/>
    <x v="94"/>
    <x v="3"/>
    <n v="3"/>
    <s v="입"/>
    <x v="94"/>
    <x v="1"/>
    <n v="6000"/>
    <n v="18000"/>
    <n v="4.95"/>
    <n v="1.9800000000000002"/>
    <n v="5.94"/>
    <s v="Shoe Laces"/>
    <n v="28605"/>
  </r>
  <r>
    <x v="0"/>
    <d v="2017-07-11T00:00:00"/>
    <x v="94"/>
    <x v="4"/>
    <n v="3"/>
    <s v="입"/>
    <x v="94"/>
    <x v="1"/>
    <n v="6000"/>
    <n v="18000"/>
    <n v="4.95"/>
    <n v="1.9800000000000002"/>
    <n v="5.94"/>
    <s v="Shoe Laces"/>
    <n v="28605"/>
  </r>
  <r>
    <x v="0"/>
    <d v="2017-07-11T00:00:00"/>
    <x v="95"/>
    <x v="3"/>
    <n v="3"/>
    <s v="입"/>
    <x v="95"/>
    <x v="1"/>
    <n v="6000"/>
    <n v="18000"/>
    <n v="4.95"/>
    <n v="1.9800000000000002"/>
    <n v="5.94"/>
    <s v="Shoe Laces"/>
    <n v="28605"/>
  </r>
  <r>
    <x v="0"/>
    <d v="2017-07-11T00:00:00"/>
    <x v="95"/>
    <x v="4"/>
    <n v="3"/>
    <s v="입"/>
    <x v="95"/>
    <x v="1"/>
    <n v="6000"/>
    <n v="18000"/>
    <n v="4.95"/>
    <n v="1.9800000000000002"/>
    <n v="5.94"/>
    <s v="Shoe Laces"/>
    <n v="28605"/>
  </r>
  <r>
    <x v="0"/>
    <d v="2017-07-11T00:00:00"/>
    <x v="96"/>
    <x v="3"/>
    <n v="3"/>
    <s v="입"/>
    <x v="96"/>
    <x v="1"/>
    <n v="6000"/>
    <n v="18000"/>
    <n v="4.95"/>
    <n v="1.9800000000000002"/>
    <n v="5.94"/>
    <s v="Shoe Laces"/>
    <n v="28605"/>
  </r>
  <r>
    <x v="0"/>
    <d v="2017-07-11T00:00:00"/>
    <x v="96"/>
    <x v="4"/>
    <n v="3"/>
    <s v="입"/>
    <x v="96"/>
    <x v="1"/>
    <n v="6000"/>
    <n v="18000"/>
    <n v="4.95"/>
    <n v="1.9800000000000002"/>
    <n v="5.94"/>
    <s v="Shoe Laces"/>
    <n v="28605"/>
  </r>
  <r>
    <x v="0"/>
    <d v="2017-07-11T00:00:00"/>
    <x v="97"/>
    <x v="2"/>
    <n v="2"/>
    <s v="입"/>
    <x v="97"/>
    <x v="2"/>
    <n v="8000"/>
    <n v="16000"/>
    <n v="6.95"/>
    <n v="2.7800000000000002"/>
    <n v="5.5600000000000005"/>
    <s v="Reflective Flat Laces"/>
    <n v="28605"/>
  </r>
  <r>
    <x v="0"/>
    <d v="2017-07-11T00:00:00"/>
    <x v="97"/>
    <x v="3"/>
    <n v="2"/>
    <s v="입"/>
    <x v="97"/>
    <x v="2"/>
    <n v="8000"/>
    <n v="16000"/>
    <n v="6.95"/>
    <n v="2.7800000000000002"/>
    <n v="5.5600000000000005"/>
    <s v="Reflective Flat Laces"/>
    <n v="28605"/>
  </r>
  <r>
    <x v="0"/>
    <d v="2017-07-11T00:00:00"/>
    <x v="97"/>
    <x v="4"/>
    <n v="1"/>
    <s v="입"/>
    <x v="97"/>
    <x v="0"/>
    <n v="8000"/>
    <n v="8000"/>
    <n v="6.95"/>
    <n v="2.7800000000000002"/>
    <n v="2.7800000000000002"/>
    <s v="Reflective Flat Laces"/>
    <n v="28605"/>
  </r>
  <r>
    <x v="0"/>
    <d v="2017-07-11T00:00:00"/>
    <x v="98"/>
    <x v="2"/>
    <n v="2"/>
    <s v="입"/>
    <x v="98"/>
    <x v="2"/>
    <n v="8000"/>
    <n v="16000"/>
    <n v="6.95"/>
    <n v="2.7800000000000002"/>
    <n v="5.5600000000000005"/>
    <s v="Reflective Flat Laces"/>
    <n v="28605"/>
  </r>
  <r>
    <x v="0"/>
    <d v="2017-07-11T00:00:00"/>
    <x v="98"/>
    <x v="3"/>
    <n v="2"/>
    <s v="입"/>
    <x v="98"/>
    <x v="2"/>
    <n v="8000"/>
    <n v="16000"/>
    <n v="6.95"/>
    <n v="2.7800000000000002"/>
    <n v="5.5600000000000005"/>
    <s v="Reflective Flat Laces"/>
    <n v="28605"/>
  </r>
  <r>
    <x v="0"/>
    <d v="2017-07-11T00:00:00"/>
    <x v="98"/>
    <x v="4"/>
    <n v="1"/>
    <s v="입"/>
    <x v="98"/>
    <x v="0"/>
    <n v="8000"/>
    <n v="8000"/>
    <n v="6.95"/>
    <n v="2.7800000000000002"/>
    <n v="2.7800000000000002"/>
    <s v="Reflective Flat Laces"/>
    <n v="28605"/>
  </r>
  <r>
    <x v="0"/>
    <d v="2017-07-11T00:00:00"/>
    <x v="99"/>
    <x v="3"/>
    <n v="2"/>
    <s v="입"/>
    <x v="99"/>
    <x v="2"/>
    <n v="8000"/>
    <n v="16000"/>
    <n v="6.95"/>
    <n v="2.7800000000000002"/>
    <n v="5.5600000000000005"/>
    <s v="Reflective Flat Laces"/>
    <n v="28605"/>
  </r>
  <r>
    <x v="0"/>
    <d v="2017-07-11T00:00:00"/>
    <x v="99"/>
    <x v="4"/>
    <n v="1"/>
    <s v="입"/>
    <x v="99"/>
    <x v="0"/>
    <n v="8000"/>
    <n v="8000"/>
    <n v="6.95"/>
    <n v="2.7800000000000002"/>
    <n v="2.7800000000000002"/>
    <s v="Reflective Flat Laces"/>
    <n v="28605"/>
  </r>
  <r>
    <x v="0"/>
    <d v="2017-07-11T00:00:00"/>
    <x v="100"/>
    <x v="3"/>
    <n v="2"/>
    <s v="입"/>
    <x v="100"/>
    <x v="2"/>
    <n v="8000"/>
    <n v="16000"/>
    <n v="6.95"/>
    <n v="2.7800000000000002"/>
    <n v="5.5600000000000005"/>
    <s v="Reflective Flat Laces"/>
    <n v="28605"/>
  </r>
  <r>
    <x v="0"/>
    <d v="2017-07-11T00:00:00"/>
    <x v="100"/>
    <x v="4"/>
    <n v="1"/>
    <s v="입"/>
    <x v="100"/>
    <x v="0"/>
    <n v="8000"/>
    <n v="8000"/>
    <n v="6.95"/>
    <n v="2.7800000000000002"/>
    <n v="2.7800000000000002"/>
    <s v="Reflective Flat Laces"/>
    <n v="28605"/>
  </r>
  <r>
    <x v="0"/>
    <d v="2017-07-11T00:00:00"/>
    <x v="101"/>
    <x v="2"/>
    <n v="2"/>
    <s v="입"/>
    <x v="101"/>
    <x v="2"/>
    <n v="8000"/>
    <n v="16000"/>
    <n v="6.95"/>
    <n v="2.7800000000000002"/>
    <n v="5.5600000000000005"/>
    <s v="Reflective Flat Laces"/>
    <n v="28605"/>
  </r>
  <r>
    <x v="0"/>
    <d v="2017-07-11T00:00:00"/>
    <x v="101"/>
    <x v="3"/>
    <n v="2"/>
    <s v="입"/>
    <x v="101"/>
    <x v="2"/>
    <n v="8000"/>
    <n v="16000"/>
    <n v="6.95"/>
    <n v="2.7800000000000002"/>
    <n v="5.5600000000000005"/>
    <s v="Reflective Flat Laces"/>
    <n v="28605"/>
  </r>
  <r>
    <x v="0"/>
    <d v="2017-07-11T00:00:00"/>
    <x v="101"/>
    <x v="4"/>
    <n v="1"/>
    <s v="입"/>
    <x v="101"/>
    <x v="0"/>
    <n v="8000"/>
    <n v="8000"/>
    <n v="6.95"/>
    <n v="2.7800000000000002"/>
    <n v="2.7800000000000002"/>
    <s v="Reflective Flat Laces"/>
    <n v="28605"/>
  </r>
  <r>
    <x v="0"/>
    <d v="2017-07-11T00:00:00"/>
    <x v="102"/>
    <x v="2"/>
    <n v="2"/>
    <s v="입"/>
    <x v="102"/>
    <x v="2"/>
    <n v="8000"/>
    <n v="16000"/>
    <n v="6.95"/>
    <n v="2.7800000000000002"/>
    <n v="5.5600000000000005"/>
    <s v="Reflective Flat Laces"/>
    <n v="28605"/>
  </r>
  <r>
    <x v="0"/>
    <d v="2017-07-11T00:00:00"/>
    <x v="102"/>
    <x v="3"/>
    <n v="2"/>
    <s v="입"/>
    <x v="102"/>
    <x v="2"/>
    <n v="8000"/>
    <n v="16000"/>
    <n v="6.95"/>
    <n v="2.7800000000000002"/>
    <n v="5.5600000000000005"/>
    <s v="Reflective Flat Laces"/>
    <n v="28605"/>
  </r>
  <r>
    <x v="0"/>
    <d v="2017-07-11T00:00:00"/>
    <x v="102"/>
    <x v="4"/>
    <n v="1"/>
    <s v="입"/>
    <x v="102"/>
    <x v="0"/>
    <n v="8000"/>
    <n v="8000"/>
    <n v="6.95"/>
    <n v="2.7800000000000002"/>
    <n v="2.7800000000000002"/>
    <s v="Reflective Flat Laces"/>
    <n v="28605"/>
  </r>
  <r>
    <x v="0"/>
    <d v="2017-07-11T00:00:00"/>
    <x v="103"/>
    <x v="3"/>
    <n v="1"/>
    <s v="입"/>
    <x v="103"/>
    <x v="0"/>
    <n v="8000"/>
    <n v="8000"/>
    <n v="6.95"/>
    <n v="2.7800000000000002"/>
    <n v="2.7800000000000002"/>
    <s v="Reflective Flat Laces"/>
    <n v="28605"/>
  </r>
  <r>
    <x v="0"/>
    <d v="2017-07-11T00:00:00"/>
    <x v="103"/>
    <x v="4"/>
    <n v="1"/>
    <s v="입"/>
    <x v="103"/>
    <x v="0"/>
    <n v="8000"/>
    <n v="8000"/>
    <n v="6.95"/>
    <n v="2.7800000000000002"/>
    <n v="2.7800000000000002"/>
    <s v="Reflective Flat Laces"/>
    <n v="28605"/>
  </r>
  <r>
    <x v="0"/>
    <d v="2017-07-11T00:00:00"/>
    <x v="104"/>
    <x v="3"/>
    <n v="1"/>
    <s v="입"/>
    <x v="104"/>
    <x v="0"/>
    <n v="8000"/>
    <n v="8000"/>
    <n v="6.95"/>
    <n v="2.7800000000000002"/>
    <n v="2.7800000000000002"/>
    <s v="Reflective Flat Laces"/>
    <n v="28605"/>
  </r>
  <r>
    <x v="0"/>
    <d v="2017-07-11T00:00:00"/>
    <x v="104"/>
    <x v="4"/>
    <n v="1"/>
    <s v="입"/>
    <x v="104"/>
    <x v="0"/>
    <n v="8000"/>
    <n v="8000"/>
    <n v="6.95"/>
    <n v="2.7800000000000002"/>
    <n v="2.7800000000000002"/>
    <s v="Reflective Flat Laces"/>
    <n v="28605"/>
  </r>
  <r>
    <x v="0"/>
    <d v="2017-07-11T00:00:00"/>
    <x v="105"/>
    <x v="3"/>
    <n v="1"/>
    <s v="입"/>
    <x v="105"/>
    <x v="0"/>
    <n v="8000"/>
    <n v="8000"/>
    <n v="6.95"/>
    <n v="2.7800000000000002"/>
    <n v="2.7800000000000002"/>
    <s v="Reflective Flat Laces"/>
    <n v="28605"/>
  </r>
  <r>
    <x v="0"/>
    <d v="2017-07-11T00:00:00"/>
    <x v="105"/>
    <x v="4"/>
    <n v="1"/>
    <s v="입"/>
    <x v="105"/>
    <x v="0"/>
    <n v="8000"/>
    <n v="8000"/>
    <n v="6.95"/>
    <n v="2.7800000000000002"/>
    <n v="2.7800000000000002"/>
    <s v="Reflective Flat Laces"/>
    <n v="28605"/>
  </r>
  <r>
    <x v="0"/>
    <d v="2017-07-11T00:00:00"/>
    <x v="106"/>
    <x v="3"/>
    <n v="1"/>
    <s v="입"/>
    <x v="106"/>
    <x v="0"/>
    <n v="8000"/>
    <n v="8000"/>
    <n v="6.95"/>
    <n v="2.7800000000000002"/>
    <n v="2.7800000000000002"/>
    <s v="Reflective Flat Laces"/>
    <n v="28605"/>
  </r>
  <r>
    <x v="0"/>
    <d v="2017-07-11T00:00:00"/>
    <x v="106"/>
    <x v="4"/>
    <n v="1"/>
    <s v="입"/>
    <x v="106"/>
    <x v="0"/>
    <n v="8000"/>
    <n v="8000"/>
    <n v="6.95"/>
    <n v="2.7800000000000002"/>
    <n v="2.7800000000000002"/>
    <s v="Reflective Flat Laces"/>
    <n v="28605"/>
  </r>
  <r>
    <x v="0"/>
    <d v="2017-07-11T00:00:00"/>
    <x v="107"/>
    <x v="3"/>
    <n v="1"/>
    <s v="입"/>
    <x v="107"/>
    <x v="0"/>
    <n v="8000"/>
    <n v="8000"/>
    <n v="6.95"/>
    <n v="2.7800000000000002"/>
    <n v="2.7800000000000002"/>
    <s v="Reflective Flat Laces"/>
    <n v="28605"/>
  </r>
  <r>
    <x v="0"/>
    <d v="2017-07-11T00:00:00"/>
    <x v="107"/>
    <x v="4"/>
    <n v="1"/>
    <s v="입"/>
    <x v="107"/>
    <x v="0"/>
    <n v="8000"/>
    <n v="8000"/>
    <n v="6.95"/>
    <n v="2.7800000000000002"/>
    <n v="2.7800000000000002"/>
    <s v="Reflective Flat Laces"/>
    <n v="28605"/>
  </r>
  <r>
    <x v="0"/>
    <d v="2017-07-11T00:00:00"/>
    <x v="108"/>
    <x v="3"/>
    <n v="1"/>
    <s v="입"/>
    <x v="108"/>
    <x v="0"/>
    <n v="8000"/>
    <n v="8000"/>
    <n v="4.95"/>
    <n v="1.9800000000000002"/>
    <n v="1.9800000000000002"/>
    <s v="Reflective Flat Laces"/>
    <n v="28605"/>
  </r>
  <r>
    <x v="0"/>
    <d v="2017-07-11T00:00:00"/>
    <x v="108"/>
    <x v="4"/>
    <n v="1"/>
    <s v="입"/>
    <x v="108"/>
    <x v="0"/>
    <n v="8000"/>
    <n v="8000"/>
    <n v="4.95"/>
    <n v="1.9800000000000002"/>
    <n v="1.9800000000000002"/>
    <s v="Reflective Flat Laces"/>
    <n v="28605"/>
  </r>
  <r>
    <x v="0"/>
    <d v="2017-07-11T00:00:00"/>
    <x v="109"/>
    <x v="3"/>
    <n v="1"/>
    <s v="입"/>
    <x v="109"/>
    <x v="0"/>
    <n v="8000"/>
    <n v="8000"/>
    <n v="4.95"/>
    <n v="1.9800000000000002"/>
    <n v="1.9800000000000002"/>
    <s v="Reflective Flat Laces"/>
    <n v="28605"/>
  </r>
  <r>
    <x v="0"/>
    <d v="2017-07-11T00:00:00"/>
    <x v="109"/>
    <x v="4"/>
    <n v="1"/>
    <s v="입"/>
    <x v="109"/>
    <x v="0"/>
    <n v="8000"/>
    <n v="8000"/>
    <n v="4.95"/>
    <n v="1.9800000000000002"/>
    <n v="1.9800000000000002"/>
    <s v="Reflective Flat Laces"/>
    <n v="28605"/>
  </r>
  <r>
    <x v="0"/>
    <d v="2017-07-11T00:00:00"/>
    <x v="110"/>
    <x v="3"/>
    <n v="1"/>
    <s v="입"/>
    <x v="110"/>
    <x v="0"/>
    <n v="8000"/>
    <n v="8000"/>
    <n v="4.95"/>
    <n v="1.9800000000000002"/>
    <n v="1.9800000000000002"/>
    <s v="Reflective Flat Laces"/>
    <n v="28605"/>
  </r>
  <r>
    <x v="0"/>
    <d v="2017-07-11T00:00:00"/>
    <x v="110"/>
    <x v="4"/>
    <n v="1"/>
    <s v="입"/>
    <x v="110"/>
    <x v="0"/>
    <n v="8000"/>
    <n v="8000"/>
    <n v="4.95"/>
    <n v="1.9800000000000002"/>
    <n v="1.9800000000000002"/>
    <s v="Reflective Flat Laces"/>
    <n v="28605"/>
  </r>
  <r>
    <x v="0"/>
    <d v="2017-07-11T00:00:00"/>
    <x v="111"/>
    <x v="3"/>
    <n v="1"/>
    <s v="입"/>
    <x v="111"/>
    <x v="0"/>
    <n v="8000"/>
    <n v="8000"/>
    <n v="6.95"/>
    <n v="2.7800000000000002"/>
    <n v="2.7800000000000002"/>
    <s v="Reflective Flat Laces"/>
    <n v="28605"/>
  </r>
  <r>
    <x v="0"/>
    <d v="2017-07-11T00:00:00"/>
    <x v="111"/>
    <x v="4"/>
    <n v="1"/>
    <s v="입"/>
    <x v="111"/>
    <x v="0"/>
    <n v="8000"/>
    <n v="8000"/>
    <n v="6.95"/>
    <n v="2.7800000000000002"/>
    <n v="2.7800000000000002"/>
    <s v="Reflective Flat Laces"/>
    <n v="28605"/>
  </r>
  <r>
    <x v="0"/>
    <d v="2017-07-11T00:00:00"/>
    <x v="112"/>
    <x v="3"/>
    <n v="1"/>
    <s v="입"/>
    <x v="112"/>
    <x v="0"/>
    <n v="8000"/>
    <n v="8000"/>
    <n v="6.95"/>
    <n v="2.7800000000000002"/>
    <n v="2.7800000000000002"/>
    <s v="Reflective Flat Laces"/>
    <n v="28605"/>
  </r>
  <r>
    <x v="0"/>
    <d v="2017-07-11T00:00:00"/>
    <x v="112"/>
    <x v="4"/>
    <n v="1"/>
    <s v="입"/>
    <x v="112"/>
    <x v="0"/>
    <n v="8000"/>
    <n v="8000"/>
    <n v="6.95"/>
    <n v="2.7800000000000002"/>
    <n v="2.7800000000000002"/>
    <s v="Reflective Flat Laces"/>
    <n v="28605"/>
  </r>
  <r>
    <x v="0"/>
    <d v="2017-07-11T00:00:00"/>
    <x v="113"/>
    <x v="3"/>
    <n v="2"/>
    <s v="입"/>
    <x v="113"/>
    <x v="2"/>
    <n v="7000"/>
    <n v="14000"/>
    <n v="5.95"/>
    <n v="2.3800000000000003"/>
    <n v="4.7600000000000007"/>
    <s v="XI Rope Laces"/>
    <n v="28605"/>
  </r>
  <r>
    <x v="0"/>
    <d v="2017-07-11T00:00:00"/>
    <x v="113"/>
    <x v="4"/>
    <n v="2"/>
    <s v="입"/>
    <x v="113"/>
    <x v="2"/>
    <n v="7000"/>
    <n v="14000"/>
    <n v="5.95"/>
    <n v="2.3800000000000003"/>
    <n v="4.7600000000000007"/>
    <s v="XI Rope Laces"/>
    <n v="28605"/>
  </r>
  <r>
    <x v="0"/>
    <d v="2017-07-11T00:00:00"/>
    <x v="114"/>
    <x v="3"/>
    <n v="1"/>
    <s v="입"/>
    <x v="114"/>
    <x v="0"/>
    <n v="7000"/>
    <n v="7000"/>
    <n v="5.95"/>
    <n v="2.3800000000000003"/>
    <n v="2.3800000000000003"/>
    <s v="XI Rope Laces"/>
    <n v="28605"/>
  </r>
  <r>
    <x v="0"/>
    <d v="2017-07-11T00:00:00"/>
    <x v="114"/>
    <x v="4"/>
    <n v="1"/>
    <s v="입"/>
    <x v="114"/>
    <x v="0"/>
    <n v="7000"/>
    <n v="7000"/>
    <n v="5.95"/>
    <n v="2.3800000000000003"/>
    <n v="2.3800000000000003"/>
    <s v="XI Rope Laces"/>
    <n v="28605"/>
  </r>
  <r>
    <x v="0"/>
    <d v="2017-07-11T00:00:00"/>
    <x v="115"/>
    <x v="3"/>
    <n v="0"/>
    <s v="입"/>
    <x v="115"/>
    <x v="3"/>
    <n v="7000"/>
    <n v="0"/>
    <n v="5.95"/>
    <n v="2.3800000000000003"/>
    <n v="0"/>
    <s v="XI Rope Laces"/>
    <n v="28605"/>
  </r>
  <r>
    <x v="0"/>
    <d v="2017-07-11T00:00:00"/>
    <x v="115"/>
    <x v="4"/>
    <n v="2"/>
    <s v="입"/>
    <x v="115"/>
    <x v="2"/>
    <n v="7000"/>
    <n v="14000"/>
    <n v="5.95"/>
    <n v="2.3800000000000003"/>
    <n v="4.7600000000000007"/>
    <s v="XI Rope Laces"/>
    <n v="28605"/>
  </r>
  <r>
    <x v="0"/>
    <d v="2017-07-11T00:00:00"/>
    <x v="116"/>
    <x v="3"/>
    <n v="1"/>
    <s v="입"/>
    <x v="116"/>
    <x v="0"/>
    <n v="7000"/>
    <n v="7000"/>
    <n v="5.95"/>
    <n v="2.3800000000000003"/>
    <n v="2.3800000000000003"/>
    <s v="XI Rope Laces"/>
    <n v="28605"/>
  </r>
  <r>
    <x v="0"/>
    <d v="2017-07-11T00:00:00"/>
    <x v="116"/>
    <x v="4"/>
    <n v="1"/>
    <s v="입"/>
    <x v="116"/>
    <x v="0"/>
    <n v="7000"/>
    <n v="7000"/>
    <n v="5.95"/>
    <n v="2.3800000000000003"/>
    <n v="2.3800000000000003"/>
    <s v="XI Rope Laces"/>
    <n v="28605"/>
  </r>
  <r>
    <x v="0"/>
    <d v="2017-07-11T00:00:00"/>
    <x v="117"/>
    <x v="3"/>
    <n v="3"/>
    <s v="입"/>
    <x v="117"/>
    <x v="1"/>
    <n v="7000"/>
    <n v="21000"/>
    <n v="5.95"/>
    <n v="2.3800000000000003"/>
    <n v="7.1400000000000006"/>
    <s v="XI Rope Laces"/>
    <n v="28605"/>
  </r>
  <r>
    <x v="0"/>
    <d v="2017-07-11T00:00:00"/>
    <x v="117"/>
    <x v="4"/>
    <n v="1"/>
    <s v="입"/>
    <x v="117"/>
    <x v="0"/>
    <n v="7000"/>
    <n v="7000"/>
    <n v="5.95"/>
    <n v="2.3800000000000003"/>
    <n v="2.3800000000000003"/>
    <s v="XI Rope Laces"/>
    <n v="28605"/>
  </r>
  <r>
    <x v="0"/>
    <d v="2017-07-11T00:00:00"/>
    <x v="118"/>
    <x v="3"/>
    <n v="1"/>
    <s v="입"/>
    <x v="118"/>
    <x v="0"/>
    <n v="7000"/>
    <n v="7000"/>
    <n v="5.95"/>
    <n v="2.3800000000000003"/>
    <n v="2.3800000000000003"/>
    <s v="XI Rope Laces"/>
    <n v="28605"/>
  </r>
  <r>
    <x v="0"/>
    <d v="2017-07-11T00:00:00"/>
    <x v="118"/>
    <x v="4"/>
    <n v="1"/>
    <s v="입"/>
    <x v="118"/>
    <x v="0"/>
    <n v="7000"/>
    <n v="7000"/>
    <n v="5.95"/>
    <n v="2.3800000000000003"/>
    <n v="2.3800000000000003"/>
    <s v="XI Rope Laces"/>
    <n v="28605"/>
  </r>
  <r>
    <x v="0"/>
    <d v="2017-07-11T00:00:00"/>
    <x v="119"/>
    <x v="3"/>
    <n v="2"/>
    <s v="입"/>
    <x v="119"/>
    <x v="2"/>
    <n v="7000"/>
    <n v="14000"/>
    <n v="5.95"/>
    <n v="2.3800000000000003"/>
    <n v="4.7600000000000007"/>
    <s v="XI Rope Laces"/>
    <n v="28605"/>
  </r>
  <r>
    <x v="0"/>
    <d v="2017-07-11T00:00:00"/>
    <x v="119"/>
    <x v="4"/>
    <n v="2"/>
    <s v="입"/>
    <x v="119"/>
    <x v="2"/>
    <n v="7000"/>
    <n v="14000"/>
    <n v="5.95"/>
    <n v="2.3800000000000003"/>
    <n v="4.7600000000000007"/>
    <s v="XI Rope Laces"/>
    <n v="28605"/>
  </r>
  <r>
    <x v="0"/>
    <d v="2017-07-11T00:00:00"/>
    <x v="120"/>
    <x v="3"/>
    <n v="2"/>
    <s v="입"/>
    <x v="120"/>
    <x v="2"/>
    <n v="7000"/>
    <n v="14000"/>
    <n v="5.95"/>
    <n v="2.3800000000000003"/>
    <n v="4.7600000000000007"/>
    <s v="XI Rope Laces"/>
    <n v="28605"/>
  </r>
  <r>
    <x v="0"/>
    <d v="2017-07-11T00:00:00"/>
    <x v="120"/>
    <x v="4"/>
    <n v="2"/>
    <s v="입"/>
    <x v="120"/>
    <x v="2"/>
    <n v="7000"/>
    <n v="14000"/>
    <n v="5.95"/>
    <n v="2.3800000000000003"/>
    <n v="4.7600000000000007"/>
    <s v="XI Rope Laces"/>
    <n v="28605"/>
  </r>
  <r>
    <x v="0"/>
    <d v="2017-07-11T00:00:00"/>
    <x v="121"/>
    <x v="3"/>
    <n v="2"/>
    <s v="입"/>
    <x v="121"/>
    <x v="2"/>
    <n v="7000"/>
    <n v="14000"/>
    <n v="5.95"/>
    <n v="2.3800000000000003"/>
    <n v="4.7600000000000007"/>
    <s v="XI Rope Laces"/>
    <n v="28605"/>
  </r>
  <r>
    <x v="0"/>
    <d v="2017-07-11T00:00:00"/>
    <x v="121"/>
    <x v="4"/>
    <n v="2"/>
    <s v="입"/>
    <x v="121"/>
    <x v="2"/>
    <n v="7000"/>
    <n v="14000"/>
    <n v="5.95"/>
    <n v="2.3800000000000003"/>
    <n v="4.7600000000000007"/>
    <s v="XI Rope Laces"/>
    <n v="28605"/>
  </r>
  <r>
    <x v="0"/>
    <d v="2017-07-11T00:00:00"/>
    <x v="122"/>
    <x v="3"/>
    <n v="2"/>
    <s v="입"/>
    <x v="122"/>
    <x v="2"/>
    <n v="7000"/>
    <n v="14000"/>
    <n v="5.95"/>
    <n v="2.3800000000000003"/>
    <n v="4.7600000000000007"/>
    <s v="XI Rope Laces"/>
    <n v="28605"/>
  </r>
  <r>
    <x v="0"/>
    <d v="2017-07-11T00:00:00"/>
    <x v="122"/>
    <x v="4"/>
    <n v="2"/>
    <s v="입"/>
    <x v="122"/>
    <x v="2"/>
    <n v="7000"/>
    <n v="14000"/>
    <n v="5.95"/>
    <n v="2.3800000000000003"/>
    <n v="4.7600000000000007"/>
    <s v="XI Rope Laces"/>
    <n v="28605"/>
  </r>
  <r>
    <x v="0"/>
    <d v="2017-07-11T00:00:00"/>
    <x v="123"/>
    <x v="1"/>
    <n v="3"/>
    <s v="입"/>
    <x v="123"/>
    <x v="1"/>
    <n v="5000"/>
    <n v="15000"/>
    <n v="3.95"/>
    <n v="1.58"/>
    <n v="4.74"/>
    <s v="Roshe-Style Laces"/>
    <n v="28605"/>
  </r>
  <r>
    <x v="0"/>
    <d v="2017-07-11T00:00:00"/>
    <x v="124"/>
    <x v="1"/>
    <n v="3"/>
    <s v="입"/>
    <x v="124"/>
    <x v="1"/>
    <n v="5000"/>
    <n v="15000"/>
    <n v="3.95"/>
    <n v="1.58"/>
    <n v="4.74"/>
    <s v="Roshe-Style Laces"/>
    <n v="28605"/>
  </r>
  <r>
    <x v="0"/>
    <d v="2017-07-11T00:00:00"/>
    <x v="125"/>
    <x v="1"/>
    <n v="3"/>
    <s v="입"/>
    <x v="125"/>
    <x v="1"/>
    <n v="5000"/>
    <n v="15000"/>
    <n v="3.95"/>
    <n v="1.58"/>
    <n v="4.74"/>
    <s v="Roshe-Style Laces"/>
    <n v="28605"/>
  </r>
  <r>
    <x v="0"/>
    <d v="2017-07-11T00:00:00"/>
    <x v="126"/>
    <x v="1"/>
    <n v="3"/>
    <s v="입"/>
    <x v="126"/>
    <x v="1"/>
    <n v="5000"/>
    <n v="15000"/>
    <n v="3.95"/>
    <n v="1.58"/>
    <n v="4.74"/>
    <s v="Roshe-Style Laces"/>
    <n v="28605"/>
  </r>
  <r>
    <x v="0"/>
    <d v="2017-07-11T00:00:00"/>
    <x v="127"/>
    <x v="1"/>
    <n v="3"/>
    <s v="입"/>
    <x v="127"/>
    <x v="1"/>
    <n v="5000"/>
    <n v="15000"/>
    <n v="3.95"/>
    <n v="1.58"/>
    <n v="4.74"/>
    <s v="Roshe-Style Laces"/>
    <n v="28605"/>
  </r>
  <r>
    <x v="0"/>
    <d v="2017-07-11T00:00:00"/>
    <x v="128"/>
    <x v="1"/>
    <n v="3"/>
    <s v="입"/>
    <x v="128"/>
    <x v="1"/>
    <n v="5000"/>
    <n v="15000"/>
    <n v="3.95"/>
    <n v="1.58"/>
    <n v="4.74"/>
    <s v="Roshe-Style Laces"/>
    <n v="28605"/>
  </r>
  <r>
    <x v="0"/>
    <d v="2017-07-11T00:00:00"/>
    <x v="129"/>
    <x v="1"/>
    <n v="3"/>
    <s v="입"/>
    <x v="129"/>
    <x v="1"/>
    <n v="5000"/>
    <n v="15000"/>
    <n v="3.95"/>
    <n v="1.58"/>
    <n v="4.74"/>
    <s v="Roshe-Style Laces"/>
    <n v="28605"/>
  </r>
  <r>
    <x v="0"/>
    <d v="2017-07-11T00:00:00"/>
    <x v="130"/>
    <x v="1"/>
    <n v="3"/>
    <s v="입"/>
    <x v="130"/>
    <x v="1"/>
    <n v="5000"/>
    <n v="15000"/>
    <n v="3.95"/>
    <n v="1.58"/>
    <n v="4.74"/>
    <s v="Roshe-Style Laces"/>
    <n v="28605"/>
  </r>
  <r>
    <x v="0"/>
    <d v="2017-07-11T00:00:00"/>
    <x v="131"/>
    <x v="1"/>
    <n v="3"/>
    <s v="입"/>
    <x v="131"/>
    <x v="1"/>
    <n v="5000"/>
    <n v="15000"/>
    <n v="3.95"/>
    <n v="1.58"/>
    <n v="4.74"/>
    <s v="Roshe-Style Laces"/>
    <n v="28605"/>
  </r>
  <r>
    <x v="0"/>
    <d v="2017-07-11T00:00:00"/>
    <x v="132"/>
    <x v="1"/>
    <n v="3"/>
    <s v="입"/>
    <x v="132"/>
    <x v="1"/>
    <n v="5000"/>
    <n v="15000"/>
    <n v="3.95"/>
    <n v="1.58"/>
    <n v="4.74"/>
    <s v="Roshe-Style Laces"/>
    <n v="28605"/>
  </r>
  <r>
    <x v="0"/>
    <d v="2017-07-11T00:00:00"/>
    <x v="133"/>
    <x v="1"/>
    <n v="3"/>
    <s v="입"/>
    <x v="133"/>
    <x v="1"/>
    <n v="5000"/>
    <n v="15000"/>
    <n v="3.95"/>
    <n v="1.58"/>
    <n v="4.74"/>
    <s v="Roshe-Style Laces"/>
    <n v="28605"/>
  </r>
  <r>
    <x v="0"/>
    <d v="2017-07-11T00:00:00"/>
    <x v="134"/>
    <x v="1"/>
    <n v="3"/>
    <s v="입"/>
    <x v="134"/>
    <x v="1"/>
    <n v="5000"/>
    <n v="15000"/>
    <n v="3.95"/>
    <n v="1.58"/>
    <n v="4.74"/>
    <s v="Roshe-Style Laces"/>
    <n v="28605"/>
  </r>
  <r>
    <x v="0"/>
    <d v="2017-07-11T00:00:00"/>
    <x v="135"/>
    <x v="1"/>
    <n v="3"/>
    <s v="입"/>
    <x v="135"/>
    <x v="1"/>
    <n v="5000"/>
    <n v="15000"/>
    <n v="3.95"/>
    <n v="1.58"/>
    <n v="4.74"/>
    <s v="Roshe-Style Laces"/>
    <n v="28605"/>
  </r>
  <r>
    <x v="0"/>
    <d v="2017-07-11T00:00:00"/>
    <x v="136"/>
    <x v="1"/>
    <n v="2"/>
    <s v="입"/>
    <x v="136"/>
    <x v="2"/>
    <n v="25000"/>
    <n v="50000"/>
    <n v="19.95"/>
    <n v="7.98"/>
    <n v="15.96"/>
    <s v="Luxury Leather Laces"/>
    <n v="28605"/>
  </r>
  <r>
    <x v="0"/>
    <d v="2017-07-11T00:00:00"/>
    <x v="136"/>
    <x v="3"/>
    <n v="3"/>
    <s v="입"/>
    <x v="136"/>
    <x v="1"/>
    <n v="25000"/>
    <n v="75000"/>
    <n v="19.95"/>
    <n v="7.98"/>
    <n v="23.94"/>
    <s v="Luxury Leather Laces"/>
    <n v="28605"/>
  </r>
  <r>
    <x v="0"/>
    <d v="2017-07-11T00:00:00"/>
    <x v="136"/>
    <x v="4"/>
    <n v="3"/>
    <s v="입"/>
    <x v="136"/>
    <x v="1"/>
    <n v="25000"/>
    <n v="75000"/>
    <n v="19.95"/>
    <n v="7.98"/>
    <n v="23.94"/>
    <s v="Luxury Leather Laces"/>
    <n v="28605"/>
  </r>
  <r>
    <x v="0"/>
    <d v="2017-07-11T00:00:00"/>
    <x v="136"/>
    <x v="5"/>
    <n v="2"/>
    <s v="입"/>
    <x v="136"/>
    <x v="2"/>
    <n v="25000"/>
    <n v="50000"/>
    <n v="19.95"/>
    <n v="7.98"/>
    <n v="15.96"/>
    <s v="Luxury Leather Laces"/>
    <n v="28605"/>
  </r>
  <r>
    <x v="0"/>
    <d v="2017-07-11T00:00:00"/>
    <x v="137"/>
    <x v="1"/>
    <n v="2"/>
    <s v="입"/>
    <x v="137"/>
    <x v="2"/>
    <n v="25000"/>
    <n v="50000"/>
    <n v="19.95"/>
    <n v="7.98"/>
    <n v="15.96"/>
    <s v="Luxury Leather Laces"/>
    <n v="28605"/>
  </r>
  <r>
    <x v="0"/>
    <d v="2017-07-11T00:00:00"/>
    <x v="137"/>
    <x v="3"/>
    <n v="3"/>
    <s v="입"/>
    <x v="137"/>
    <x v="1"/>
    <n v="25000"/>
    <n v="75000"/>
    <n v="19.95"/>
    <n v="7.98"/>
    <n v="23.94"/>
    <s v="Luxury Leather Laces"/>
    <n v="28605"/>
  </r>
  <r>
    <x v="0"/>
    <d v="2017-07-11T00:00:00"/>
    <x v="137"/>
    <x v="4"/>
    <n v="3"/>
    <s v="입"/>
    <x v="137"/>
    <x v="1"/>
    <n v="25000"/>
    <n v="75000"/>
    <n v="19.95"/>
    <n v="7.98"/>
    <n v="23.94"/>
    <s v="Luxury Leather Laces"/>
    <n v="28605"/>
  </r>
  <r>
    <x v="0"/>
    <d v="2017-07-11T00:00:00"/>
    <x v="137"/>
    <x v="5"/>
    <n v="2"/>
    <s v="입"/>
    <x v="137"/>
    <x v="2"/>
    <n v="25000"/>
    <n v="50000"/>
    <n v="19.95"/>
    <n v="7.98"/>
    <n v="15.96"/>
    <s v="Luxury Leather Laces"/>
    <n v="28605"/>
  </r>
  <r>
    <x v="0"/>
    <d v="2017-07-11T00:00:00"/>
    <x v="138"/>
    <x v="1"/>
    <n v="2"/>
    <s v="입"/>
    <x v="138"/>
    <x v="2"/>
    <n v="25000"/>
    <n v="50000"/>
    <n v="19.95"/>
    <n v="7.98"/>
    <n v="15.96"/>
    <s v="Luxury Leather Laces"/>
    <n v="28605"/>
  </r>
  <r>
    <x v="0"/>
    <d v="2017-07-11T00:00:00"/>
    <x v="138"/>
    <x v="3"/>
    <n v="3"/>
    <s v="입"/>
    <x v="138"/>
    <x v="1"/>
    <n v="25000"/>
    <n v="75000"/>
    <n v="19.95"/>
    <n v="7.98"/>
    <n v="23.94"/>
    <s v="Luxury Leather Laces"/>
    <n v="28605"/>
  </r>
  <r>
    <x v="0"/>
    <d v="2017-07-11T00:00:00"/>
    <x v="138"/>
    <x v="4"/>
    <n v="3"/>
    <s v="입"/>
    <x v="138"/>
    <x v="1"/>
    <n v="25000"/>
    <n v="75000"/>
    <n v="19.95"/>
    <n v="7.98"/>
    <n v="23.94"/>
    <s v="Luxury Leather Laces"/>
    <n v="28605"/>
  </r>
  <r>
    <x v="0"/>
    <d v="2017-07-11T00:00:00"/>
    <x v="138"/>
    <x v="5"/>
    <n v="2"/>
    <s v="입"/>
    <x v="138"/>
    <x v="2"/>
    <n v="25000"/>
    <n v="50000"/>
    <n v="19.95"/>
    <n v="7.98"/>
    <n v="15.96"/>
    <s v="Luxury Leather Laces"/>
    <n v="28605"/>
  </r>
  <r>
    <x v="0"/>
    <d v="2017-07-11T00:00:00"/>
    <x v="139"/>
    <x v="1"/>
    <n v="1"/>
    <s v="입"/>
    <x v="139"/>
    <x v="0"/>
    <n v="25000"/>
    <n v="25000"/>
    <n v="19.95"/>
    <n v="7.98"/>
    <n v="7.98"/>
    <s v="Luxury Leather Laces"/>
    <n v="28605"/>
  </r>
  <r>
    <x v="0"/>
    <d v="2017-07-11T00:00:00"/>
    <x v="139"/>
    <x v="3"/>
    <n v="1"/>
    <s v="입"/>
    <x v="139"/>
    <x v="0"/>
    <n v="25000"/>
    <n v="25000"/>
    <n v="19.95"/>
    <n v="7.98"/>
    <n v="7.98"/>
    <s v="Luxury Leather Laces"/>
    <n v="28605"/>
  </r>
  <r>
    <x v="0"/>
    <d v="2017-07-11T00:00:00"/>
    <x v="139"/>
    <x v="4"/>
    <n v="1"/>
    <s v="입"/>
    <x v="139"/>
    <x v="0"/>
    <n v="25000"/>
    <n v="25000"/>
    <n v="19.95"/>
    <n v="7.98"/>
    <n v="7.98"/>
    <s v="Luxury Leather Laces"/>
    <n v="28605"/>
  </r>
  <r>
    <x v="0"/>
    <d v="2017-07-11T00:00:00"/>
    <x v="139"/>
    <x v="5"/>
    <n v="1"/>
    <s v="입"/>
    <x v="139"/>
    <x v="0"/>
    <n v="25000"/>
    <n v="25000"/>
    <n v="19.95"/>
    <n v="7.98"/>
    <n v="7.98"/>
    <s v="Luxury Leather Laces"/>
    <n v="28605"/>
  </r>
  <r>
    <x v="0"/>
    <d v="2017-07-11T00:00:00"/>
    <x v="140"/>
    <x v="1"/>
    <n v="1"/>
    <s v="입"/>
    <x v="140"/>
    <x v="0"/>
    <n v="25000"/>
    <n v="25000"/>
    <n v="19.95"/>
    <n v="7.98"/>
    <n v="7.98"/>
    <s v="Luxury Leather Laces"/>
    <n v="28605"/>
  </r>
  <r>
    <x v="0"/>
    <d v="2017-07-11T00:00:00"/>
    <x v="140"/>
    <x v="3"/>
    <n v="1"/>
    <s v="입"/>
    <x v="140"/>
    <x v="0"/>
    <n v="25000"/>
    <n v="25000"/>
    <n v="19.95"/>
    <n v="7.98"/>
    <n v="7.98"/>
    <s v="Luxury Leather Laces"/>
    <n v="28605"/>
  </r>
  <r>
    <x v="0"/>
    <d v="2017-07-11T00:00:00"/>
    <x v="140"/>
    <x v="4"/>
    <n v="1"/>
    <s v="입"/>
    <x v="140"/>
    <x v="0"/>
    <n v="25000"/>
    <n v="25000"/>
    <n v="19.95"/>
    <n v="7.98"/>
    <n v="7.98"/>
    <s v="Luxury Leather Laces"/>
    <n v="28605"/>
  </r>
  <r>
    <x v="0"/>
    <d v="2017-07-11T00:00:00"/>
    <x v="140"/>
    <x v="5"/>
    <n v="1"/>
    <s v="입"/>
    <x v="140"/>
    <x v="0"/>
    <n v="25000"/>
    <n v="25000"/>
    <n v="19.95"/>
    <n v="7.98"/>
    <n v="7.98"/>
    <s v="Luxury Leather Laces"/>
    <n v="28605"/>
  </r>
  <r>
    <x v="0"/>
    <d v="2017-07-11T00:00:00"/>
    <x v="141"/>
    <x v="1"/>
    <n v="1"/>
    <s v="입"/>
    <x v="141"/>
    <x v="0"/>
    <n v="25000"/>
    <n v="25000"/>
    <n v="19.95"/>
    <n v="7.98"/>
    <n v="7.98"/>
    <s v="Luxury Leather Laces"/>
    <n v="28605"/>
  </r>
  <r>
    <x v="0"/>
    <d v="2017-07-11T00:00:00"/>
    <x v="141"/>
    <x v="3"/>
    <n v="1"/>
    <s v="입"/>
    <x v="141"/>
    <x v="0"/>
    <n v="25000"/>
    <n v="25000"/>
    <n v="19.95"/>
    <n v="7.98"/>
    <n v="7.98"/>
    <s v="Luxury Leather Laces"/>
    <n v="28605"/>
  </r>
  <r>
    <x v="0"/>
    <d v="2017-07-11T00:00:00"/>
    <x v="141"/>
    <x v="4"/>
    <n v="1"/>
    <s v="입"/>
    <x v="141"/>
    <x v="0"/>
    <n v="25000"/>
    <n v="25000"/>
    <n v="19.95"/>
    <n v="7.98"/>
    <n v="7.98"/>
    <s v="Luxury Leather Laces"/>
    <n v="28605"/>
  </r>
  <r>
    <x v="0"/>
    <d v="2017-07-11T00:00:00"/>
    <x v="141"/>
    <x v="5"/>
    <n v="1"/>
    <s v="입"/>
    <x v="141"/>
    <x v="0"/>
    <n v="25000"/>
    <n v="25000"/>
    <n v="19.95"/>
    <n v="7.98"/>
    <n v="7.98"/>
    <s v="Luxury Leather Laces"/>
    <n v="28605"/>
  </r>
  <r>
    <x v="0"/>
    <d v="2017-07-11T00:00:00"/>
    <x v="142"/>
    <x v="1"/>
    <n v="1"/>
    <s v="입"/>
    <x v="142"/>
    <x v="0"/>
    <n v="25000"/>
    <n v="25000"/>
    <n v="19.95"/>
    <n v="7.98"/>
    <n v="7.98"/>
    <s v="Luxury Leather Laces"/>
    <n v="28605"/>
  </r>
  <r>
    <x v="0"/>
    <d v="2017-07-11T00:00:00"/>
    <x v="142"/>
    <x v="3"/>
    <n v="1"/>
    <s v="입"/>
    <x v="142"/>
    <x v="0"/>
    <n v="25000"/>
    <n v="25000"/>
    <n v="19.95"/>
    <n v="7.98"/>
    <n v="7.98"/>
    <s v="Luxury Leather Laces"/>
    <n v="28605"/>
  </r>
  <r>
    <x v="0"/>
    <d v="2017-07-11T00:00:00"/>
    <x v="142"/>
    <x v="4"/>
    <n v="1"/>
    <s v="입"/>
    <x v="142"/>
    <x v="0"/>
    <n v="25000"/>
    <n v="25000"/>
    <n v="19.95"/>
    <n v="7.98"/>
    <n v="7.98"/>
    <s v="Luxury Leather Laces"/>
    <n v="28605"/>
  </r>
  <r>
    <x v="0"/>
    <d v="2017-07-11T00:00:00"/>
    <x v="142"/>
    <x v="5"/>
    <n v="1"/>
    <s v="입"/>
    <x v="142"/>
    <x v="0"/>
    <n v="25000"/>
    <n v="25000"/>
    <n v="19.95"/>
    <n v="7.98"/>
    <n v="7.98"/>
    <s v="Luxury Leather Laces"/>
    <n v="28605"/>
  </r>
  <r>
    <x v="0"/>
    <d v="2017-07-11T00:00:00"/>
    <x v="143"/>
    <x v="1"/>
    <n v="1"/>
    <s v="입"/>
    <x v="143"/>
    <x v="0"/>
    <n v="25000"/>
    <n v="25000"/>
    <n v="19.95"/>
    <n v="7.98"/>
    <n v="7.98"/>
    <s v="Luxury Leather Laces"/>
    <n v="28605"/>
  </r>
  <r>
    <x v="0"/>
    <d v="2017-07-11T00:00:00"/>
    <x v="143"/>
    <x v="3"/>
    <n v="1"/>
    <s v="입"/>
    <x v="143"/>
    <x v="0"/>
    <n v="25000"/>
    <n v="25000"/>
    <n v="19.95"/>
    <n v="7.98"/>
    <n v="7.98"/>
    <s v="Luxury Leather Laces"/>
    <n v="28605"/>
  </r>
  <r>
    <x v="0"/>
    <d v="2017-07-11T00:00:00"/>
    <x v="143"/>
    <x v="4"/>
    <n v="1"/>
    <s v="입"/>
    <x v="143"/>
    <x v="0"/>
    <n v="25000"/>
    <n v="25000"/>
    <n v="19.95"/>
    <n v="7.98"/>
    <n v="7.98"/>
    <s v="Luxury Leather Laces"/>
    <n v="28605"/>
  </r>
  <r>
    <x v="0"/>
    <d v="2017-07-11T00:00:00"/>
    <x v="143"/>
    <x v="5"/>
    <n v="1"/>
    <s v="입"/>
    <x v="143"/>
    <x v="0"/>
    <n v="25000"/>
    <n v="25000"/>
    <n v="19.95"/>
    <n v="7.98"/>
    <n v="7.98"/>
    <s v="Luxury Leather Laces"/>
    <n v="28605"/>
  </r>
  <r>
    <x v="0"/>
    <d v="2017-07-11T00:00:00"/>
    <x v="144"/>
    <x v="1"/>
    <n v="1"/>
    <s v="입"/>
    <x v="144"/>
    <x v="0"/>
    <n v="25000"/>
    <n v="25000"/>
    <n v="19.95"/>
    <n v="7.98"/>
    <n v="7.98"/>
    <s v="Luxury Leather Laces"/>
    <n v="28605"/>
  </r>
  <r>
    <x v="0"/>
    <d v="2017-07-11T00:00:00"/>
    <x v="144"/>
    <x v="3"/>
    <n v="1"/>
    <s v="입"/>
    <x v="144"/>
    <x v="0"/>
    <n v="25000"/>
    <n v="25000"/>
    <n v="19.95"/>
    <n v="7.98"/>
    <n v="7.98"/>
    <s v="Luxury Leather Laces"/>
    <n v="28605"/>
  </r>
  <r>
    <x v="0"/>
    <d v="2017-07-11T00:00:00"/>
    <x v="144"/>
    <x v="4"/>
    <n v="1"/>
    <s v="입"/>
    <x v="144"/>
    <x v="0"/>
    <n v="25000"/>
    <n v="25000"/>
    <n v="19.95"/>
    <n v="7.98"/>
    <n v="7.98"/>
    <s v="Luxury Leather Laces"/>
    <n v="28605"/>
  </r>
  <r>
    <x v="0"/>
    <d v="2017-07-11T00:00:00"/>
    <x v="144"/>
    <x v="5"/>
    <n v="1"/>
    <s v="입"/>
    <x v="144"/>
    <x v="0"/>
    <n v="25000"/>
    <n v="25000"/>
    <n v="19.95"/>
    <n v="7.98"/>
    <n v="7.98"/>
    <s v="Luxury Leather Laces"/>
    <n v="28605"/>
  </r>
  <r>
    <x v="0"/>
    <d v="2017-07-11T00:00:00"/>
    <x v="145"/>
    <x v="1"/>
    <n v="1"/>
    <s v="입"/>
    <x v="145"/>
    <x v="0"/>
    <n v="25000"/>
    <n v="25000"/>
    <n v="19.95"/>
    <n v="7.98"/>
    <n v="7.98"/>
    <s v="Luxury Leather Laces"/>
    <n v="28605"/>
  </r>
  <r>
    <x v="0"/>
    <d v="2017-07-11T00:00:00"/>
    <x v="145"/>
    <x v="3"/>
    <n v="1"/>
    <s v="입"/>
    <x v="145"/>
    <x v="0"/>
    <n v="25000"/>
    <n v="25000"/>
    <n v="19.95"/>
    <n v="7.98"/>
    <n v="7.98"/>
    <s v="Luxury Leather Laces"/>
    <n v="28605"/>
  </r>
  <r>
    <x v="0"/>
    <d v="2017-07-11T00:00:00"/>
    <x v="145"/>
    <x v="4"/>
    <n v="1"/>
    <s v="입"/>
    <x v="145"/>
    <x v="0"/>
    <n v="25000"/>
    <n v="25000"/>
    <n v="19.95"/>
    <n v="7.98"/>
    <n v="7.98"/>
    <s v="Luxury Leather Laces"/>
    <n v="28605"/>
  </r>
  <r>
    <x v="0"/>
    <d v="2017-07-11T00:00:00"/>
    <x v="145"/>
    <x v="5"/>
    <n v="1"/>
    <s v="입"/>
    <x v="145"/>
    <x v="0"/>
    <n v="25000"/>
    <n v="25000"/>
    <n v="19.95"/>
    <n v="7.98"/>
    <n v="7.98"/>
    <s v="Luxury Leather Laces"/>
    <n v="28605"/>
  </r>
  <r>
    <x v="0"/>
    <d v="2017-07-11T00:00:00"/>
    <x v="146"/>
    <x v="1"/>
    <n v="1"/>
    <s v="입"/>
    <x v="146"/>
    <x v="0"/>
    <n v="25000"/>
    <n v="25000"/>
    <n v="19.95"/>
    <n v="7.98"/>
    <n v="7.98"/>
    <s v="Luxury Leather Laces"/>
    <n v="28605"/>
  </r>
  <r>
    <x v="0"/>
    <d v="2017-07-11T00:00:00"/>
    <x v="146"/>
    <x v="3"/>
    <n v="1"/>
    <s v="입"/>
    <x v="146"/>
    <x v="0"/>
    <n v="25000"/>
    <n v="25000"/>
    <n v="19.95"/>
    <n v="7.98"/>
    <n v="7.98"/>
    <s v="Luxury Leather Laces"/>
    <n v="28605"/>
  </r>
  <r>
    <x v="0"/>
    <d v="2017-07-11T00:00:00"/>
    <x v="146"/>
    <x v="4"/>
    <n v="1"/>
    <s v="입"/>
    <x v="146"/>
    <x v="0"/>
    <n v="25000"/>
    <n v="25000"/>
    <n v="19.95"/>
    <n v="7.98"/>
    <n v="7.98"/>
    <s v="Luxury Leather Laces"/>
    <n v="28605"/>
  </r>
  <r>
    <x v="0"/>
    <d v="2017-07-11T00:00:00"/>
    <x v="146"/>
    <x v="5"/>
    <n v="1"/>
    <s v="입"/>
    <x v="146"/>
    <x v="0"/>
    <n v="25000"/>
    <n v="25000"/>
    <n v="19.95"/>
    <n v="7.98"/>
    <n v="7.98"/>
    <s v="Luxury Leather Laces"/>
    <n v="28605"/>
  </r>
  <r>
    <x v="0"/>
    <d v="2017-07-11T00:00:00"/>
    <x v="147"/>
    <x v="1"/>
    <n v="1"/>
    <s v="입"/>
    <x v="147"/>
    <x v="0"/>
    <n v="25000"/>
    <n v="25000"/>
    <n v="19.95"/>
    <n v="7.98"/>
    <n v="7.98"/>
    <s v="Luxury Leather Laces"/>
    <n v="28605"/>
  </r>
  <r>
    <x v="0"/>
    <d v="2017-07-11T00:00:00"/>
    <x v="147"/>
    <x v="3"/>
    <n v="1"/>
    <s v="입"/>
    <x v="147"/>
    <x v="0"/>
    <n v="25000"/>
    <n v="25000"/>
    <n v="19.95"/>
    <n v="7.98"/>
    <n v="7.98"/>
    <s v="Luxury Leather Laces"/>
    <n v="28605"/>
  </r>
  <r>
    <x v="0"/>
    <d v="2017-07-11T00:00:00"/>
    <x v="147"/>
    <x v="4"/>
    <n v="1"/>
    <s v="입"/>
    <x v="147"/>
    <x v="0"/>
    <n v="25000"/>
    <n v="25000"/>
    <n v="19.95"/>
    <n v="7.98"/>
    <n v="7.98"/>
    <s v="Luxury Leather Laces"/>
    <n v="28605"/>
  </r>
  <r>
    <x v="0"/>
    <d v="2017-07-11T00:00:00"/>
    <x v="147"/>
    <x v="5"/>
    <n v="1"/>
    <s v="입"/>
    <x v="147"/>
    <x v="0"/>
    <n v="25000"/>
    <n v="25000"/>
    <n v="19.95"/>
    <n v="7.98"/>
    <n v="7.98"/>
    <s v="Luxury Leather Laces"/>
    <n v="28605"/>
  </r>
  <r>
    <x v="0"/>
    <d v="2017-07-11T00:00:00"/>
    <x v="148"/>
    <x v="1"/>
    <n v="1"/>
    <s v="입"/>
    <x v="148"/>
    <x v="0"/>
    <n v="25000"/>
    <n v="25000"/>
    <n v="19.95"/>
    <n v="7.98"/>
    <n v="7.98"/>
    <s v="Luxury Leather Laces"/>
    <n v="28605"/>
  </r>
  <r>
    <x v="0"/>
    <d v="2017-07-11T00:00:00"/>
    <x v="148"/>
    <x v="3"/>
    <n v="1"/>
    <s v="입"/>
    <x v="148"/>
    <x v="0"/>
    <n v="25000"/>
    <n v="25000"/>
    <n v="19.95"/>
    <n v="7.98"/>
    <n v="7.98"/>
    <s v="Luxury Leather Laces"/>
    <n v="28605"/>
  </r>
  <r>
    <x v="0"/>
    <d v="2017-07-11T00:00:00"/>
    <x v="148"/>
    <x v="4"/>
    <n v="1"/>
    <s v="입"/>
    <x v="148"/>
    <x v="0"/>
    <n v="25000"/>
    <n v="25000"/>
    <n v="19.95"/>
    <n v="7.98"/>
    <n v="7.98"/>
    <s v="Luxury Leather Laces"/>
    <n v="28605"/>
  </r>
  <r>
    <x v="0"/>
    <d v="2017-07-11T00:00:00"/>
    <x v="148"/>
    <x v="5"/>
    <n v="1"/>
    <s v="입"/>
    <x v="148"/>
    <x v="0"/>
    <n v="25000"/>
    <n v="25000"/>
    <n v="19.95"/>
    <n v="7.98"/>
    <n v="7.98"/>
    <s v="Luxury Leather Laces"/>
    <n v="28605"/>
  </r>
  <r>
    <x v="0"/>
    <d v="2017-07-11T00:00:00"/>
    <x v="149"/>
    <x v="1"/>
    <n v="1"/>
    <s v="입"/>
    <x v="149"/>
    <x v="0"/>
    <n v="25000"/>
    <n v="25000"/>
    <n v="19.95"/>
    <n v="7.98"/>
    <n v="7.98"/>
    <s v="Luxury Leather Laces"/>
    <n v="28605"/>
  </r>
  <r>
    <x v="0"/>
    <d v="2017-07-11T00:00:00"/>
    <x v="149"/>
    <x v="3"/>
    <n v="1"/>
    <s v="입"/>
    <x v="149"/>
    <x v="0"/>
    <n v="25000"/>
    <n v="25000"/>
    <n v="19.95"/>
    <n v="7.98"/>
    <n v="7.98"/>
    <s v="Luxury Leather Laces"/>
    <n v="28605"/>
  </r>
  <r>
    <x v="0"/>
    <d v="2017-07-11T00:00:00"/>
    <x v="149"/>
    <x v="4"/>
    <n v="1"/>
    <s v="입"/>
    <x v="149"/>
    <x v="0"/>
    <n v="25000"/>
    <n v="25000"/>
    <n v="19.95"/>
    <n v="7.98"/>
    <n v="7.98"/>
    <s v="Luxury Leather Laces"/>
    <n v="28605"/>
  </r>
  <r>
    <x v="0"/>
    <d v="2017-07-11T00:00:00"/>
    <x v="149"/>
    <x v="5"/>
    <n v="1"/>
    <s v="입"/>
    <x v="149"/>
    <x v="0"/>
    <n v="25000"/>
    <n v="25000"/>
    <n v="19.95"/>
    <n v="7.98"/>
    <n v="7.98"/>
    <s v="Luxury Leather Laces"/>
    <n v="28605"/>
  </r>
  <r>
    <x v="0"/>
    <d v="2017-07-11T00:00:00"/>
    <x v="150"/>
    <x v="1"/>
    <n v="1"/>
    <s v="입"/>
    <x v="150"/>
    <x v="0"/>
    <n v="25000"/>
    <n v="25000"/>
    <n v="19.95"/>
    <n v="7.98"/>
    <n v="7.98"/>
    <s v="Luxury Leather Laces"/>
    <n v="28605"/>
  </r>
  <r>
    <x v="0"/>
    <d v="2017-07-11T00:00:00"/>
    <x v="150"/>
    <x v="3"/>
    <n v="1"/>
    <s v="입"/>
    <x v="150"/>
    <x v="0"/>
    <n v="25000"/>
    <n v="25000"/>
    <n v="19.95"/>
    <n v="7.98"/>
    <n v="7.98"/>
    <s v="Luxury Leather Laces"/>
    <n v="28605"/>
  </r>
  <r>
    <x v="0"/>
    <d v="2017-07-11T00:00:00"/>
    <x v="150"/>
    <x v="4"/>
    <n v="1"/>
    <s v="입"/>
    <x v="150"/>
    <x v="0"/>
    <n v="25000"/>
    <n v="25000"/>
    <n v="19.95"/>
    <n v="7.98"/>
    <n v="7.98"/>
    <s v="Luxury Leather Laces"/>
    <n v="28605"/>
  </r>
  <r>
    <x v="0"/>
    <d v="2017-07-11T00:00:00"/>
    <x v="150"/>
    <x v="5"/>
    <n v="1"/>
    <s v="입"/>
    <x v="150"/>
    <x v="0"/>
    <n v="25000"/>
    <n v="25000"/>
    <n v="19.95"/>
    <n v="7.98"/>
    <n v="7.98"/>
    <s v="Luxury Leather Laces"/>
    <n v="28605"/>
  </r>
  <r>
    <x v="0"/>
    <d v="2017-07-11T00:00:00"/>
    <x v="151"/>
    <x v="1"/>
    <n v="2"/>
    <s v="입"/>
    <x v="151"/>
    <x v="2"/>
    <n v="7000"/>
    <n v="14000"/>
    <n v="5.95"/>
    <n v="2.3800000000000003"/>
    <n v="4.7600000000000007"/>
    <s v="Multi-Color Rope Laces"/>
    <n v="28605"/>
  </r>
  <r>
    <x v="0"/>
    <d v="2017-07-11T00:00:00"/>
    <x v="151"/>
    <x v="3"/>
    <n v="2"/>
    <s v="입"/>
    <x v="151"/>
    <x v="2"/>
    <n v="7000"/>
    <n v="14000"/>
    <n v="5.95"/>
    <n v="2.3800000000000003"/>
    <n v="4.7600000000000007"/>
    <s v="Multi-Color Rope Laces"/>
    <n v="28605"/>
  </r>
  <r>
    <x v="0"/>
    <d v="2017-07-11T00:00:00"/>
    <x v="152"/>
    <x v="1"/>
    <n v="2"/>
    <s v="입"/>
    <x v="152"/>
    <x v="2"/>
    <n v="7000"/>
    <n v="14000"/>
    <n v="5.95"/>
    <n v="2.3800000000000003"/>
    <n v="4.7600000000000007"/>
    <s v="Multi-Color Rope Laces"/>
    <n v="28605"/>
  </r>
  <r>
    <x v="0"/>
    <d v="2017-07-11T00:00:00"/>
    <x v="152"/>
    <x v="3"/>
    <n v="2"/>
    <s v="입"/>
    <x v="152"/>
    <x v="2"/>
    <n v="7000"/>
    <n v="14000"/>
    <n v="5.95"/>
    <n v="2.3800000000000003"/>
    <n v="4.7600000000000007"/>
    <s v="Multi-Color Rope Laces"/>
    <n v="28605"/>
  </r>
  <r>
    <x v="0"/>
    <d v="2017-07-11T00:00:00"/>
    <x v="153"/>
    <x v="1"/>
    <n v="2"/>
    <s v="입"/>
    <x v="153"/>
    <x v="2"/>
    <n v="7000"/>
    <n v="14000"/>
    <n v="5.95"/>
    <n v="2.3800000000000003"/>
    <n v="4.7600000000000007"/>
    <s v="Multi-Color Rope Laces"/>
    <n v="28605"/>
  </r>
  <r>
    <x v="0"/>
    <d v="2017-07-11T00:00:00"/>
    <x v="153"/>
    <x v="3"/>
    <n v="2"/>
    <s v="입"/>
    <x v="153"/>
    <x v="2"/>
    <n v="7000"/>
    <n v="14000"/>
    <n v="5.95"/>
    <n v="2.3800000000000003"/>
    <n v="4.7600000000000007"/>
    <s v="Multi-Color Rope Laces"/>
    <n v="28605"/>
  </r>
  <r>
    <x v="0"/>
    <d v="2017-07-11T00:00:00"/>
    <x v="154"/>
    <x v="1"/>
    <n v="2"/>
    <s v="입"/>
    <x v="154"/>
    <x v="2"/>
    <n v="7000"/>
    <n v="14000"/>
    <n v="5.95"/>
    <n v="2.3800000000000003"/>
    <n v="4.7600000000000007"/>
    <s v="Multi-Color Rope Laces"/>
    <n v="28605"/>
  </r>
  <r>
    <x v="0"/>
    <d v="2017-07-11T00:00:00"/>
    <x v="154"/>
    <x v="3"/>
    <n v="2"/>
    <s v="입"/>
    <x v="154"/>
    <x v="2"/>
    <n v="7000"/>
    <n v="14000"/>
    <n v="5.95"/>
    <n v="2.3800000000000003"/>
    <n v="4.7600000000000007"/>
    <s v="Multi-Color Rope Laces"/>
    <n v="28605"/>
  </r>
  <r>
    <x v="0"/>
    <d v="2017-07-11T00:00:00"/>
    <x v="155"/>
    <x v="1"/>
    <n v="2"/>
    <s v="입"/>
    <x v="155"/>
    <x v="2"/>
    <n v="7000"/>
    <n v="14000"/>
    <n v="5.95"/>
    <n v="2.3800000000000003"/>
    <n v="4.7600000000000007"/>
    <s v="Multi-Color Rope Laces"/>
    <n v="28605"/>
  </r>
  <r>
    <x v="0"/>
    <d v="2017-07-11T00:00:00"/>
    <x v="155"/>
    <x v="3"/>
    <n v="2"/>
    <s v="입"/>
    <x v="155"/>
    <x v="2"/>
    <n v="7000"/>
    <n v="14000"/>
    <n v="5.95"/>
    <n v="2.3800000000000003"/>
    <n v="4.7600000000000007"/>
    <s v="Multi-Color Rope Laces"/>
    <n v="28605"/>
  </r>
  <r>
    <x v="0"/>
    <d v="2017-07-11T00:00:00"/>
    <x v="156"/>
    <x v="1"/>
    <n v="2"/>
    <s v="입"/>
    <x v="156"/>
    <x v="2"/>
    <n v="7000"/>
    <n v="14000"/>
    <n v="5.95"/>
    <n v="2.3800000000000003"/>
    <n v="4.7600000000000007"/>
    <s v="Multi-Color Rope Laces"/>
    <n v="28605"/>
  </r>
  <r>
    <x v="0"/>
    <d v="2017-07-11T00:00:00"/>
    <x v="156"/>
    <x v="3"/>
    <n v="2"/>
    <s v="입"/>
    <x v="156"/>
    <x v="2"/>
    <n v="7000"/>
    <n v="14000"/>
    <n v="5.95"/>
    <n v="2.3800000000000003"/>
    <n v="4.7600000000000007"/>
    <s v="Multi-Color Rope Laces"/>
    <n v="28605"/>
  </r>
  <r>
    <x v="0"/>
    <d v="2017-07-11T00:00:00"/>
    <x v="157"/>
    <x v="1"/>
    <n v="2"/>
    <s v="입"/>
    <x v="157"/>
    <x v="2"/>
    <n v="7000"/>
    <n v="14000"/>
    <n v="5.95"/>
    <n v="2.3800000000000003"/>
    <n v="4.7600000000000007"/>
    <s v="Multi-Color Rope Laces"/>
    <n v="28605"/>
  </r>
  <r>
    <x v="0"/>
    <d v="2017-07-11T00:00:00"/>
    <x v="157"/>
    <x v="3"/>
    <n v="2"/>
    <s v="입"/>
    <x v="157"/>
    <x v="2"/>
    <n v="7000"/>
    <n v="14000"/>
    <n v="5.95"/>
    <n v="2.3800000000000003"/>
    <n v="4.7600000000000007"/>
    <s v="Multi-Color Rope Laces"/>
    <n v="28605"/>
  </r>
  <r>
    <x v="0"/>
    <d v="2017-07-11T00:00:00"/>
    <x v="158"/>
    <x v="4"/>
    <n v="3"/>
    <s v="입"/>
    <x v="158"/>
    <x v="1"/>
    <n v="5000"/>
    <n v="15000"/>
    <n v="3.95"/>
    <n v="1.58"/>
    <n v="4.74"/>
    <s v="Oval SB Laces"/>
    <n v="28605"/>
  </r>
  <r>
    <x v="0"/>
    <d v="2017-07-11T00:00:00"/>
    <x v="159"/>
    <x v="4"/>
    <n v="3"/>
    <s v="입"/>
    <x v="159"/>
    <x v="1"/>
    <n v="5000"/>
    <n v="15000"/>
    <n v="3.95"/>
    <n v="1.58"/>
    <n v="4.74"/>
    <s v="Oval SB Laces"/>
    <n v="28605"/>
  </r>
  <r>
    <x v="0"/>
    <d v="2017-07-11T00:00:00"/>
    <x v="159"/>
    <x v="5"/>
    <n v="3"/>
    <s v="입"/>
    <x v="159"/>
    <x v="1"/>
    <n v="5000"/>
    <n v="15000"/>
    <n v="3.95"/>
    <n v="1.58"/>
    <n v="4.74"/>
    <s v="Oval SB Laces"/>
    <n v="28605"/>
  </r>
  <r>
    <x v="0"/>
    <d v="2017-07-11T00:00:00"/>
    <x v="160"/>
    <x v="4"/>
    <n v="3"/>
    <s v="입"/>
    <x v="160"/>
    <x v="1"/>
    <n v="5000"/>
    <n v="15000"/>
    <n v="3.95"/>
    <n v="1.58"/>
    <n v="4.74"/>
    <s v="Oval SB Laces"/>
    <n v="28605"/>
  </r>
  <r>
    <x v="0"/>
    <d v="2017-07-11T00:00:00"/>
    <x v="160"/>
    <x v="5"/>
    <n v="3"/>
    <s v="입"/>
    <x v="160"/>
    <x v="1"/>
    <n v="5000"/>
    <n v="15000"/>
    <n v="3.95"/>
    <n v="1.58"/>
    <n v="4.74"/>
    <s v="Oval SB Laces"/>
    <n v="28605"/>
  </r>
  <r>
    <x v="0"/>
    <d v="2017-07-11T00:00:00"/>
    <x v="161"/>
    <x v="4"/>
    <n v="3"/>
    <s v="입"/>
    <x v="161"/>
    <x v="1"/>
    <n v="5000"/>
    <n v="15000"/>
    <n v="3.95"/>
    <n v="1.58"/>
    <n v="4.74"/>
    <s v="Oval SB Laces"/>
    <n v="28605"/>
  </r>
  <r>
    <x v="0"/>
    <d v="2017-07-11T00:00:00"/>
    <x v="161"/>
    <x v="5"/>
    <n v="3"/>
    <s v="입"/>
    <x v="161"/>
    <x v="1"/>
    <n v="5000"/>
    <n v="15000"/>
    <n v="3.95"/>
    <n v="1.58"/>
    <n v="4.74"/>
    <s v="Oval SB Laces"/>
    <n v="28605"/>
  </r>
  <r>
    <x v="0"/>
    <d v="2017-07-11T00:00:00"/>
    <x v="162"/>
    <x v="4"/>
    <n v="3"/>
    <s v="입"/>
    <x v="162"/>
    <x v="1"/>
    <n v="5000"/>
    <n v="15000"/>
    <n v="3.95"/>
    <n v="1.58"/>
    <n v="4.74"/>
    <s v="Oval SB Laces"/>
    <n v="28605"/>
  </r>
  <r>
    <x v="0"/>
    <d v="2017-07-11T00:00:00"/>
    <x v="162"/>
    <x v="5"/>
    <n v="3"/>
    <s v="입"/>
    <x v="162"/>
    <x v="1"/>
    <n v="5000"/>
    <n v="15000"/>
    <n v="3.95"/>
    <n v="1.58"/>
    <n v="4.74"/>
    <s v="Oval SB Laces"/>
    <n v="28605"/>
  </r>
  <r>
    <x v="0"/>
    <d v="2017-07-11T00:00:00"/>
    <x v="163"/>
    <x v="4"/>
    <n v="3"/>
    <s v="입"/>
    <x v="163"/>
    <x v="1"/>
    <n v="5000"/>
    <n v="15000"/>
    <n v="3.95"/>
    <n v="1.58"/>
    <n v="4.74"/>
    <s v="Oval SB Laces"/>
    <n v="28605"/>
  </r>
  <r>
    <x v="0"/>
    <d v="2017-07-11T00:00:00"/>
    <x v="163"/>
    <x v="5"/>
    <n v="3"/>
    <s v="입"/>
    <x v="163"/>
    <x v="1"/>
    <n v="5000"/>
    <n v="15000"/>
    <n v="3.95"/>
    <n v="1.58"/>
    <n v="4.74"/>
    <s v="Oval SB Laces"/>
    <n v="28605"/>
  </r>
  <r>
    <x v="0"/>
    <d v="2017-07-11T00:00:00"/>
    <x v="164"/>
    <x v="4"/>
    <n v="3"/>
    <s v="입"/>
    <x v="164"/>
    <x v="1"/>
    <n v="5000"/>
    <n v="15000"/>
    <n v="3.95"/>
    <n v="1.58"/>
    <n v="4.74"/>
    <s v="Oval SB Laces"/>
    <n v="28605"/>
  </r>
  <r>
    <x v="0"/>
    <d v="2017-07-11T00:00:00"/>
    <x v="164"/>
    <x v="5"/>
    <n v="3"/>
    <s v="입"/>
    <x v="164"/>
    <x v="1"/>
    <n v="5000"/>
    <n v="15000"/>
    <n v="3.95"/>
    <n v="1.58"/>
    <n v="4.74"/>
    <s v="Oval SB Laces"/>
    <n v="28605"/>
  </r>
  <r>
    <x v="0"/>
    <d v="2017-07-11T00:00:00"/>
    <x v="165"/>
    <x v="4"/>
    <n v="3"/>
    <s v="입"/>
    <x v="165"/>
    <x v="1"/>
    <n v="5000"/>
    <n v="15000"/>
    <n v="3.95"/>
    <n v="1.58"/>
    <n v="4.74"/>
    <s v="Oval SB Laces"/>
    <n v="28605"/>
  </r>
  <r>
    <x v="0"/>
    <d v="2017-07-11T00:00:00"/>
    <x v="165"/>
    <x v="5"/>
    <n v="3"/>
    <s v="입"/>
    <x v="165"/>
    <x v="1"/>
    <n v="5000"/>
    <n v="15000"/>
    <n v="3.95"/>
    <n v="1.58"/>
    <n v="4.74"/>
    <s v="Oval SB Laces"/>
    <n v="28605"/>
  </r>
  <r>
    <x v="0"/>
    <d v="2017-07-11T00:00:00"/>
    <x v="166"/>
    <x v="4"/>
    <n v="3"/>
    <s v="입"/>
    <x v="166"/>
    <x v="1"/>
    <n v="5000"/>
    <n v="15000"/>
    <n v="3.95"/>
    <n v="1.58"/>
    <n v="4.74"/>
    <s v="Oval SB Laces"/>
    <n v="28605"/>
  </r>
  <r>
    <x v="0"/>
    <d v="2017-07-11T00:00:00"/>
    <x v="166"/>
    <x v="5"/>
    <n v="3"/>
    <s v="입"/>
    <x v="166"/>
    <x v="1"/>
    <n v="5000"/>
    <n v="15000"/>
    <n v="3.95"/>
    <n v="1.58"/>
    <n v="4.74"/>
    <s v="Oval SB Laces"/>
    <n v="28605"/>
  </r>
  <r>
    <x v="0"/>
    <d v="2017-07-11T00:00:00"/>
    <x v="167"/>
    <x v="4"/>
    <n v="3"/>
    <s v="입"/>
    <x v="167"/>
    <x v="1"/>
    <n v="5000"/>
    <n v="15000"/>
    <n v="3.95"/>
    <n v="1.58"/>
    <n v="4.74"/>
    <s v="Oval SB Laces"/>
    <n v="28605"/>
  </r>
  <r>
    <x v="0"/>
    <d v="2017-07-11T00:00:00"/>
    <x v="167"/>
    <x v="5"/>
    <n v="3"/>
    <s v="입"/>
    <x v="167"/>
    <x v="1"/>
    <n v="5000"/>
    <n v="15000"/>
    <n v="3.95"/>
    <n v="1.58"/>
    <n v="4.74"/>
    <s v="Oval SB Laces"/>
    <n v="28605"/>
  </r>
  <r>
    <x v="0"/>
    <d v="2017-07-11T00:00:00"/>
    <x v="168"/>
    <x v="4"/>
    <n v="3"/>
    <s v="입"/>
    <x v="168"/>
    <x v="1"/>
    <n v="5000"/>
    <n v="15000"/>
    <n v="3.95"/>
    <n v="1.58"/>
    <n v="4.74"/>
    <s v="Oval SB Laces"/>
    <n v="28605"/>
  </r>
  <r>
    <x v="0"/>
    <d v="2017-07-11T00:00:00"/>
    <x v="168"/>
    <x v="5"/>
    <n v="3"/>
    <s v="입"/>
    <x v="168"/>
    <x v="1"/>
    <n v="5000"/>
    <n v="15000"/>
    <n v="3.95"/>
    <n v="1.58"/>
    <n v="4.74"/>
    <s v="Oval SB Laces"/>
    <n v="28605"/>
  </r>
  <r>
    <x v="0"/>
    <d v="2017-07-11T00:00:00"/>
    <x v="169"/>
    <x v="4"/>
    <n v="3"/>
    <s v="입"/>
    <x v="169"/>
    <x v="1"/>
    <n v="5000"/>
    <n v="15000"/>
    <n v="3.95"/>
    <n v="1.58"/>
    <n v="4.74"/>
    <s v="Oval SB Laces"/>
    <n v="28605"/>
  </r>
  <r>
    <x v="0"/>
    <d v="2017-07-11T00:00:00"/>
    <x v="169"/>
    <x v="5"/>
    <n v="3"/>
    <s v="입"/>
    <x v="169"/>
    <x v="1"/>
    <n v="5000"/>
    <n v="15000"/>
    <n v="3.95"/>
    <n v="1.58"/>
    <n v="4.74"/>
    <s v="Oval SB Laces"/>
    <n v="28605"/>
  </r>
  <r>
    <x v="0"/>
    <d v="2017-07-11T00:00:00"/>
    <x v="170"/>
    <x v="4"/>
    <n v="3"/>
    <s v="입"/>
    <x v="170"/>
    <x v="1"/>
    <n v="5000"/>
    <n v="15000"/>
    <n v="3.95"/>
    <n v="1.58"/>
    <n v="4.74"/>
    <s v="Oval SB Laces"/>
    <n v="28605"/>
  </r>
  <r>
    <x v="0"/>
    <d v="2017-07-11T00:00:00"/>
    <x v="170"/>
    <x v="5"/>
    <n v="3"/>
    <s v="입"/>
    <x v="170"/>
    <x v="1"/>
    <n v="5000"/>
    <n v="15000"/>
    <n v="3.95"/>
    <n v="1.58"/>
    <n v="4.74"/>
    <s v="Oval SB Laces"/>
    <n v="28605"/>
  </r>
  <r>
    <x v="0"/>
    <d v="2017-07-11T00:00:00"/>
    <x v="171"/>
    <x v="4"/>
    <n v="3"/>
    <s v="입"/>
    <x v="171"/>
    <x v="1"/>
    <n v="5000"/>
    <n v="15000"/>
    <n v="3.95"/>
    <n v="1.58"/>
    <n v="4.74"/>
    <s v="Oval SB Laces"/>
    <n v="28605"/>
  </r>
  <r>
    <x v="0"/>
    <d v="2017-07-11T00:00:00"/>
    <x v="171"/>
    <x v="5"/>
    <n v="3"/>
    <s v="입"/>
    <x v="171"/>
    <x v="1"/>
    <n v="5000"/>
    <n v="15000"/>
    <n v="3.95"/>
    <n v="1.58"/>
    <n v="4.74"/>
    <s v="Oval SB Laces"/>
    <n v="28605"/>
  </r>
  <r>
    <x v="0"/>
    <d v="2017-07-11T00:00:00"/>
    <x v="172"/>
    <x v="3"/>
    <n v="3"/>
    <s v="입"/>
    <x v="172"/>
    <x v="1"/>
    <n v="7000"/>
    <n v="21000"/>
    <n v="5.95"/>
    <n v="2.3800000000000003"/>
    <n v="7.1400000000000006"/>
    <s v="Boot Laces"/>
    <n v="28605"/>
  </r>
  <r>
    <x v="0"/>
    <d v="2017-07-11T00:00:00"/>
    <x v="172"/>
    <x v="4"/>
    <n v="3"/>
    <s v="입"/>
    <x v="172"/>
    <x v="1"/>
    <n v="7000"/>
    <n v="21000"/>
    <n v="5.95"/>
    <n v="2.3800000000000003"/>
    <n v="7.1400000000000006"/>
    <s v="Boot Laces"/>
    <n v="28605"/>
  </r>
  <r>
    <x v="0"/>
    <d v="2017-07-11T00:00:00"/>
    <x v="172"/>
    <x v="5"/>
    <n v="3"/>
    <s v="입"/>
    <x v="172"/>
    <x v="1"/>
    <n v="7000"/>
    <n v="21000"/>
    <n v="5.95"/>
    <n v="2.3800000000000003"/>
    <n v="7.1400000000000006"/>
    <s v="Boot Laces"/>
    <n v="28605"/>
  </r>
  <r>
    <x v="0"/>
    <d v="2017-07-11T00:00:00"/>
    <x v="172"/>
    <x v="6"/>
    <n v="1"/>
    <s v="입"/>
    <x v="172"/>
    <x v="0"/>
    <n v="7000"/>
    <n v="7000"/>
    <n v="5.95"/>
    <n v="2.3800000000000003"/>
    <n v="2.3800000000000003"/>
    <s v="Boot Laces"/>
    <n v="28605"/>
  </r>
  <r>
    <x v="0"/>
    <d v="2017-07-11T00:00:00"/>
    <x v="173"/>
    <x v="3"/>
    <n v="3"/>
    <s v="입"/>
    <x v="173"/>
    <x v="1"/>
    <n v="7000"/>
    <n v="21000"/>
    <n v="5.95"/>
    <n v="2.3800000000000003"/>
    <n v="7.1400000000000006"/>
    <s v="Boot Laces"/>
    <n v="28605"/>
  </r>
  <r>
    <x v="0"/>
    <d v="2017-07-11T00:00:00"/>
    <x v="173"/>
    <x v="4"/>
    <n v="3"/>
    <s v="입"/>
    <x v="173"/>
    <x v="1"/>
    <n v="7000"/>
    <n v="21000"/>
    <n v="5.95"/>
    <n v="2.3800000000000003"/>
    <n v="7.1400000000000006"/>
    <s v="Boot Laces"/>
    <n v="28605"/>
  </r>
  <r>
    <x v="0"/>
    <d v="2017-07-11T00:00:00"/>
    <x v="173"/>
    <x v="5"/>
    <n v="3"/>
    <s v="입"/>
    <x v="173"/>
    <x v="1"/>
    <n v="7000"/>
    <n v="21000"/>
    <n v="5.95"/>
    <n v="2.3800000000000003"/>
    <n v="7.1400000000000006"/>
    <s v="Boot Laces"/>
    <n v="28605"/>
  </r>
  <r>
    <x v="0"/>
    <d v="2017-07-11T00:00:00"/>
    <x v="173"/>
    <x v="6"/>
    <n v="1"/>
    <s v="입"/>
    <x v="173"/>
    <x v="0"/>
    <n v="7000"/>
    <n v="7000"/>
    <n v="5.95"/>
    <n v="2.3800000000000003"/>
    <n v="2.3800000000000003"/>
    <s v="Boot Laces"/>
    <n v="28605"/>
  </r>
  <r>
    <x v="0"/>
    <d v="2017-07-11T00:00:00"/>
    <x v="174"/>
    <x v="3"/>
    <n v="3"/>
    <s v="입"/>
    <x v="174"/>
    <x v="1"/>
    <n v="7000"/>
    <n v="21000"/>
    <n v="5.95"/>
    <n v="2.3800000000000003"/>
    <n v="7.1400000000000006"/>
    <s v="Boot Laces"/>
    <n v="28605"/>
  </r>
  <r>
    <x v="0"/>
    <d v="2017-07-11T00:00:00"/>
    <x v="174"/>
    <x v="4"/>
    <n v="3"/>
    <s v="입"/>
    <x v="174"/>
    <x v="1"/>
    <n v="7000"/>
    <n v="21000"/>
    <n v="5.95"/>
    <n v="2.3800000000000003"/>
    <n v="7.1400000000000006"/>
    <s v="Boot Laces"/>
    <n v="28605"/>
  </r>
  <r>
    <x v="0"/>
    <d v="2017-07-11T00:00:00"/>
    <x v="174"/>
    <x v="5"/>
    <n v="3"/>
    <s v="입"/>
    <x v="174"/>
    <x v="1"/>
    <n v="7000"/>
    <n v="21000"/>
    <n v="5.95"/>
    <n v="2.3800000000000003"/>
    <n v="7.1400000000000006"/>
    <s v="Boot Laces"/>
    <n v="28605"/>
  </r>
  <r>
    <x v="0"/>
    <d v="2017-07-11T00:00:00"/>
    <x v="174"/>
    <x v="6"/>
    <n v="1"/>
    <s v="입"/>
    <x v="174"/>
    <x v="0"/>
    <n v="7000"/>
    <n v="7000"/>
    <n v="5.95"/>
    <n v="2.3800000000000003"/>
    <n v="2.3800000000000003"/>
    <s v="Boot Laces"/>
    <n v="28605"/>
  </r>
  <r>
    <x v="0"/>
    <d v="2017-07-11T00:00:00"/>
    <x v="175"/>
    <x v="3"/>
    <n v="3"/>
    <s v="입"/>
    <x v="175"/>
    <x v="1"/>
    <n v="7000"/>
    <n v="21000"/>
    <n v="5.95"/>
    <n v="2.3800000000000003"/>
    <n v="7.1400000000000006"/>
    <s v="Boot Laces"/>
    <n v="28605"/>
  </r>
  <r>
    <x v="0"/>
    <d v="2017-07-11T00:00:00"/>
    <x v="175"/>
    <x v="4"/>
    <n v="3"/>
    <s v="입"/>
    <x v="175"/>
    <x v="1"/>
    <n v="7000"/>
    <n v="21000"/>
    <n v="5.95"/>
    <n v="2.3800000000000003"/>
    <n v="7.1400000000000006"/>
    <s v="Boot Laces"/>
    <n v="28605"/>
  </r>
  <r>
    <x v="0"/>
    <d v="2017-07-11T00:00:00"/>
    <x v="175"/>
    <x v="5"/>
    <n v="3"/>
    <s v="입"/>
    <x v="175"/>
    <x v="1"/>
    <n v="7000"/>
    <n v="21000"/>
    <n v="5.95"/>
    <n v="2.3800000000000003"/>
    <n v="7.1400000000000006"/>
    <s v="Boot Laces"/>
    <n v="28605"/>
  </r>
  <r>
    <x v="0"/>
    <d v="2017-07-11T00:00:00"/>
    <x v="175"/>
    <x v="6"/>
    <n v="1"/>
    <s v="입"/>
    <x v="175"/>
    <x v="0"/>
    <n v="7000"/>
    <n v="7000"/>
    <n v="5.95"/>
    <n v="2.3800000000000003"/>
    <n v="2.3800000000000003"/>
    <s v="Boot Laces"/>
    <n v="28605"/>
  </r>
  <r>
    <x v="0"/>
    <d v="2017-07-11T00:00:00"/>
    <x v="176"/>
    <x v="3"/>
    <n v="3"/>
    <s v="입"/>
    <x v="176"/>
    <x v="1"/>
    <n v="7000"/>
    <n v="21000"/>
    <n v="5.95"/>
    <n v="2.3800000000000003"/>
    <n v="7.1400000000000006"/>
    <s v="Boot Laces"/>
    <n v="28605"/>
  </r>
  <r>
    <x v="0"/>
    <d v="2017-07-11T00:00:00"/>
    <x v="176"/>
    <x v="4"/>
    <n v="3"/>
    <s v="입"/>
    <x v="176"/>
    <x v="1"/>
    <n v="7000"/>
    <n v="21000"/>
    <n v="5.95"/>
    <n v="2.3800000000000003"/>
    <n v="7.1400000000000006"/>
    <s v="Boot Laces"/>
    <n v="28605"/>
  </r>
  <r>
    <x v="0"/>
    <d v="2017-07-11T00:00:00"/>
    <x v="176"/>
    <x v="5"/>
    <n v="3"/>
    <s v="입"/>
    <x v="176"/>
    <x v="1"/>
    <n v="7000"/>
    <n v="21000"/>
    <n v="5.95"/>
    <n v="2.3800000000000003"/>
    <n v="7.1400000000000006"/>
    <s v="Boot Laces"/>
    <n v="28605"/>
  </r>
  <r>
    <x v="0"/>
    <d v="2017-07-11T00:00:00"/>
    <x v="176"/>
    <x v="6"/>
    <n v="1"/>
    <s v="입"/>
    <x v="176"/>
    <x v="0"/>
    <n v="7000"/>
    <n v="7000"/>
    <n v="5.95"/>
    <n v="2.3800000000000003"/>
    <n v="2.3800000000000003"/>
    <s v="Boot Laces"/>
    <n v="28605"/>
  </r>
  <r>
    <x v="0"/>
    <d v="2017-07-11T00:00:00"/>
    <x v="177"/>
    <x v="3"/>
    <n v="3"/>
    <s v="입"/>
    <x v="177"/>
    <x v="1"/>
    <n v="7000"/>
    <n v="21000"/>
    <n v="5.95"/>
    <n v="2.3800000000000003"/>
    <n v="7.1400000000000006"/>
    <s v="Boot Laces"/>
    <n v="28605"/>
  </r>
  <r>
    <x v="0"/>
    <d v="2017-07-11T00:00:00"/>
    <x v="177"/>
    <x v="4"/>
    <n v="3"/>
    <s v="입"/>
    <x v="177"/>
    <x v="1"/>
    <n v="7000"/>
    <n v="21000"/>
    <n v="5.95"/>
    <n v="2.3800000000000003"/>
    <n v="7.1400000000000006"/>
    <s v="Boot Laces"/>
    <n v="28605"/>
  </r>
  <r>
    <x v="0"/>
    <d v="2017-07-11T00:00:00"/>
    <x v="177"/>
    <x v="5"/>
    <n v="3"/>
    <s v="입"/>
    <x v="177"/>
    <x v="1"/>
    <n v="7000"/>
    <n v="21000"/>
    <n v="5.95"/>
    <n v="2.3800000000000003"/>
    <n v="7.1400000000000006"/>
    <s v="Boot Laces"/>
    <n v="28605"/>
  </r>
  <r>
    <x v="0"/>
    <d v="2017-07-11T00:00:00"/>
    <x v="177"/>
    <x v="6"/>
    <n v="1"/>
    <s v="입"/>
    <x v="177"/>
    <x v="0"/>
    <n v="7000"/>
    <n v="7000"/>
    <n v="5.95"/>
    <n v="2.3800000000000003"/>
    <n v="2.3800000000000003"/>
    <s v="Boot Laces"/>
    <n v="28605"/>
  </r>
  <r>
    <x v="0"/>
    <d v="2017-07-11T00:00:00"/>
    <x v="178"/>
    <x v="3"/>
    <n v="3"/>
    <s v="입"/>
    <x v="178"/>
    <x v="1"/>
    <n v="7000"/>
    <n v="21000"/>
    <n v="5.95"/>
    <n v="2.3800000000000003"/>
    <n v="7.1400000000000006"/>
    <s v="Boot Laces"/>
    <n v="28605"/>
  </r>
  <r>
    <x v="0"/>
    <d v="2017-07-11T00:00:00"/>
    <x v="178"/>
    <x v="4"/>
    <n v="3"/>
    <s v="입"/>
    <x v="178"/>
    <x v="1"/>
    <n v="7000"/>
    <n v="21000"/>
    <n v="5.95"/>
    <n v="2.3800000000000003"/>
    <n v="7.1400000000000006"/>
    <s v="Boot Laces"/>
    <n v="28605"/>
  </r>
  <r>
    <x v="0"/>
    <d v="2017-07-11T00:00:00"/>
    <x v="178"/>
    <x v="5"/>
    <n v="3"/>
    <s v="입"/>
    <x v="178"/>
    <x v="1"/>
    <n v="7000"/>
    <n v="21000"/>
    <n v="5.95"/>
    <n v="2.3800000000000003"/>
    <n v="7.1400000000000006"/>
    <s v="Boot Laces"/>
    <n v="28605"/>
  </r>
  <r>
    <x v="0"/>
    <d v="2017-07-11T00:00:00"/>
    <x v="178"/>
    <x v="6"/>
    <n v="1"/>
    <s v="입"/>
    <x v="178"/>
    <x v="0"/>
    <n v="7000"/>
    <n v="7000"/>
    <n v="5.95"/>
    <n v="2.3800000000000003"/>
    <n v="2.3800000000000003"/>
    <s v="Boot Laces"/>
    <n v="28605"/>
  </r>
  <r>
    <x v="0"/>
    <d v="2017-07-11T00:00:00"/>
    <x v="179"/>
    <x v="3"/>
    <n v="3"/>
    <s v="입"/>
    <x v="179"/>
    <x v="1"/>
    <n v="7000"/>
    <n v="21000"/>
    <n v="5.95"/>
    <n v="2.3800000000000003"/>
    <n v="7.1400000000000006"/>
    <s v="Boot Laces"/>
    <n v="28605"/>
  </r>
  <r>
    <x v="0"/>
    <d v="2017-07-11T00:00:00"/>
    <x v="179"/>
    <x v="4"/>
    <n v="3"/>
    <s v="입"/>
    <x v="179"/>
    <x v="1"/>
    <n v="7000"/>
    <n v="21000"/>
    <n v="5.95"/>
    <n v="2.3800000000000003"/>
    <n v="7.1400000000000006"/>
    <s v="Boot Laces"/>
    <n v="28605"/>
  </r>
  <r>
    <x v="0"/>
    <d v="2017-07-11T00:00:00"/>
    <x v="179"/>
    <x v="5"/>
    <n v="3"/>
    <s v="입"/>
    <x v="179"/>
    <x v="1"/>
    <n v="7000"/>
    <n v="21000"/>
    <n v="5.95"/>
    <n v="2.3800000000000003"/>
    <n v="7.1400000000000006"/>
    <s v="Boot Laces"/>
    <n v="28605"/>
  </r>
  <r>
    <x v="0"/>
    <d v="2017-07-11T00:00:00"/>
    <x v="179"/>
    <x v="6"/>
    <n v="1"/>
    <s v="입"/>
    <x v="179"/>
    <x v="0"/>
    <n v="7000"/>
    <n v="7000"/>
    <n v="5.95"/>
    <n v="2.3800000000000003"/>
    <n v="2.3800000000000003"/>
    <s v="Boot Laces"/>
    <n v="28605"/>
  </r>
  <r>
    <x v="0"/>
    <d v="2017-07-11T00:00:00"/>
    <x v="180"/>
    <x v="3"/>
    <n v="3"/>
    <s v="입"/>
    <x v="180"/>
    <x v="1"/>
    <n v="6000"/>
    <n v="18000"/>
    <n v="4.95"/>
    <n v="1.9800000000000002"/>
    <n v="5.94"/>
    <s v="Thin Oval Laces"/>
    <n v="28605"/>
  </r>
  <r>
    <x v="0"/>
    <d v="2017-07-11T00:00:00"/>
    <x v="180"/>
    <x v="4"/>
    <n v="3"/>
    <s v="입"/>
    <x v="180"/>
    <x v="1"/>
    <n v="6000"/>
    <n v="18000"/>
    <n v="4.95"/>
    <n v="1.9800000000000002"/>
    <n v="5.94"/>
    <s v="Thin Oval Laces"/>
    <n v="28605"/>
  </r>
  <r>
    <x v="0"/>
    <d v="2017-07-11T00:00:00"/>
    <x v="181"/>
    <x v="3"/>
    <n v="3"/>
    <s v="입"/>
    <x v="181"/>
    <x v="1"/>
    <n v="6000"/>
    <n v="18000"/>
    <n v="4.95"/>
    <n v="1.9800000000000002"/>
    <n v="5.94"/>
    <s v="Thin Oval Laces"/>
    <n v="28605"/>
  </r>
  <r>
    <x v="0"/>
    <d v="2017-07-11T00:00:00"/>
    <x v="181"/>
    <x v="4"/>
    <n v="3"/>
    <s v="입"/>
    <x v="181"/>
    <x v="1"/>
    <n v="6000"/>
    <n v="18000"/>
    <n v="4.95"/>
    <n v="1.9800000000000002"/>
    <n v="5.94"/>
    <s v="Thin Oval Laces"/>
    <n v="28605"/>
  </r>
  <r>
    <x v="0"/>
    <d v="2017-07-11T00:00:00"/>
    <x v="182"/>
    <x v="3"/>
    <n v="3"/>
    <s v="입"/>
    <x v="182"/>
    <x v="1"/>
    <n v="6000"/>
    <n v="18000"/>
    <n v="4.95"/>
    <n v="1.9800000000000002"/>
    <n v="5.94"/>
    <s v="Thin Oval Laces"/>
    <n v="28605"/>
  </r>
  <r>
    <x v="0"/>
    <d v="2017-07-11T00:00:00"/>
    <x v="182"/>
    <x v="4"/>
    <n v="3"/>
    <s v="입"/>
    <x v="182"/>
    <x v="1"/>
    <n v="6000"/>
    <n v="18000"/>
    <n v="4.95"/>
    <n v="1.9800000000000002"/>
    <n v="5.94"/>
    <s v="Thin Oval Laces"/>
    <n v="28605"/>
  </r>
  <r>
    <x v="0"/>
    <d v="2017-07-11T00:00:00"/>
    <x v="183"/>
    <x v="3"/>
    <n v="3"/>
    <s v="입"/>
    <x v="183"/>
    <x v="1"/>
    <n v="6000"/>
    <n v="18000"/>
    <n v="4.95"/>
    <n v="1.9800000000000002"/>
    <n v="5.94"/>
    <s v="Thin Oval Laces"/>
    <n v="28605"/>
  </r>
  <r>
    <x v="0"/>
    <d v="2017-07-11T00:00:00"/>
    <x v="183"/>
    <x v="4"/>
    <n v="3"/>
    <s v="입"/>
    <x v="183"/>
    <x v="1"/>
    <n v="6000"/>
    <n v="18000"/>
    <n v="4.95"/>
    <n v="1.9800000000000002"/>
    <n v="5.94"/>
    <s v="Thin Oval Laces"/>
    <n v="28605"/>
  </r>
  <r>
    <x v="0"/>
    <d v="2017-07-11T00:00:00"/>
    <x v="184"/>
    <x v="3"/>
    <n v="3"/>
    <s v="입"/>
    <x v="184"/>
    <x v="1"/>
    <n v="6000"/>
    <n v="18000"/>
    <n v="4.95"/>
    <n v="1.9800000000000002"/>
    <n v="5.94"/>
    <s v="Thin Oval Laces"/>
    <n v="28605"/>
  </r>
  <r>
    <x v="0"/>
    <d v="2017-07-11T00:00:00"/>
    <x v="184"/>
    <x v="4"/>
    <n v="3"/>
    <s v="입"/>
    <x v="184"/>
    <x v="1"/>
    <n v="6000"/>
    <n v="18000"/>
    <n v="4.95"/>
    <n v="1.9800000000000002"/>
    <n v="5.94"/>
    <s v="Thin Oval Laces"/>
    <n v="28605"/>
  </r>
  <r>
    <x v="0"/>
    <d v="2017-07-11T00:00:00"/>
    <x v="185"/>
    <x v="3"/>
    <n v="3"/>
    <s v="입"/>
    <x v="185"/>
    <x v="1"/>
    <n v="6000"/>
    <n v="18000"/>
    <n v="4.95"/>
    <n v="1.9800000000000002"/>
    <n v="5.94"/>
    <s v="Thin Oval Laces"/>
    <n v="28605"/>
  </r>
  <r>
    <x v="0"/>
    <d v="2017-07-11T00:00:00"/>
    <x v="185"/>
    <x v="4"/>
    <n v="3"/>
    <s v="입"/>
    <x v="185"/>
    <x v="1"/>
    <n v="6000"/>
    <n v="18000"/>
    <n v="4.95"/>
    <n v="1.9800000000000002"/>
    <n v="5.94"/>
    <s v="Thin Oval Laces"/>
    <n v="28605"/>
  </r>
  <r>
    <x v="0"/>
    <d v="2017-07-11T00:00:00"/>
    <x v="186"/>
    <x v="3"/>
    <n v="3"/>
    <s v="입"/>
    <x v="186"/>
    <x v="1"/>
    <n v="6000"/>
    <n v="18000"/>
    <n v="4.95"/>
    <n v="1.9800000000000002"/>
    <n v="5.94"/>
    <s v="Thin Oval Laces"/>
    <n v="28605"/>
  </r>
  <r>
    <x v="0"/>
    <d v="2017-07-11T00:00:00"/>
    <x v="186"/>
    <x v="4"/>
    <n v="3"/>
    <s v="입"/>
    <x v="186"/>
    <x v="1"/>
    <n v="6000"/>
    <n v="18000"/>
    <n v="4.95"/>
    <n v="1.9800000000000002"/>
    <n v="5.94"/>
    <s v="Thin Oval Laces"/>
    <n v="28605"/>
  </r>
  <r>
    <x v="0"/>
    <d v="2017-07-11T00:00:00"/>
    <x v="187"/>
    <x v="3"/>
    <n v="3"/>
    <s v="입"/>
    <x v="187"/>
    <x v="1"/>
    <n v="6000"/>
    <n v="18000"/>
    <n v="4.95"/>
    <n v="1.9800000000000002"/>
    <n v="5.94"/>
    <s v="Thin Oval Laces"/>
    <n v="28605"/>
  </r>
  <r>
    <x v="0"/>
    <d v="2017-07-11T00:00:00"/>
    <x v="187"/>
    <x v="4"/>
    <n v="3"/>
    <s v="입"/>
    <x v="187"/>
    <x v="1"/>
    <n v="6000"/>
    <n v="18000"/>
    <n v="4.95"/>
    <n v="1.9800000000000002"/>
    <n v="5.94"/>
    <s v="Thin Oval Laces"/>
    <n v="28605"/>
  </r>
  <r>
    <x v="0"/>
    <d v="2017-07-11T00:00:00"/>
    <x v="188"/>
    <x v="3"/>
    <n v="3"/>
    <s v="입"/>
    <x v="188"/>
    <x v="1"/>
    <n v="6000"/>
    <n v="18000"/>
    <n v="4.95"/>
    <n v="1.9800000000000002"/>
    <n v="5.94"/>
    <s v="Thin Oval Laces"/>
    <n v="28605"/>
  </r>
  <r>
    <x v="0"/>
    <d v="2017-07-11T00:00:00"/>
    <x v="188"/>
    <x v="4"/>
    <n v="3"/>
    <s v="입"/>
    <x v="188"/>
    <x v="1"/>
    <n v="6000"/>
    <n v="18000"/>
    <n v="4.95"/>
    <n v="1.9800000000000002"/>
    <n v="5.94"/>
    <s v="Thin Oval Laces"/>
    <n v="28605"/>
  </r>
  <r>
    <x v="0"/>
    <d v="2017-07-11T00:00:00"/>
    <x v="189"/>
    <x v="3"/>
    <n v="3"/>
    <s v="입"/>
    <x v="189"/>
    <x v="1"/>
    <n v="6000"/>
    <n v="18000"/>
    <n v="4.95"/>
    <n v="1.9800000000000002"/>
    <n v="5.94"/>
    <s v="Thin Oval Laces"/>
    <n v="28605"/>
  </r>
  <r>
    <x v="0"/>
    <d v="2017-07-11T00:00:00"/>
    <x v="189"/>
    <x v="4"/>
    <n v="3"/>
    <s v="입"/>
    <x v="189"/>
    <x v="1"/>
    <n v="6000"/>
    <n v="18000"/>
    <n v="4.95"/>
    <n v="1.9800000000000002"/>
    <n v="5.94"/>
    <s v="Thin Oval Laces"/>
    <n v="28605"/>
  </r>
  <r>
    <x v="0"/>
    <d v="2017-07-11T00:00:00"/>
    <x v="190"/>
    <x v="3"/>
    <n v="6"/>
    <s v="입"/>
    <x v="190"/>
    <x v="4"/>
    <n v="8000"/>
    <n v="48000"/>
    <n v="6.95"/>
    <n v="2.7800000000000002"/>
    <n v="16.68"/>
    <s v="Waxed Shoe Laces"/>
    <n v="28605"/>
  </r>
  <r>
    <x v="0"/>
    <d v="2017-07-11T00:00:00"/>
    <x v="190"/>
    <x v="4"/>
    <n v="3"/>
    <s v="입"/>
    <x v="190"/>
    <x v="1"/>
    <n v="8000"/>
    <n v="24000"/>
    <n v="6.95"/>
    <n v="2.7800000000000002"/>
    <n v="8.34"/>
    <s v="Waxed Shoe Laces"/>
    <n v="28605"/>
  </r>
  <r>
    <x v="1"/>
    <d v="2017-08-24T00:00:00"/>
    <x v="3"/>
    <x v="0"/>
    <n v="1"/>
    <s v="출"/>
    <x v="3"/>
    <x v="5"/>
    <n v="7000"/>
    <n v="7000"/>
    <n v="5.95"/>
    <n v="2.3800000000000003"/>
    <n v="2.3800000000000003"/>
    <s v="Rope Laces"/>
    <m/>
  </r>
  <r>
    <x v="1"/>
    <d v="2017-08-24T00:00:00"/>
    <x v="122"/>
    <x v="4"/>
    <n v="1"/>
    <s v="출"/>
    <x v="122"/>
    <x v="5"/>
    <n v="7000"/>
    <n v="7000"/>
    <n v="5.95"/>
    <n v="2.3800000000000003"/>
    <n v="2.3800000000000003"/>
    <s v="XI Rope Laces"/>
    <m/>
  </r>
  <r>
    <x v="1"/>
    <d v="2017-08-24T00:00:00"/>
    <x v="117"/>
    <x v="4"/>
    <n v="1"/>
    <s v="출"/>
    <x v="117"/>
    <x v="5"/>
    <n v="7000"/>
    <n v="7000"/>
    <n v="5.95"/>
    <n v="2.3800000000000003"/>
    <n v="2.3800000000000003"/>
    <s v="XI Rope Laces"/>
    <m/>
  </r>
  <r>
    <x v="1"/>
    <d v="2017-08-27T00:00:00"/>
    <x v="142"/>
    <x v="5"/>
    <n v="1"/>
    <s v="출"/>
    <x v="142"/>
    <x v="5"/>
    <n v="25000"/>
    <n v="25000"/>
    <n v="19.95"/>
    <n v="7.98"/>
    <n v="7.98"/>
    <s v="Luxury Leather Laces"/>
    <m/>
  </r>
  <r>
    <x v="2"/>
    <m/>
    <x v="191"/>
    <x v="7"/>
    <m/>
    <m/>
    <x v="191"/>
    <x v="3"/>
    <e v="#N/A"/>
    <e v="#N/A"/>
    <e v="#N/A"/>
    <e v="#N/A"/>
    <e v="#N/A"/>
    <e v="#N/A"/>
    <m/>
  </r>
  <r>
    <x v="2"/>
    <m/>
    <x v="191"/>
    <x v="7"/>
    <m/>
    <m/>
    <x v="191"/>
    <x v="3"/>
    <e v="#N/A"/>
    <e v="#N/A"/>
    <e v="#N/A"/>
    <e v="#N/A"/>
    <e v="#N/A"/>
    <e v="#N/A"/>
    <m/>
  </r>
  <r>
    <x v="2"/>
    <m/>
    <x v="191"/>
    <x v="7"/>
    <m/>
    <m/>
    <x v="191"/>
    <x v="3"/>
    <e v="#N/A"/>
    <e v="#N/A"/>
    <e v="#N/A"/>
    <e v="#N/A"/>
    <e v="#N/A"/>
    <e v="#N/A"/>
    <m/>
  </r>
  <r>
    <x v="2"/>
    <m/>
    <x v="191"/>
    <x v="7"/>
    <m/>
    <m/>
    <x v="191"/>
    <x v="3"/>
    <e v="#N/A"/>
    <e v="#N/A"/>
    <e v="#N/A"/>
    <e v="#N/A"/>
    <e v="#N/A"/>
    <e v="#N/A"/>
    <m/>
  </r>
  <r>
    <x v="2"/>
    <m/>
    <x v="191"/>
    <x v="7"/>
    <m/>
    <m/>
    <x v="191"/>
    <x v="3"/>
    <e v="#N/A"/>
    <e v="#N/A"/>
    <e v="#N/A"/>
    <e v="#N/A"/>
    <e v="#N/A"/>
    <e v="#N/A"/>
    <m/>
  </r>
  <r>
    <x v="2"/>
    <m/>
    <x v="191"/>
    <x v="7"/>
    <m/>
    <m/>
    <x v="191"/>
    <x v="3"/>
    <e v="#N/A"/>
    <e v="#N/A"/>
    <e v="#N/A"/>
    <e v="#N/A"/>
    <e v="#N/A"/>
    <e v="#N/A"/>
    <m/>
  </r>
  <r>
    <x v="2"/>
    <m/>
    <x v="191"/>
    <x v="7"/>
    <m/>
    <m/>
    <x v="191"/>
    <x v="3"/>
    <e v="#N/A"/>
    <e v="#N/A"/>
    <e v="#N/A"/>
    <e v="#N/A"/>
    <e v="#N/A"/>
    <e v="#N/A"/>
    <m/>
  </r>
  <r>
    <x v="2"/>
    <m/>
    <x v="191"/>
    <x v="7"/>
    <m/>
    <m/>
    <x v="191"/>
    <x v="3"/>
    <e v="#N/A"/>
    <e v="#N/A"/>
    <e v="#N/A"/>
    <e v="#N/A"/>
    <e v="#N/A"/>
    <e v="#N/A"/>
    <m/>
  </r>
  <r>
    <x v="2"/>
    <m/>
    <x v="191"/>
    <x v="7"/>
    <m/>
    <m/>
    <x v="191"/>
    <x v="3"/>
    <e v="#N/A"/>
    <e v="#N/A"/>
    <e v="#N/A"/>
    <e v="#N/A"/>
    <e v="#N/A"/>
    <e v="#N/A"/>
    <m/>
  </r>
  <r>
    <x v="2"/>
    <m/>
    <x v="191"/>
    <x v="7"/>
    <m/>
    <m/>
    <x v="191"/>
    <x v="3"/>
    <e v="#N/A"/>
    <e v="#N/A"/>
    <e v="#N/A"/>
    <e v="#N/A"/>
    <e v="#N/A"/>
    <e v="#N/A"/>
    <m/>
  </r>
  <r>
    <x v="2"/>
    <m/>
    <x v="191"/>
    <x v="7"/>
    <m/>
    <m/>
    <x v="191"/>
    <x v="3"/>
    <e v="#N/A"/>
    <e v="#N/A"/>
    <e v="#N/A"/>
    <e v="#N/A"/>
    <e v="#N/A"/>
    <e v="#N/A"/>
    <m/>
  </r>
  <r>
    <x v="2"/>
    <m/>
    <x v="191"/>
    <x v="7"/>
    <m/>
    <m/>
    <x v="191"/>
    <x v="3"/>
    <e v="#N/A"/>
    <e v="#N/A"/>
    <e v="#N/A"/>
    <e v="#N/A"/>
    <e v="#N/A"/>
    <e v="#N/A"/>
    <m/>
  </r>
  <r>
    <x v="2"/>
    <m/>
    <x v="191"/>
    <x v="7"/>
    <m/>
    <m/>
    <x v="191"/>
    <x v="3"/>
    <e v="#N/A"/>
    <e v="#N/A"/>
    <e v="#N/A"/>
    <e v="#N/A"/>
    <e v="#N/A"/>
    <e v="#N/A"/>
    <m/>
  </r>
  <r>
    <x v="2"/>
    <m/>
    <x v="191"/>
    <x v="7"/>
    <m/>
    <m/>
    <x v="191"/>
    <x v="3"/>
    <e v="#N/A"/>
    <e v="#N/A"/>
    <e v="#N/A"/>
    <e v="#N/A"/>
    <e v="#N/A"/>
    <e v="#N/A"/>
    <m/>
  </r>
  <r>
    <x v="2"/>
    <m/>
    <x v="191"/>
    <x v="7"/>
    <m/>
    <m/>
    <x v="191"/>
    <x v="3"/>
    <e v="#N/A"/>
    <e v="#N/A"/>
    <e v="#N/A"/>
    <e v="#N/A"/>
    <e v="#N/A"/>
    <e v="#N/A"/>
    <m/>
  </r>
  <r>
    <x v="2"/>
    <m/>
    <x v="191"/>
    <x v="7"/>
    <m/>
    <m/>
    <x v="191"/>
    <x v="3"/>
    <e v="#N/A"/>
    <e v="#N/A"/>
    <e v="#N/A"/>
    <e v="#N/A"/>
    <e v="#N/A"/>
    <e v="#N/A"/>
    <m/>
  </r>
  <r>
    <x v="2"/>
    <m/>
    <x v="191"/>
    <x v="7"/>
    <m/>
    <m/>
    <x v="191"/>
    <x v="3"/>
    <e v="#N/A"/>
    <e v="#N/A"/>
    <e v="#N/A"/>
    <e v="#N/A"/>
    <e v="#N/A"/>
    <e v="#N/A"/>
    <m/>
  </r>
  <r>
    <x v="2"/>
    <m/>
    <x v="191"/>
    <x v="7"/>
    <m/>
    <m/>
    <x v="191"/>
    <x v="3"/>
    <e v="#N/A"/>
    <e v="#N/A"/>
    <e v="#N/A"/>
    <e v="#N/A"/>
    <e v="#N/A"/>
    <e v="#N/A"/>
    <m/>
  </r>
  <r>
    <x v="2"/>
    <m/>
    <x v="191"/>
    <x v="7"/>
    <m/>
    <m/>
    <x v="191"/>
    <x v="3"/>
    <e v="#N/A"/>
    <e v="#N/A"/>
    <e v="#N/A"/>
    <e v="#N/A"/>
    <e v="#N/A"/>
    <e v="#N/A"/>
    <m/>
  </r>
  <r>
    <x v="2"/>
    <m/>
    <x v="191"/>
    <x v="7"/>
    <m/>
    <m/>
    <x v="191"/>
    <x v="3"/>
    <e v="#N/A"/>
    <e v="#N/A"/>
    <e v="#N/A"/>
    <e v="#N/A"/>
    <e v="#N/A"/>
    <e v="#N/A"/>
    <m/>
  </r>
  <r>
    <x v="2"/>
    <m/>
    <x v="191"/>
    <x v="7"/>
    <m/>
    <m/>
    <x v="191"/>
    <x v="3"/>
    <e v="#N/A"/>
    <e v="#N/A"/>
    <e v="#N/A"/>
    <e v="#N/A"/>
    <e v="#N/A"/>
    <e v="#N/A"/>
    <m/>
  </r>
  <r>
    <x v="2"/>
    <m/>
    <x v="191"/>
    <x v="7"/>
    <m/>
    <m/>
    <x v="191"/>
    <x v="3"/>
    <e v="#N/A"/>
    <e v="#N/A"/>
    <e v="#N/A"/>
    <e v="#N/A"/>
    <e v="#N/A"/>
    <e v="#N/A"/>
    <m/>
  </r>
  <r>
    <x v="2"/>
    <m/>
    <x v="191"/>
    <x v="7"/>
    <m/>
    <m/>
    <x v="191"/>
    <x v="3"/>
    <e v="#N/A"/>
    <e v="#N/A"/>
    <e v="#N/A"/>
    <e v="#N/A"/>
    <e v="#N/A"/>
    <e v="#N/A"/>
    <m/>
  </r>
  <r>
    <x v="2"/>
    <m/>
    <x v="191"/>
    <x v="7"/>
    <m/>
    <m/>
    <x v="191"/>
    <x v="3"/>
    <e v="#N/A"/>
    <e v="#N/A"/>
    <e v="#N/A"/>
    <e v="#N/A"/>
    <e v="#N/A"/>
    <e v="#N/A"/>
    <m/>
  </r>
  <r>
    <x v="2"/>
    <m/>
    <x v="191"/>
    <x v="7"/>
    <m/>
    <m/>
    <x v="191"/>
    <x v="3"/>
    <e v="#N/A"/>
    <e v="#N/A"/>
    <e v="#N/A"/>
    <e v="#N/A"/>
    <e v="#N/A"/>
    <e v="#N/A"/>
    <m/>
  </r>
  <r>
    <x v="2"/>
    <m/>
    <x v="191"/>
    <x v="7"/>
    <m/>
    <m/>
    <x v="191"/>
    <x v="3"/>
    <e v="#N/A"/>
    <e v="#N/A"/>
    <e v="#N/A"/>
    <e v="#N/A"/>
    <e v="#N/A"/>
    <e v="#N/A"/>
    <m/>
  </r>
  <r>
    <x v="2"/>
    <m/>
    <x v="191"/>
    <x v="7"/>
    <m/>
    <m/>
    <x v="191"/>
    <x v="3"/>
    <e v="#N/A"/>
    <e v="#N/A"/>
    <e v="#N/A"/>
    <e v="#N/A"/>
    <e v="#N/A"/>
    <e v="#N/A"/>
    <m/>
  </r>
  <r>
    <x v="2"/>
    <m/>
    <x v="191"/>
    <x v="7"/>
    <m/>
    <m/>
    <x v="191"/>
    <x v="3"/>
    <e v="#N/A"/>
    <e v="#N/A"/>
    <e v="#N/A"/>
    <e v="#N/A"/>
    <e v="#N/A"/>
    <e v="#N/A"/>
    <m/>
  </r>
  <r>
    <x v="2"/>
    <m/>
    <x v="191"/>
    <x v="7"/>
    <m/>
    <m/>
    <x v="191"/>
    <x v="3"/>
    <e v="#N/A"/>
    <e v="#N/A"/>
    <e v="#N/A"/>
    <e v="#N/A"/>
    <e v="#N/A"/>
    <e v="#N/A"/>
    <m/>
  </r>
  <r>
    <x v="2"/>
    <m/>
    <x v="191"/>
    <x v="7"/>
    <m/>
    <m/>
    <x v="191"/>
    <x v="3"/>
    <e v="#N/A"/>
    <e v="#N/A"/>
    <e v="#N/A"/>
    <e v="#N/A"/>
    <e v="#N/A"/>
    <e v="#N/A"/>
    <m/>
  </r>
  <r>
    <x v="2"/>
    <m/>
    <x v="191"/>
    <x v="7"/>
    <m/>
    <m/>
    <x v="191"/>
    <x v="3"/>
    <e v="#N/A"/>
    <e v="#N/A"/>
    <e v="#N/A"/>
    <e v="#N/A"/>
    <e v="#N/A"/>
    <e v="#N/A"/>
    <m/>
  </r>
  <r>
    <x v="2"/>
    <m/>
    <x v="191"/>
    <x v="7"/>
    <m/>
    <m/>
    <x v="191"/>
    <x v="3"/>
    <e v="#N/A"/>
    <e v="#N/A"/>
    <e v="#N/A"/>
    <e v="#N/A"/>
    <e v="#N/A"/>
    <e v="#N/A"/>
    <m/>
  </r>
  <r>
    <x v="2"/>
    <m/>
    <x v="191"/>
    <x v="7"/>
    <m/>
    <m/>
    <x v="191"/>
    <x v="3"/>
    <e v="#N/A"/>
    <e v="#N/A"/>
    <e v="#N/A"/>
    <e v="#N/A"/>
    <e v="#N/A"/>
    <e v="#N/A"/>
    <m/>
  </r>
  <r>
    <x v="2"/>
    <m/>
    <x v="191"/>
    <x v="7"/>
    <m/>
    <m/>
    <x v="191"/>
    <x v="3"/>
    <e v="#N/A"/>
    <e v="#N/A"/>
    <e v="#N/A"/>
    <e v="#N/A"/>
    <e v="#N/A"/>
    <e v="#N/A"/>
    <m/>
  </r>
  <r>
    <x v="2"/>
    <m/>
    <x v="191"/>
    <x v="7"/>
    <m/>
    <m/>
    <x v="191"/>
    <x v="3"/>
    <e v="#N/A"/>
    <e v="#N/A"/>
    <e v="#N/A"/>
    <e v="#N/A"/>
    <e v="#N/A"/>
    <e v="#N/A"/>
    <m/>
  </r>
  <r>
    <x v="2"/>
    <m/>
    <x v="191"/>
    <x v="7"/>
    <m/>
    <m/>
    <x v="191"/>
    <x v="3"/>
    <e v="#N/A"/>
    <e v="#N/A"/>
    <e v="#N/A"/>
    <e v="#N/A"/>
    <e v="#N/A"/>
    <e v="#N/A"/>
    <m/>
  </r>
  <r>
    <x v="2"/>
    <m/>
    <x v="191"/>
    <x v="7"/>
    <m/>
    <m/>
    <x v="191"/>
    <x v="3"/>
    <e v="#N/A"/>
    <e v="#N/A"/>
    <e v="#N/A"/>
    <e v="#N/A"/>
    <e v="#N/A"/>
    <e v="#N/A"/>
    <m/>
  </r>
  <r>
    <x v="2"/>
    <m/>
    <x v="191"/>
    <x v="7"/>
    <m/>
    <m/>
    <x v="191"/>
    <x v="3"/>
    <e v="#N/A"/>
    <e v="#N/A"/>
    <e v="#N/A"/>
    <e v="#N/A"/>
    <e v="#N/A"/>
    <e v="#N/A"/>
    <m/>
  </r>
  <r>
    <x v="2"/>
    <m/>
    <x v="191"/>
    <x v="7"/>
    <m/>
    <m/>
    <x v="191"/>
    <x v="3"/>
    <e v="#N/A"/>
    <e v="#N/A"/>
    <e v="#N/A"/>
    <e v="#N/A"/>
    <e v="#N/A"/>
    <e v="#N/A"/>
    <m/>
  </r>
  <r>
    <x v="2"/>
    <m/>
    <x v="191"/>
    <x v="7"/>
    <m/>
    <m/>
    <x v="191"/>
    <x v="3"/>
    <e v="#N/A"/>
    <e v="#N/A"/>
    <e v="#N/A"/>
    <e v="#N/A"/>
    <e v="#N/A"/>
    <e v="#N/A"/>
    <m/>
  </r>
  <r>
    <x v="2"/>
    <m/>
    <x v="191"/>
    <x v="7"/>
    <m/>
    <m/>
    <x v="191"/>
    <x v="3"/>
    <e v="#N/A"/>
    <e v="#N/A"/>
    <e v="#N/A"/>
    <e v="#N/A"/>
    <e v="#N/A"/>
    <e v="#N/A"/>
    <m/>
  </r>
  <r>
    <x v="2"/>
    <m/>
    <x v="191"/>
    <x v="7"/>
    <m/>
    <m/>
    <x v="191"/>
    <x v="3"/>
    <e v="#N/A"/>
    <e v="#N/A"/>
    <e v="#N/A"/>
    <e v="#N/A"/>
    <e v="#N/A"/>
    <e v="#N/A"/>
    <m/>
  </r>
  <r>
    <x v="2"/>
    <m/>
    <x v="191"/>
    <x v="7"/>
    <m/>
    <m/>
    <x v="191"/>
    <x v="3"/>
    <e v="#N/A"/>
    <e v="#N/A"/>
    <e v="#N/A"/>
    <e v="#N/A"/>
    <e v="#N/A"/>
    <e v="#N/A"/>
    <m/>
  </r>
  <r>
    <x v="2"/>
    <m/>
    <x v="191"/>
    <x v="7"/>
    <m/>
    <m/>
    <x v="191"/>
    <x v="3"/>
    <e v="#N/A"/>
    <e v="#N/A"/>
    <e v="#N/A"/>
    <e v="#N/A"/>
    <e v="#N/A"/>
    <e v="#N/A"/>
    <m/>
  </r>
  <r>
    <x v="2"/>
    <m/>
    <x v="191"/>
    <x v="7"/>
    <m/>
    <m/>
    <x v="191"/>
    <x v="3"/>
    <e v="#N/A"/>
    <e v="#N/A"/>
    <e v="#N/A"/>
    <e v="#N/A"/>
    <e v="#N/A"/>
    <e v="#N/A"/>
    <m/>
  </r>
  <r>
    <x v="2"/>
    <m/>
    <x v="191"/>
    <x v="7"/>
    <m/>
    <m/>
    <x v="191"/>
    <x v="3"/>
    <e v="#N/A"/>
    <e v="#N/A"/>
    <e v="#N/A"/>
    <e v="#N/A"/>
    <e v="#N/A"/>
    <e v="#N/A"/>
    <m/>
  </r>
  <r>
    <x v="2"/>
    <m/>
    <x v="191"/>
    <x v="7"/>
    <m/>
    <m/>
    <x v="191"/>
    <x v="3"/>
    <e v="#N/A"/>
    <e v="#N/A"/>
    <e v="#N/A"/>
    <e v="#N/A"/>
    <e v="#N/A"/>
    <e v="#N/A"/>
    <m/>
  </r>
  <r>
    <x v="2"/>
    <m/>
    <x v="191"/>
    <x v="7"/>
    <m/>
    <m/>
    <x v="191"/>
    <x v="3"/>
    <e v="#N/A"/>
    <e v="#N/A"/>
    <e v="#N/A"/>
    <e v="#N/A"/>
    <e v="#N/A"/>
    <e v="#N/A"/>
    <m/>
  </r>
  <r>
    <x v="2"/>
    <m/>
    <x v="191"/>
    <x v="7"/>
    <m/>
    <m/>
    <x v="191"/>
    <x v="3"/>
    <e v="#N/A"/>
    <e v="#N/A"/>
    <e v="#N/A"/>
    <e v="#N/A"/>
    <e v="#N/A"/>
    <e v="#N/A"/>
    <m/>
  </r>
  <r>
    <x v="2"/>
    <m/>
    <x v="191"/>
    <x v="7"/>
    <m/>
    <m/>
    <x v="191"/>
    <x v="3"/>
    <e v="#N/A"/>
    <e v="#N/A"/>
    <e v="#N/A"/>
    <e v="#N/A"/>
    <e v="#N/A"/>
    <e v="#N/A"/>
    <m/>
  </r>
  <r>
    <x v="2"/>
    <m/>
    <x v="191"/>
    <x v="7"/>
    <m/>
    <m/>
    <x v="191"/>
    <x v="3"/>
    <e v="#N/A"/>
    <e v="#N/A"/>
    <e v="#N/A"/>
    <e v="#N/A"/>
    <e v="#N/A"/>
    <e v="#N/A"/>
    <m/>
  </r>
  <r>
    <x v="2"/>
    <m/>
    <x v="191"/>
    <x v="7"/>
    <m/>
    <m/>
    <x v="191"/>
    <x v="3"/>
    <e v="#N/A"/>
    <e v="#N/A"/>
    <e v="#N/A"/>
    <e v="#N/A"/>
    <e v="#N/A"/>
    <e v="#N/A"/>
    <m/>
  </r>
  <r>
    <x v="2"/>
    <m/>
    <x v="191"/>
    <x v="7"/>
    <m/>
    <m/>
    <x v="191"/>
    <x v="3"/>
    <e v="#N/A"/>
    <e v="#N/A"/>
    <e v="#N/A"/>
    <e v="#N/A"/>
    <e v="#N/A"/>
    <e v="#N/A"/>
    <m/>
  </r>
  <r>
    <x v="2"/>
    <m/>
    <x v="191"/>
    <x v="7"/>
    <m/>
    <m/>
    <x v="191"/>
    <x v="3"/>
    <e v="#N/A"/>
    <e v="#N/A"/>
    <e v="#N/A"/>
    <e v="#N/A"/>
    <e v="#N/A"/>
    <e v="#N/A"/>
    <m/>
  </r>
  <r>
    <x v="2"/>
    <m/>
    <x v="191"/>
    <x v="7"/>
    <m/>
    <m/>
    <x v="191"/>
    <x v="3"/>
    <e v="#N/A"/>
    <e v="#N/A"/>
    <e v="#N/A"/>
    <e v="#N/A"/>
    <e v="#N/A"/>
    <e v="#N/A"/>
    <m/>
  </r>
  <r>
    <x v="2"/>
    <m/>
    <x v="191"/>
    <x v="7"/>
    <m/>
    <m/>
    <x v="191"/>
    <x v="3"/>
    <e v="#N/A"/>
    <e v="#N/A"/>
    <e v="#N/A"/>
    <e v="#N/A"/>
    <e v="#N/A"/>
    <e v="#N/A"/>
    <m/>
  </r>
  <r>
    <x v="2"/>
    <m/>
    <x v="191"/>
    <x v="7"/>
    <m/>
    <m/>
    <x v="191"/>
    <x v="3"/>
    <e v="#N/A"/>
    <e v="#N/A"/>
    <e v="#N/A"/>
    <e v="#N/A"/>
    <e v="#N/A"/>
    <e v="#N/A"/>
    <m/>
  </r>
  <r>
    <x v="2"/>
    <m/>
    <x v="191"/>
    <x v="7"/>
    <m/>
    <m/>
    <x v="191"/>
    <x v="3"/>
    <e v="#N/A"/>
    <e v="#N/A"/>
    <e v="#N/A"/>
    <e v="#N/A"/>
    <e v="#N/A"/>
    <e v="#N/A"/>
    <m/>
  </r>
  <r>
    <x v="2"/>
    <m/>
    <x v="191"/>
    <x v="7"/>
    <m/>
    <m/>
    <x v="191"/>
    <x v="3"/>
    <e v="#N/A"/>
    <e v="#N/A"/>
    <e v="#N/A"/>
    <e v="#N/A"/>
    <e v="#N/A"/>
    <e v="#N/A"/>
    <m/>
  </r>
  <r>
    <x v="2"/>
    <m/>
    <x v="191"/>
    <x v="7"/>
    <m/>
    <m/>
    <x v="191"/>
    <x v="3"/>
    <e v="#N/A"/>
    <e v="#N/A"/>
    <e v="#N/A"/>
    <e v="#N/A"/>
    <e v="#N/A"/>
    <e v="#N/A"/>
    <m/>
  </r>
  <r>
    <x v="2"/>
    <m/>
    <x v="191"/>
    <x v="7"/>
    <m/>
    <m/>
    <x v="191"/>
    <x v="3"/>
    <e v="#N/A"/>
    <e v="#N/A"/>
    <e v="#N/A"/>
    <e v="#N/A"/>
    <e v="#N/A"/>
    <e v="#N/A"/>
    <m/>
  </r>
  <r>
    <x v="2"/>
    <m/>
    <x v="191"/>
    <x v="7"/>
    <m/>
    <m/>
    <x v="191"/>
    <x v="3"/>
    <e v="#N/A"/>
    <e v="#N/A"/>
    <e v="#N/A"/>
    <e v="#N/A"/>
    <e v="#N/A"/>
    <e v="#N/A"/>
    <m/>
  </r>
  <r>
    <x v="2"/>
    <m/>
    <x v="191"/>
    <x v="7"/>
    <m/>
    <m/>
    <x v="191"/>
    <x v="3"/>
    <e v="#N/A"/>
    <e v="#N/A"/>
    <e v="#N/A"/>
    <e v="#N/A"/>
    <e v="#N/A"/>
    <e v="#N/A"/>
    <m/>
  </r>
  <r>
    <x v="2"/>
    <m/>
    <x v="191"/>
    <x v="7"/>
    <m/>
    <m/>
    <x v="191"/>
    <x v="3"/>
    <e v="#N/A"/>
    <e v="#N/A"/>
    <e v="#N/A"/>
    <e v="#N/A"/>
    <e v="#N/A"/>
    <e v="#N/A"/>
    <m/>
  </r>
  <r>
    <x v="2"/>
    <m/>
    <x v="191"/>
    <x v="7"/>
    <m/>
    <m/>
    <x v="191"/>
    <x v="3"/>
    <e v="#N/A"/>
    <e v="#N/A"/>
    <e v="#N/A"/>
    <e v="#N/A"/>
    <e v="#N/A"/>
    <e v="#N/A"/>
    <m/>
  </r>
  <r>
    <x v="2"/>
    <m/>
    <x v="191"/>
    <x v="7"/>
    <m/>
    <m/>
    <x v="191"/>
    <x v="3"/>
    <e v="#N/A"/>
    <e v="#N/A"/>
    <e v="#N/A"/>
    <e v="#N/A"/>
    <e v="#N/A"/>
    <e v="#N/A"/>
    <m/>
  </r>
  <r>
    <x v="2"/>
    <m/>
    <x v="191"/>
    <x v="7"/>
    <m/>
    <m/>
    <x v="191"/>
    <x v="3"/>
    <e v="#N/A"/>
    <e v="#N/A"/>
    <e v="#N/A"/>
    <e v="#N/A"/>
    <e v="#N/A"/>
    <e v="#N/A"/>
    <m/>
  </r>
  <r>
    <x v="2"/>
    <m/>
    <x v="191"/>
    <x v="7"/>
    <m/>
    <m/>
    <x v="191"/>
    <x v="3"/>
    <e v="#N/A"/>
    <e v="#N/A"/>
    <e v="#N/A"/>
    <e v="#N/A"/>
    <e v="#N/A"/>
    <e v="#N/A"/>
    <m/>
  </r>
  <r>
    <x v="2"/>
    <m/>
    <x v="191"/>
    <x v="7"/>
    <m/>
    <m/>
    <x v="191"/>
    <x v="3"/>
    <e v="#N/A"/>
    <e v="#N/A"/>
    <e v="#N/A"/>
    <e v="#N/A"/>
    <e v="#N/A"/>
    <e v="#N/A"/>
    <m/>
  </r>
  <r>
    <x v="2"/>
    <m/>
    <x v="191"/>
    <x v="7"/>
    <m/>
    <m/>
    <x v="191"/>
    <x v="3"/>
    <e v="#N/A"/>
    <e v="#N/A"/>
    <e v="#N/A"/>
    <e v="#N/A"/>
    <e v="#N/A"/>
    <e v="#N/A"/>
    <m/>
  </r>
  <r>
    <x v="2"/>
    <m/>
    <x v="191"/>
    <x v="7"/>
    <m/>
    <m/>
    <x v="191"/>
    <x v="3"/>
    <e v="#N/A"/>
    <e v="#N/A"/>
    <e v="#N/A"/>
    <e v="#N/A"/>
    <e v="#N/A"/>
    <e v="#N/A"/>
    <m/>
  </r>
  <r>
    <x v="2"/>
    <m/>
    <x v="191"/>
    <x v="7"/>
    <m/>
    <m/>
    <x v="191"/>
    <x v="3"/>
    <e v="#N/A"/>
    <e v="#N/A"/>
    <e v="#N/A"/>
    <e v="#N/A"/>
    <e v="#N/A"/>
    <e v="#N/A"/>
    <m/>
  </r>
  <r>
    <x v="2"/>
    <m/>
    <x v="191"/>
    <x v="7"/>
    <m/>
    <m/>
    <x v="191"/>
    <x v="3"/>
    <e v="#N/A"/>
    <e v="#N/A"/>
    <e v="#N/A"/>
    <e v="#N/A"/>
    <e v="#N/A"/>
    <e v="#N/A"/>
    <m/>
  </r>
  <r>
    <x v="2"/>
    <m/>
    <x v="191"/>
    <x v="7"/>
    <m/>
    <m/>
    <x v="191"/>
    <x v="3"/>
    <e v="#N/A"/>
    <e v="#N/A"/>
    <e v="#N/A"/>
    <e v="#N/A"/>
    <e v="#N/A"/>
    <e v="#N/A"/>
    <m/>
  </r>
  <r>
    <x v="2"/>
    <m/>
    <x v="191"/>
    <x v="7"/>
    <m/>
    <m/>
    <x v="191"/>
    <x v="3"/>
    <e v="#N/A"/>
    <e v="#N/A"/>
    <e v="#N/A"/>
    <e v="#N/A"/>
    <e v="#N/A"/>
    <e v="#N/A"/>
    <m/>
  </r>
  <r>
    <x v="2"/>
    <m/>
    <x v="191"/>
    <x v="7"/>
    <m/>
    <m/>
    <x v="191"/>
    <x v="3"/>
    <e v="#N/A"/>
    <e v="#N/A"/>
    <e v="#N/A"/>
    <e v="#N/A"/>
    <e v="#N/A"/>
    <e v="#N/A"/>
    <m/>
  </r>
  <r>
    <x v="2"/>
    <m/>
    <x v="191"/>
    <x v="7"/>
    <m/>
    <m/>
    <x v="191"/>
    <x v="3"/>
    <e v="#N/A"/>
    <e v="#N/A"/>
    <e v="#N/A"/>
    <e v="#N/A"/>
    <e v="#N/A"/>
    <e v="#N/A"/>
    <m/>
  </r>
  <r>
    <x v="2"/>
    <m/>
    <x v="191"/>
    <x v="7"/>
    <m/>
    <m/>
    <x v="191"/>
    <x v="3"/>
    <e v="#N/A"/>
    <e v="#N/A"/>
    <e v="#N/A"/>
    <e v="#N/A"/>
    <e v="#N/A"/>
    <e v="#N/A"/>
    <m/>
  </r>
  <r>
    <x v="2"/>
    <m/>
    <x v="191"/>
    <x v="7"/>
    <m/>
    <m/>
    <x v="191"/>
    <x v="3"/>
    <e v="#N/A"/>
    <e v="#N/A"/>
    <e v="#N/A"/>
    <e v="#N/A"/>
    <e v="#N/A"/>
    <e v="#N/A"/>
    <m/>
  </r>
  <r>
    <x v="2"/>
    <m/>
    <x v="191"/>
    <x v="7"/>
    <m/>
    <m/>
    <x v="191"/>
    <x v="3"/>
    <e v="#N/A"/>
    <e v="#N/A"/>
    <e v="#N/A"/>
    <e v="#N/A"/>
    <e v="#N/A"/>
    <e v="#N/A"/>
    <m/>
  </r>
  <r>
    <x v="2"/>
    <m/>
    <x v="191"/>
    <x v="7"/>
    <m/>
    <m/>
    <x v="191"/>
    <x v="3"/>
    <e v="#N/A"/>
    <e v="#N/A"/>
    <e v="#N/A"/>
    <e v="#N/A"/>
    <e v="#N/A"/>
    <e v="#N/A"/>
    <m/>
  </r>
  <r>
    <x v="2"/>
    <m/>
    <x v="191"/>
    <x v="7"/>
    <m/>
    <m/>
    <x v="191"/>
    <x v="3"/>
    <e v="#N/A"/>
    <e v="#N/A"/>
    <e v="#N/A"/>
    <e v="#N/A"/>
    <e v="#N/A"/>
    <e v="#N/A"/>
    <m/>
  </r>
  <r>
    <x v="2"/>
    <m/>
    <x v="191"/>
    <x v="7"/>
    <m/>
    <m/>
    <x v="191"/>
    <x v="3"/>
    <e v="#N/A"/>
    <e v="#N/A"/>
    <e v="#N/A"/>
    <e v="#N/A"/>
    <e v="#N/A"/>
    <e v="#N/A"/>
    <m/>
  </r>
  <r>
    <x v="2"/>
    <m/>
    <x v="191"/>
    <x v="7"/>
    <m/>
    <m/>
    <x v="191"/>
    <x v="3"/>
    <e v="#N/A"/>
    <e v="#N/A"/>
    <e v="#N/A"/>
    <e v="#N/A"/>
    <e v="#N/A"/>
    <e v="#N/A"/>
    <m/>
  </r>
  <r>
    <x v="2"/>
    <m/>
    <x v="191"/>
    <x v="7"/>
    <m/>
    <m/>
    <x v="191"/>
    <x v="3"/>
    <e v="#N/A"/>
    <e v="#N/A"/>
    <e v="#N/A"/>
    <e v="#N/A"/>
    <e v="#N/A"/>
    <e v="#N/A"/>
    <m/>
  </r>
  <r>
    <x v="2"/>
    <m/>
    <x v="191"/>
    <x v="7"/>
    <m/>
    <m/>
    <x v="191"/>
    <x v="3"/>
    <e v="#N/A"/>
    <e v="#N/A"/>
    <e v="#N/A"/>
    <e v="#N/A"/>
    <e v="#N/A"/>
    <e v="#N/A"/>
    <m/>
  </r>
  <r>
    <x v="2"/>
    <m/>
    <x v="191"/>
    <x v="7"/>
    <m/>
    <m/>
    <x v="191"/>
    <x v="3"/>
    <e v="#N/A"/>
    <e v="#N/A"/>
    <e v="#N/A"/>
    <e v="#N/A"/>
    <e v="#N/A"/>
    <e v="#N/A"/>
    <m/>
  </r>
  <r>
    <x v="2"/>
    <m/>
    <x v="191"/>
    <x v="7"/>
    <m/>
    <m/>
    <x v="191"/>
    <x v="3"/>
    <e v="#N/A"/>
    <e v="#N/A"/>
    <e v="#N/A"/>
    <e v="#N/A"/>
    <e v="#N/A"/>
    <e v="#N/A"/>
    <m/>
  </r>
  <r>
    <x v="2"/>
    <m/>
    <x v="191"/>
    <x v="7"/>
    <m/>
    <m/>
    <x v="191"/>
    <x v="3"/>
    <e v="#N/A"/>
    <e v="#N/A"/>
    <e v="#N/A"/>
    <e v="#N/A"/>
    <e v="#N/A"/>
    <e v="#N/A"/>
    <m/>
  </r>
  <r>
    <x v="2"/>
    <m/>
    <x v="191"/>
    <x v="7"/>
    <m/>
    <m/>
    <x v="191"/>
    <x v="3"/>
    <e v="#N/A"/>
    <e v="#N/A"/>
    <e v="#N/A"/>
    <e v="#N/A"/>
    <e v="#N/A"/>
    <e v="#N/A"/>
    <m/>
  </r>
  <r>
    <x v="2"/>
    <m/>
    <x v="191"/>
    <x v="7"/>
    <m/>
    <m/>
    <x v="191"/>
    <x v="3"/>
    <e v="#N/A"/>
    <e v="#N/A"/>
    <e v="#N/A"/>
    <e v="#N/A"/>
    <e v="#N/A"/>
    <e v="#N/A"/>
    <m/>
  </r>
  <r>
    <x v="2"/>
    <m/>
    <x v="191"/>
    <x v="7"/>
    <m/>
    <m/>
    <x v="191"/>
    <x v="3"/>
    <e v="#N/A"/>
    <e v="#N/A"/>
    <e v="#N/A"/>
    <e v="#N/A"/>
    <e v="#N/A"/>
    <e v="#N/A"/>
    <m/>
  </r>
  <r>
    <x v="2"/>
    <m/>
    <x v="191"/>
    <x v="7"/>
    <m/>
    <m/>
    <x v="191"/>
    <x v="3"/>
    <e v="#N/A"/>
    <e v="#N/A"/>
    <e v="#N/A"/>
    <e v="#N/A"/>
    <e v="#N/A"/>
    <e v="#N/A"/>
    <m/>
  </r>
  <r>
    <x v="2"/>
    <m/>
    <x v="191"/>
    <x v="7"/>
    <m/>
    <m/>
    <x v="191"/>
    <x v="3"/>
    <e v="#N/A"/>
    <e v="#N/A"/>
    <e v="#N/A"/>
    <e v="#N/A"/>
    <e v="#N/A"/>
    <e v="#N/A"/>
    <m/>
  </r>
  <r>
    <x v="2"/>
    <m/>
    <x v="191"/>
    <x v="7"/>
    <m/>
    <m/>
    <x v="191"/>
    <x v="3"/>
    <e v="#N/A"/>
    <e v="#N/A"/>
    <e v="#N/A"/>
    <e v="#N/A"/>
    <e v="#N/A"/>
    <e v="#N/A"/>
    <m/>
  </r>
  <r>
    <x v="2"/>
    <m/>
    <x v="191"/>
    <x v="7"/>
    <m/>
    <m/>
    <x v="191"/>
    <x v="3"/>
    <e v="#N/A"/>
    <e v="#N/A"/>
    <e v="#N/A"/>
    <e v="#N/A"/>
    <e v="#N/A"/>
    <e v="#N/A"/>
    <m/>
  </r>
  <r>
    <x v="2"/>
    <m/>
    <x v="191"/>
    <x v="7"/>
    <m/>
    <m/>
    <x v="191"/>
    <x v="3"/>
    <e v="#N/A"/>
    <e v="#N/A"/>
    <e v="#N/A"/>
    <e v="#N/A"/>
    <e v="#N/A"/>
    <e v="#N/A"/>
    <m/>
  </r>
  <r>
    <x v="2"/>
    <m/>
    <x v="191"/>
    <x v="7"/>
    <m/>
    <m/>
    <x v="191"/>
    <x v="3"/>
    <e v="#N/A"/>
    <e v="#N/A"/>
    <e v="#N/A"/>
    <e v="#N/A"/>
    <e v="#N/A"/>
    <e v="#N/A"/>
    <m/>
  </r>
  <r>
    <x v="2"/>
    <m/>
    <x v="191"/>
    <x v="7"/>
    <m/>
    <m/>
    <x v="191"/>
    <x v="3"/>
    <e v="#N/A"/>
    <e v="#N/A"/>
    <e v="#N/A"/>
    <e v="#N/A"/>
    <e v="#N/A"/>
    <e v="#N/A"/>
    <m/>
  </r>
  <r>
    <x v="2"/>
    <m/>
    <x v="191"/>
    <x v="7"/>
    <m/>
    <m/>
    <x v="191"/>
    <x v="3"/>
    <e v="#N/A"/>
    <e v="#N/A"/>
    <e v="#N/A"/>
    <e v="#N/A"/>
    <e v="#N/A"/>
    <e v="#N/A"/>
    <m/>
  </r>
  <r>
    <x v="2"/>
    <m/>
    <x v="191"/>
    <x v="7"/>
    <m/>
    <m/>
    <x v="191"/>
    <x v="3"/>
    <e v="#N/A"/>
    <e v="#N/A"/>
    <e v="#N/A"/>
    <e v="#N/A"/>
    <e v="#N/A"/>
    <e v="#N/A"/>
    <m/>
  </r>
  <r>
    <x v="2"/>
    <m/>
    <x v="191"/>
    <x v="7"/>
    <m/>
    <m/>
    <x v="191"/>
    <x v="3"/>
    <e v="#N/A"/>
    <e v="#N/A"/>
    <e v="#N/A"/>
    <e v="#N/A"/>
    <e v="#N/A"/>
    <e v="#N/A"/>
    <m/>
  </r>
  <r>
    <x v="2"/>
    <m/>
    <x v="191"/>
    <x v="7"/>
    <m/>
    <m/>
    <x v="191"/>
    <x v="3"/>
    <e v="#N/A"/>
    <e v="#N/A"/>
    <e v="#N/A"/>
    <e v="#N/A"/>
    <e v="#N/A"/>
    <e v="#N/A"/>
    <m/>
  </r>
  <r>
    <x v="2"/>
    <m/>
    <x v="191"/>
    <x v="7"/>
    <m/>
    <m/>
    <x v="191"/>
    <x v="3"/>
    <e v="#N/A"/>
    <e v="#N/A"/>
    <e v="#N/A"/>
    <e v="#N/A"/>
    <e v="#N/A"/>
    <e v="#N/A"/>
    <m/>
  </r>
  <r>
    <x v="2"/>
    <m/>
    <x v="191"/>
    <x v="7"/>
    <m/>
    <m/>
    <x v="191"/>
    <x v="3"/>
    <e v="#N/A"/>
    <e v="#N/A"/>
    <e v="#N/A"/>
    <e v="#N/A"/>
    <e v="#N/A"/>
    <e v="#N/A"/>
    <m/>
  </r>
  <r>
    <x v="2"/>
    <m/>
    <x v="191"/>
    <x v="7"/>
    <m/>
    <m/>
    <x v="191"/>
    <x v="3"/>
    <e v="#N/A"/>
    <e v="#N/A"/>
    <e v="#N/A"/>
    <e v="#N/A"/>
    <e v="#N/A"/>
    <e v="#N/A"/>
    <m/>
  </r>
  <r>
    <x v="2"/>
    <m/>
    <x v="191"/>
    <x v="7"/>
    <m/>
    <m/>
    <x v="191"/>
    <x v="3"/>
    <e v="#N/A"/>
    <e v="#N/A"/>
    <e v="#N/A"/>
    <e v="#N/A"/>
    <e v="#N/A"/>
    <e v="#N/A"/>
    <m/>
  </r>
  <r>
    <x v="2"/>
    <m/>
    <x v="191"/>
    <x v="7"/>
    <m/>
    <m/>
    <x v="191"/>
    <x v="3"/>
    <e v="#N/A"/>
    <e v="#N/A"/>
    <e v="#N/A"/>
    <e v="#N/A"/>
    <e v="#N/A"/>
    <e v="#N/A"/>
    <m/>
  </r>
  <r>
    <x v="2"/>
    <m/>
    <x v="191"/>
    <x v="7"/>
    <m/>
    <m/>
    <x v="191"/>
    <x v="3"/>
    <e v="#N/A"/>
    <e v="#N/A"/>
    <e v="#N/A"/>
    <e v="#N/A"/>
    <e v="#N/A"/>
    <e v="#N/A"/>
    <m/>
  </r>
  <r>
    <x v="2"/>
    <m/>
    <x v="191"/>
    <x v="7"/>
    <m/>
    <m/>
    <x v="191"/>
    <x v="3"/>
    <e v="#N/A"/>
    <e v="#N/A"/>
    <e v="#N/A"/>
    <e v="#N/A"/>
    <e v="#N/A"/>
    <e v="#N/A"/>
    <m/>
  </r>
  <r>
    <x v="2"/>
    <m/>
    <x v="191"/>
    <x v="7"/>
    <m/>
    <m/>
    <x v="191"/>
    <x v="3"/>
    <e v="#N/A"/>
    <e v="#N/A"/>
    <e v="#N/A"/>
    <e v="#N/A"/>
    <e v="#N/A"/>
    <e v="#N/A"/>
    <m/>
  </r>
  <r>
    <x v="2"/>
    <m/>
    <x v="191"/>
    <x v="7"/>
    <m/>
    <m/>
    <x v="191"/>
    <x v="3"/>
    <e v="#N/A"/>
    <e v="#N/A"/>
    <e v="#N/A"/>
    <e v="#N/A"/>
    <e v="#N/A"/>
    <e v="#N/A"/>
    <m/>
  </r>
  <r>
    <x v="2"/>
    <m/>
    <x v="191"/>
    <x v="7"/>
    <m/>
    <m/>
    <x v="191"/>
    <x v="3"/>
    <e v="#N/A"/>
    <e v="#N/A"/>
    <e v="#N/A"/>
    <e v="#N/A"/>
    <e v="#N/A"/>
    <e v="#N/A"/>
    <m/>
  </r>
  <r>
    <x v="2"/>
    <m/>
    <x v="191"/>
    <x v="7"/>
    <m/>
    <m/>
    <x v="191"/>
    <x v="3"/>
    <e v="#N/A"/>
    <e v="#N/A"/>
    <e v="#N/A"/>
    <e v="#N/A"/>
    <e v="#N/A"/>
    <e v="#N/A"/>
    <m/>
  </r>
  <r>
    <x v="2"/>
    <m/>
    <x v="191"/>
    <x v="7"/>
    <m/>
    <m/>
    <x v="191"/>
    <x v="3"/>
    <e v="#N/A"/>
    <e v="#N/A"/>
    <e v="#N/A"/>
    <e v="#N/A"/>
    <e v="#N/A"/>
    <e v="#N/A"/>
    <m/>
  </r>
  <r>
    <x v="2"/>
    <m/>
    <x v="191"/>
    <x v="7"/>
    <m/>
    <m/>
    <x v="191"/>
    <x v="3"/>
    <e v="#N/A"/>
    <e v="#N/A"/>
    <e v="#N/A"/>
    <e v="#N/A"/>
    <e v="#N/A"/>
    <e v="#N/A"/>
    <m/>
  </r>
  <r>
    <x v="2"/>
    <m/>
    <x v="191"/>
    <x v="7"/>
    <m/>
    <m/>
    <x v="191"/>
    <x v="3"/>
    <e v="#N/A"/>
    <e v="#N/A"/>
    <e v="#N/A"/>
    <e v="#N/A"/>
    <e v="#N/A"/>
    <e v="#N/A"/>
    <m/>
  </r>
  <r>
    <x v="2"/>
    <m/>
    <x v="191"/>
    <x v="7"/>
    <m/>
    <m/>
    <x v="191"/>
    <x v="3"/>
    <e v="#N/A"/>
    <e v="#N/A"/>
    <e v="#N/A"/>
    <e v="#N/A"/>
    <e v="#N/A"/>
    <e v="#N/A"/>
    <m/>
  </r>
  <r>
    <x v="2"/>
    <m/>
    <x v="191"/>
    <x v="7"/>
    <m/>
    <m/>
    <x v="191"/>
    <x v="3"/>
    <e v="#N/A"/>
    <e v="#N/A"/>
    <e v="#N/A"/>
    <e v="#N/A"/>
    <e v="#N/A"/>
    <e v="#N/A"/>
    <m/>
  </r>
  <r>
    <x v="2"/>
    <m/>
    <x v="191"/>
    <x v="7"/>
    <m/>
    <m/>
    <x v="191"/>
    <x v="3"/>
    <e v="#N/A"/>
    <e v="#N/A"/>
    <e v="#N/A"/>
    <e v="#N/A"/>
    <e v="#N/A"/>
    <e v="#N/A"/>
    <m/>
  </r>
  <r>
    <x v="2"/>
    <m/>
    <x v="191"/>
    <x v="7"/>
    <m/>
    <m/>
    <x v="191"/>
    <x v="3"/>
    <e v="#N/A"/>
    <e v="#N/A"/>
    <e v="#N/A"/>
    <e v="#N/A"/>
    <e v="#N/A"/>
    <e v="#N/A"/>
    <m/>
  </r>
  <r>
    <x v="2"/>
    <m/>
    <x v="191"/>
    <x v="7"/>
    <m/>
    <m/>
    <x v="191"/>
    <x v="3"/>
    <e v="#N/A"/>
    <e v="#N/A"/>
    <e v="#N/A"/>
    <e v="#N/A"/>
    <e v="#N/A"/>
    <e v="#N/A"/>
    <m/>
  </r>
  <r>
    <x v="2"/>
    <m/>
    <x v="191"/>
    <x v="7"/>
    <m/>
    <m/>
    <x v="191"/>
    <x v="3"/>
    <e v="#N/A"/>
    <e v="#N/A"/>
    <e v="#N/A"/>
    <e v="#N/A"/>
    <e v="#N/A"/>
    <e v="#N/A"/>
    <m/>
  </r>
  <r>
    <x v="2"/>
    <m/>
    <x v="191"/>
    <x v="7"/>
    <m/>
    <m/>
    <x v="191"/>
    <x v="3"/>
    <e v="#N/A"/>
    <e v="#N/A"/>
    <e v="#N/A"/>
    <e v="#N/A"/>
    <e v="#N/A"/>
    <e v="#N/A"/>
    <m/>
  </r>
  <r>
    <x v="2"/>
    <m/>
    <x v="191"/>
    <x v="7"/>
    <m/>
    <m/>
    <x v="191"/>
    <x v="3"/>
    <e v="#N/A"/>
    <e v="#N/A"/>
    <e v="#N/A"/>
    <e v="#N/A"/>
    <e v="#N/A"/>
    <e v="#N/A"/>
    <m/>
  </r>
  <r>
    <x v="2"/>
    <m/>
    <x v="191"/>
    <x v="7"/>
    <m/>
    <m/>
    <x v="191"/>
    <x v="3"/>
    <e v="#N/A"/>
    <e v="#N/A"/>
    <e v="#N/A"/>
    <e v="#N/A"/>
    <e v="#N/A"/>
    <e v="#N/A"/>
    <m/>
  </r>
  <r>
    <x v="2"/>
    <m/>
    <x v="191"/>
    <x v="7"/>
    <m/>
    <m/>
    <x v="192"/>
    <x v="6"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620">
  <r>
    <x v="0"/>
    <d v="2017-07-11T00:00:00"/>
    <x v="0"/>
    <x v="0"/>
    <n v="1"/>
    <s v="입"/>
    <x v="0"/>
    <n v="1"/>
    <n v="7000"/>
    <n v="7000"/>
    <n v="5.95"/>
    <n v="2.3800000000000003"/>
    <n v="2.3800000000000003"/>
    <x v="0"/>
    <n v="28605"/>
  </r>
  <r>
    <x v="0"/>
    <d v="2017-07-11T00:00:00"/>
    <x v="0"/>
    <x v="1"/>
    <n v="3"/>
    <s v="입"/>
    <x v="0"/>
    <n v="3"/>
    <n v="7000"/>
    <n v="21000"/>
    <n v="5.95"/>
    <n v="2.3800000000000003"/>
    <n v="7.1400000000000006"/>
    <x v="0"/>
    <n v="28605"/>
  </r>
  <r>
    <x v="0"/>
    <d v="2017-07-11T00:00:00"/>
    <x v="0"/>
    <x v="2"/>
    <n v="3"/>
    <s v="입"/>
    <x v="0"/>
    <n v="3"/>
    <n v="7000"/>
    <n v="21000"/>
    <n v="5.95"/>
    <n v="2.3800000000000003"/>
    <n v="7.1400000000000006"/>
    <x v="0"/>
    <n v="28605"/>
  </r>
  <r>
    <x v="0"/>
    <d v="2017-07-11T00:00:00"/>
    <x v="0"/>
    <x v="3"/>
    <n v="3"/>
    <s v="입"/>
    <x v="0"/>
    <n v="3"/>
    <n v="7000"/>
    <n v="21000"/>
    <n v="5.95"/>
    <n v="2.3800000000000003"/>
    <n v="7.1400000000000006"/>
    <x v="0"/>
    <n v="28605"/>
  </r>
  <r>
    <x v="0"/>
    <d v="2017-07-11T00:00:00"/>
    <x v="0"/>
    <x v="4"/>
    <n v="1"/>
    <s v="입"/>
    <x v="0"/>
    <n v="1"/>
    <n v="7000"/>
    <n v="7000"/>
    <n v="5.95"/>
    <n v="2.3800000000000003"/>
    <n v="2.3800000000000003"/>
    <x v="0"/>
    <n v="28605"/>
  </r>
  <r>
    <x v="0"/>
    <d v="2017-07-11T00:00:00"/>
    <x v="1"/>
    <x v="0"/>
    <n v="1"/>
    <s v="입"/>
    <x v="1"/>
    <n v="1"/>
    <n v="7000"/>
    <n v="7000"/>
    <n v="5.95"/>
    <n v="2.3800000000000003"/>
    <n v="2.3800000000000003"/>
    <x v="0"/>
    <n v="28605"/>
  </r>
  <r>
    <x v="0"/>
    <d v="2017-07-11T00:00:00"/>
    <x v="1"/>
    <x v="1"/>
    <n v="3"/>
    <s v="입"/>
    <x v="1"/>
    <n v="3"/>
    <n v="7000"/>
    <n v="21000"/>
    <n v="5.95"/>
    <n v="2.3800000000000003"/>
    <n v="7.1400000000000006"/>
    <x v="0"/>
    <n v="28605"/>
  </r>
  <r>
    <x v="0"/>
    <d v="2017-07-11T00:00:00"/>
    <x v="1"/>
    <x v="2"/>
    <n v="3"/>
    <s v="입"/>
    <x v="1"/>
    <n v="3"/>
    <n v="7000"/>
    <n v="21000"/>
    <n v="5.95"/>
    <n v="2.3800000000000003"/>
    <n v="7.1400000000000006"/>
    <x v="0"/>
    <n v="28605"/>
  </r>
  <r>
    <x v="0"/>
    <d v="2017-07-11T00:00:00"/>
    <x v="1"/>
    <x v="3"/>
    <n v="3"/>
    <s v="입"/>
    <x v="1"/>
    <n v="3"/>
    <n v="7000"/>
    <n v="21000"/>
    <n v="5.95"/>
    <n v="2.3800000000000003"/>
    <n v="7.1400000000000006"/>
    <x v="0"/>
    <n v="28605"/>
  </r>
  <r>
    <x v="0"/>
    <d v="2017-07-11T00:00:00"/>
    <x v="1"/>
    <x v="4"/>
    <n v="1"/>
    <s v="입"/>
    <x v="1"/>
    <n v="1"/>
    <n v="7000"/>
    <n v="7000"/>
    <n v="5.95"/>
    <n v="2.3800000000000003"/>
    <n v="2.3800000000000003"/>
    <x v="0"/>
    <n v="28605"/>
  </r>
  <r>
    <x v="0"/>
    <d v="2017-07-11T00:00:00"/>
    <x v="2"/>
    <x v="0"/>
    <n v="1"/>
    <s v="입"/>
    <x v="2"/>
    <n v="1"/>
    <n v="7000"/>
    <n v="7000"/>
    <n v="5.95"/>
    <n v="2.3800000000000003"/>
    <n v="2.3800000000000003"/>
    <x v="0"/>
    <n v="28605"/>
  </r>
  <r>
    <x v="0"/>
    <d v="2017-07-11T00:00:00"/>
    <x v="2"/>
    <x v="1"/>
    <n v="3"/>
    <s v="입"/>
    <x v="2"/>
    <n v="3"/>
    <n v="7000"/>
    <n v="21000"/>
    <n v="5.95"/>
    <n v="2.3800000000000003"/>
    <n v="7.1400000000000006"/>
    <x v="0"/>
    <n v="28605"/>
  </r>
  <r>
    <x v="0"/>
    <d v="2017-07-11T00:00:00"/>
    <x v="2"/>
    <x v="2"/>
    <n v="3"/>
    <s v="입"/>
    <x v="2"/>
    <n v="3"/>
    <n v="7000"/>
    <n v="21000"/>
    <n v="5.95"/>
    <n v="2.3800000000000003"/>
    <n v="7.1400000000000006"/>
    <x v="0"/>
    <n v="28605"/>
  </r>
  <r>
    <x v="0"/>
    <d v="2017-07-11T00:00:00"/>
    <x v="2"/>
    <x v="3"/>
    <n v="3"/>
    <s v="입"/>
    <x v="2"/>
    <n v="3"/>
    <n v="7000"/>
    <n v="21000"/>
    <n v="5.95"/>
    <n v="2.3800000000000003"/>
    <n v="7.1400000000000006"/>
    <x v="0"/>
    <n v="28605"/>
  </r>
  <r>
    <x v="0"/>
    <d v="2017-07-11T00:00:00"/>
    <x v="2"/>
    <x v="4"/>
    <n v="1"/>
    <s v="입"/>
    <x v="2"/>
    <n v="1"/>
    <n v="7000"/>
    <n v="7000"/>
    <n v="5.95"/>
    <n v="2.3800000000000003"/>
    <n v="2.3800000000000003"/>
    <x v="0"/>
    <n v="28605"/>
  </r>
  <r>
    <x v="0"/>
    <d v="2017-07-11T00:00:00"/>
    <x v="3"/>
    <x v="0"/>
    <n v="1"/>
    <s v="입"/>
    <x v="3"/>
    <n v="1"/>
    <n v="7000"/>
    <n v="7000"/>
    <n v="5.95"/>
    <n v="2.3800000000000003"/>
    <n v="2.3800000000000003"/>
    <x v="0"/>
    <n v="28605"/>
  </r>
  <r>
    <x v="0"/>
    <d v="2017-07-11T00:00:00"/>
    <x v="3"/>
    <x v="1"/>
    <n v="3"/>
    <s v="입"/>
    <x v="3"/>
    <n v="3"/>
    <n v="7000"/>
    <n v="21000"/>
    <n v="5.95"/>
    <n v="2.3800000000000003"/>
    <n v="7.1400000000000006"/>
    <x v="0"/>
    <n v="28605"/>
  </r>
  <r>
    <x v="0"/>
    <d v="2017-07-11T00:00:00"/>
    <x v="3"/>
    <x v="3"/>
    <n v="3"/>
    <s v="입"/>
    <x v="3"/>
    <n v="3"/>
    <n v="7000"/>
    <n v="21000"/>
    <n v="5.95"/>
    <n v="2.3800000000000003"/>
    <n v="7.1400000000000006"/>
    <x v="0"/>
    <n v="28605"/>
  </r>
  <r>
    <x v="0"/>
    <d v="2017-07-11T00:00:00"/>
    <x v="3"/>
    <x v="4"/>
    <n v="1"/>
    <s v="입"/>
    <x v="3"/>
    <n v="1"/>
    <n v="7000"/>
    <n v="7000"/>
    <n v="5.95"/>
    <n v="2.3800000000000003"/>
    <n v="2.3800000000000003"/>
    <x v="0"/>
    <n v="28605"/>
  </r>
  <r>
    <x v="0"/>
    <d v="2017-07-11T00:00:00"/>
    <x v="4"/>
    <x v="3"/>
    <n v="1"/>
    <s v="입"/>
    <x v="4"/>
    <n v="1"/>
    <n v="7000"/>
    <n v="7000"/>
    <n v="5.95"/>
    <n v="2.3800000000000003"/>
    <n v="2.3800000000000003"/>
    <x v="0"/>
    <n v="28605"/>
  </r>
  <r>
    <x v="0"/>
    <d v="2017-07-11T00:00:00"/>
    <x v="4"/>
    <x v="4"/>
    <n v="1"/>
    <s v="입"/>
    <x v="4"/>
    <n v="1"/>
    <n v="7000"/>
    <n v="7000"/>
    <n v="5.95"/>
    <n v="2.3800000000000003"/>
    <n v="2.3800000000000003"/>
    <x v="0"/>
    <n v="28605"/>
  </r>
  <r>
    <x v="0"/>
    <d v="2017-07-11T00:00:00"/>
    <x v="5"/>
    <x v="3"/>
    <n v="1"/>
    <s v="입"/>
    <x v="5"/>
    <n v="1"/>
    <n v="7000"/>
    <n v="7000"/>
    <n v="5.95"/>
    <n v="2.3800000000000003"/>
    <n v="2.3800000000000003"/>
    <x v="0"/>
    <n v="28605"/>
  </r>
  <r>
    <x v="0"/>
    <d v="2017-07-11T00:00:00"/>
    <x v="5"/>
    <x v="4"/>
    <n v="1"/>
    <s v="입"/>
    <x v="5"/>
    <n v="1"/>
    <n v="7000"/>
    <n v="7000"/>
    <n v="5.95"/>
    <n v="2.3800000000000003"/>
    <n v="2.3800000000000003"/>
    <x v="0"/>
    <n v="28605"/>
  </r>
  <r>
    <x v="0"/>
    <d v="2017-07-11T00:00:00"/>
    <x v="6"/>
    <x v="1"/>
    <n v="2"/>
    <s v="입"/>
    <x v="6"/>
    <n v="2"/>
    <n v="7000"/>
    <n v="14000"/>
    <n v="5.95"/>
    <n v="2.3800000000000003"/>
    <n v="4.7600000000000007"/>
    <x v="0"/>
    <n v="28605"/>
  </r>
  <r>
    <x v="0"/>
    <d v="2017-07-11T00:00:00"/>
    <x v="6"/>
    <x v="3"/>
    <n v="2"/>
    <s v="입"/>
    <x v="6"/>
    <n v="2"/>
    <n v="7000"/>
    <n v="14000"/>
    <n v="5.95"/>
    <n v="2.3800000000000003"/>
    <n v="4.7600000000000007"/>
    <x v="0"/>
    <n v="28605"/>
  </r>
  <r>
    <x v="0"/>
    <d v="2017-07-11T00:00:00"/>
    <x v="6"/>
    <x v="4"/>
    <n v="1"/>
    <s v="입"/>
    <x v="6"/>
    <n v="1"/>
    <n v="7000"/>
    <n v="7000"/>
    <n v="5.95"/>
    <n v="2.3800000000000003"/>
    <n v="2.3800000000000003"/>
    <x v="0"/>
    <n v="28605"/>
  </r>
  <r>
    <x v="0"/>
    <d v="2017-07-11T00:00:00"/>
    <x v="7"/>
    <x v="1"/>
    <n v="2"/>
    <s v="입"/>
    <x v="7"/>
    <n v="2"/>
    <n v="7000"/>
    <n v="14000"/>
    <n v="5.95"/>
    <n v="2.3800000000000003"/>
    <n v="4.7600000000000007"/>
    <x v="0"/>
    <n v="28605"/>
  </r>
  <r>
    <x v="0"/>
    <d v="2017-07-11T00:00:00"/>
    <x v="7"/>
    <x v="3"/>
    <n v="2"/>
    <s v="입"/>
    <x v="7"/>
    <n v="2"/>
    <n v="7000"/>
    <n v="14000"/>
    <n v="5.95"/>
    <n v="2.3800000000000003"/>
    <n v="4.7600000000000007"/>
    <x v="0"/>
    <n v="28605"/>
  </r>
  <r>
    <x v="0"/>
    <d v="2017-07-11T00:00:00"/>
    <x v="7"/>
    <x v="4"/>
    <n v="1"/>
    <s v="입"/>
    <x v="7"/>
    <n v="1"/>
    <n v="7000"/>
    <n v="7000"/>
    <n v="5.95"/>
    <n v="2.3800000000000003"/>
    <n v="2.3800000000000003"/>
    <x v="0"/>
    <n v="28605"/>
  </r>
  <r>
    <x v="0"/>
    <d v="2017-07-11T00:00:00"/>
    <x v="8"/>
    <x v="0"/>
    <n v="1"/>
    <s v="입"/>
    <x v="8"/>
    <n v="1"/>
    <n v="7000"/>
    <n v="7000"/>
    <n v="5.95"/>
    <n v="2.3800000000000003"/>
    <n v="2.3800000000000003"/>
    <x v="0"/>
    <n v="28605"/>
  </r>
  <r>
    <x v="0"/>
    <d v="2017-07-11T00:00:00"/>
    <x v="8"/>
    <x v="1"/>
    <n v="2"/>
    <s v="입"/>
    <x v="8"/>
    <n v="2"/>
    <n v="7000"/>
    <n v="14000"/>
    <n v="5.95"/>
    <n v="2.3800000000000003"/>
    <n v="4.7600000000000007"/>
    <x v="0"/>
    <n v="28605"/>
  </r>
  <r>
    <x v="0"/>
    <d v="2017-07-11T00:00:00"/>
    <x v="8"/>
    <x v="3"/>
    <n v="2"/>
    <s v="입"/>
    <x v="8"/>
    <n v="2"/>
    <n v="7000"/>
    <n v="14000"/>
    <n v="5.95"/>
    <n v="2.3800000000000003"/>
    <n v="4.7600000000000007"/>
    <x v="0"/>
    <n v="28605"/>
  </r>
  <r>
    <x v="0"/>
    <d v="2017-07-11T00:00:00"/>
    <x v="8"/>
    <x v="4"/>
    <n v="1"/>
    <s v="입"/>
    <x v="8"/>
    <n v="1"/>
    <n v="7000"/>
    <n v="7000"/>
    <n v="5.95"/>
    <n v="2.3800000000000003"/>
    <n v="2.3800000000000003"/>
    <x v="0"/>
    <n v="28605"/>
  </r>
  <r>
    <x v="0"/>
    <d v="2017-07-11T00:00:00"/>
    <x v="9"/>
    <x v="1"/>
    <n v="2"/>
    <s v="입"/>
    <x v="9"/>
    <n v="2"/>
    <n v="7000"/>
    <n v="14000"/>
    <n v="5.95"/>
    <n v="2.3800000000000003"/>
    <n v="4.7600000000000007"/>
    <x v="0"/>
    <n v="28605"/>
  </r>
  <r>
    <x v="0"/>
    <d v="2017-07-11T00:00:00"/>
    <x v="9"/>
    <x v="3"/>
    <n v="2"/>
    <s v="입"/>
    <x v="9"/>
    <n v="2"/>
    <n v="7000"/>
    <n v="14000"/>
    <n v="5.95"/>
    <n v="2.3800000000000003"/>
    <n v="4.7600000000000007"/>
    <x v="0"/>
    <n v="28605"/>
  </r>
  <r>
    <x v="0"/>
    <d v="2017-07-11T00:00:00"/>
    <x v="9"/>
    <x v="4"/>
    <n v="1"/>
    <s v="입"/>
    <x v="9"/>
    <n v="1"/>
    <n v="7000"/>
    <n v="7000"/>
    <n v="5.95"/>
    <n v="2.3800000000000003"/>
    <n v="2.3800000000000003"/>
    <x v="0"/>
    <n v="28605"/>
  </r>
  <r>
    <x v="0"/>
    <d v="2017-07-11T00:00:00"/>
    <x v="10"/>
    <x v="1"/>
    <n v="2"/>
    <s v="입"/>
    <x v="10"/>
    <n v="2"/>
    <n v="7000"/>
    <n v="14000"/>
    <n v="5.95"/>
    <n v="2.3800000000000003"/>
    <n v="4.7600000000000007"/>
    <x v="0"/>
    <n v="28605"/>
  </r>
  <r>
    <x v="0"/>
    <d v="2017-07-11T00:00:00"/>
    <x v="10"/>
    <x v="3"/>
    <n v="2"/>
    <s v="입"/>
    <x v="10"/>
    <n v="2"/>
    <n v="7000"/>
    <n v="14000"/>
    <n v="5.95"/>
    <n v="2.3800000000000003"/>
    <n v="4.7600000000000007"/>
    <x v="0"/>
    <n v="28605"/>
  </r>
  <r>
    <x v="0"/>
    <d v="2017-07-11T00:00:00"/>
    <x v="10"/>
    <x v="4"/>
    <n v="1"/>
    <s v="입"/>
    <x v="10"/>
    <n v="1"/>
    <n v="7000"/>
    <n v="7000"/>
    <n v="5.95"/>
    <n v="2.3800000000000003"/>
    <n v="2.3800000000000003"/>
    <x v="0"/>
    <n v="28605"/>
  </r>
  <r>
    <x v="0"/>
    <d v="2017-07-11T00:00:00"/>
    <x v="11"/>
    <x v="1"/>
    <n v="2"/>
    <s v="입"/>
    <x v="11"/>
    <n v="2"/>
    <n v="7000"/>
    <n v="14000"/>
    <n v="5.95"/>
    <n v="2.3800000000000003"/>
    <n v="4.7600000000000007"/>
    <x v="0"/>
    <n v="28605"/>
  </r>
  <r>
    <x v="0"/>
    <d v="2017-07-11T00:00:00"/>
    <x v="11"/>
    <x v="3"/>
    <n v="2"/>
    <s v="입"/>
    <x v="11"/>
    <n v="2"/>
    <n v="7000"/>
    <n v="14000"/>
    <n v="5.95"/>
    <n v="2.3800000000000003"/>
    <n v="4.7600000000000007"/>
    <x v="0"/>
    <n v="28605"/>
  </r>
  <r>
    <x v="0"/>
    <d v="2017-07-11T00:00:00"/>
    <x v="11"/>
    <x v="4"/>
    <n v="1"/>
    <s v="입"/>
    <x v="11"/>
    <n v="1"/>
    <n v="7000"/>
    <n v="7000"/>
    <n v="5.95"/>
    <n v="2.3800000000000003"/>
    <n v="2.3800000000000003"/>
    <x v="0"/>
    <n v="28605"/>
  </r>
  <r>
    <x v="0"/>
    <d v="2017-07-11T00:00:00"/>
    <x v="12"/>
    <x v="0"/>
    <n v="1"/>
    <s v="입"/>
    <x v="12"/>
    <n v="1"/>
    <n v="7000"/>
    <n v="7000"/>
    <n v="5.95"/>
    <n v="2.3800000000000003"/>
    <n v="2.3800000000000003"/>
    <x v="0"/>
    <n v="28605"/>
  </r>
  <r>
    <x v="0"/>
    <d v="2017-07-11T00:00:00"/>
    <x v="12"/>
    <x v="1"/>
    <n v="2"/>
    <s v="입"/>
    <x v="12"/>
    <n v="2"/>
    <n v="7000"/>
    <n v="14000"/>
    <n v="5.95"/>
    <n v="2.3800000000000003"/>
    <n v="4.7600000000000007"/>
    <x v="0"/>
    <n v="28605"/>
  </r>
  <r>
    <x v="0"/>
    <d v="2017-07-11T00:00:00"/>
    <x v="12"/>
    <x v="3"/>
    <n v="2"/>
    <s v="입"/>
    <x v="12"/>
    <n v="2"/>
    <n v="7000"/>
    <n v="14000"/>
    <n v="5.95"/>
    <n v="2.3800000000000003"/>
    <n v="4.7600000000000007"/>
    <x v="0"/>
    <n v="28605"/>
  </r>
  <r>
    <x v="0"/>
    <d v="2017-07-11T00:00:00"/>
    <x v="12"/>
    <x v="4"/>
    <n v="1"/>
    <s v="입"/>
    <x v="12"/>
    <n v="1"/>
    <n v="7000"/>
    <n v="7000"/>
    <n v="5.95"/>
    <n v="2.3800000000000003"/>
    <n v="2.3800000000000003"/>
    <x v="0"/>
    <n v="28605"/>
  </r>
  <r>
    <x v="0"/>
    <d v="2017-07-11T00:00:00"/>
    <x v="13"/>
    <x v="1"/>
    <n v="2"/>
    <s v="입"/>
    <x v="13"/>
    <n v="2"/>
    <n v="7000"/>
    <n v="14000"/>
    <n v="5.95"/>
    <n v="2.3800000000000003"/>
    <n v="4.7600000000000007"/>
    <x v="0"/>
    <n v="28605"/>
  </r>
  <r>
    <x v="0"/>
    <d v="2017-07-11T00:00:00"/>
    <x v="13"/>
    <x v="3"/>
    <n v="2"/>
    <s v="입"/>
    <x v="13"/>
    <n v="2"/>
    <n v="7000"/>
    <n v="14000"/>
    <n v="5.95"/>
    <n v="2.3800000000000003"/>
    <n v="4.7600000000000007"/>
    <x v="0"/>
    <n v="28605"/>
  </r>
  <r>
    <x v="0"/>
    <d v="2017-07-11T00:00:00"/>
    <x v="13"/>
    <x v="4"/>
    <n v="1"/>
    <s v="입"/>
    <x v="13"/>
    <n v="1"/>
    <n v="7000"/>
    <n v="7000"/>
    <n v="5.95"/>
    <n v="2.3800000000000003"/>
    <n v="2.3800000000000003"/>
    <x v="0"/>
    <n v="28605"/>
  </r>
  <r>
    <x v="0"/>
    <d v="2017-07-11T00:00:00"/>
    <x v="14"/>
    <x v="1"/>
    <n v="2"/>
    <s v="입"/>
    <x v="14"/>
    <n v="2"/>
    <n v="7000"/>
    <n v="14000"/>
    <n v="5.95"/>
    <n v="2.3800000000000003"/>
    <n v="4.7600000000000007"/>
    <x v="0"/>
    <n v="28605"/>
  </r>
  <r>
    <x v="0"/>
    <d v="2017-07-11T00:00:00"/>
    <x v="14"/>
    <x v="3"/>
    <n v="2"/>
    <s v="입"/>
    <x v="14"/>
    <n v="2"/>
    <n v="7000"/>
    <n v="14000"/>
    <n v="5.95"/>
    <n v="2.3800000000000003"/>
    <n v="4.7600000000000007"/>
    <x v="0"/>
    <n v="28605"/>
  </r>
  <r>
    <x v="0"/>
    <d v="2017-07-11T00:00:00"/>
    <x v="14"/>
    <x v="4"/>
    <n v="1"/>
    <s v="입"/>
    <x v="14"/>
    <n v="1"/>
    <n v="7000"/>
    <n v="7000"/>
    <n v="5.95"/>
    <n v="2.3800000000000003"/>
    <n v="2.3800000000000003"/>
    <x v="0"/>
    <n v="28605"/>
  </r>
  <r>
    <x v="0"/>
    <d v="2017-07-11T00:00:00"/>
    <x v="15"/>
    <x v="1"/>
    <n v="2"/>
    <s v="입"/>
    <x v="15"/>
    <n v="2"/>
    <n v="7000"/>
    <n v="14000"/>
    <n v="5.95"/>
    <n v="2.3800000000000003"/>
    <n v="4.7600000000000007"/>
    <x v="0"/>
    <n v="28605"/>
  </r>
  <r>
    <x v="0"/>
    <d v="2017-07-11T00:00:00"/>
    <x v="15"/>
    <x v="3"/>
    <n v="2"/>
    <s v="입"/>
    <x v="15"/>
    <n v="2"/>
    <n v="7000"/>
    <n v="14000"/>
    <n v="5.95"/>
    <n v="2.3800000000000003"/>
    <n v="4.7600000000000007"/>
    <x v="0"/>
    <n v="28605"/>
  </r>
  <r>
    <x v="0"/>
    <d v="2017-07-11T00:00:00"/>
    <x v="15"/>
    <x v="4"/>
    <n v="1"/>
    <s v="입"/>
    <x v="15"/>
    <n v="1"/>
    <n v="7000"/>
    <n v="7000"/>
    <n v="5.95"/>
    <n v="2.3800000000000003"/>
    <n v="2.3800000000000003"/>
    <x v="0"/>
    <n v="28605"/>
  </r>
  <r>
    <x v="0"/>
    <d v="2017-07-11T00:00:00"/>
    <x v="16"/>
    <x v="3"/>
    <n v="1"/>
    <s v="입"/>
    <x v="16"/>
    <n v="1"/>
    <n v="7000"/>
    <n v="7000"/>
    <n v="5.95"/>
    <n v="2.3800000000000003"/>
    <n v="2.3800000000000003"/>
    <x v="0"/>
    <n v="28605"/>
  </r>
  <r>
    <x v="0"/>
    <d v="2017-07-11T00:00:00"/>
    <x v="16"/>
    <x v="4"/>
    <n v="1"/>
    <s v="입"/>
    <x v="16"/>
    <n v="1"/>
    <n v="7000"/>
    <n v="7000"/>
    <n v="5.95"/>
    <n v="2.3800000000000003"/>
    <n v="2.3800000000000003"/>
    <x v="0"/>
    <n v="28605"/>
  </r>
  <r>
    <x v="0"/>
    <d v="2017-07-11T00:00:00"/>
    <x v="17"/>
    <x v="0"/>
    <n v="1"/>
    <s v="입"/>
    <x v="17"/>
    <n v="1"/>
    <n v="7000"/>
    <n v="7000"/>
    <n v="5.95"/>
    <n v="2.3800000000000003"/>
    <n v="2.3800000000000003"/>
    <x v="0"/>
    <n v="28605"/>
  </r>
  <r>
    <x v="0"/>
    <d v="2017-07-11T00:00:00"/>
    <x v="17"/>
    <x v="3"/>
    <n v="2"/>
    <s v="입"/>
    <x v="17"/>
    <n v="2"/>
    <n v="7000"/>
    <n v="14000"/>
    <n v="5.95"/>
    <n v="2.3800000000000003"/>
    <n v="4.7600000000000007"/>
    <x v="0"/>
    <n v="28605"/>
  </r>
  <r>
    <x v="0"/>
    <d v="2017-07-11T00:00:00"/>
    <x v="17"/>
    <x v="4"/>
    <n v="1"/>
    <s v="입"/>
    <x v="17"/>
    <n v="1"/>
    <n v="7000"/>
    <n v="7000"/>
    <n v="5.95"/>
    <n v="2.3800000000000003"/>
    <n v="2.3800000000000003"/>
    <x v="0"/>
    <n v="28605"/>
  </r>
  <r>
    <x v="0"/>
    <d v="2017-07-11T00:00:00"/>
    <x v="18"/>
    <x v="3"/>
    <n v="1"/>
    <s v="입"/>
    <x v="18"/>
    <n v="1"/>
    <n v="7000"/>
    <n v="7000"/>
    <n v="5.95"/>
    <n v="2.3800000000000003"/>
    <n v="2.3800000000000003"/>
    <x v="0"/>
    <n v="28605"/>
  </r>
  <r>
    <x v="0"/>
    <d v="2017-07-11T00:00:00"/>
    <x v="18"/>
    <x v="4"/>
    <n v="1"/>
    <s v="입"/>
    <x v="18"/>
    <n v="1"/>
    <n v="7000"/>
    <n v="7000"/>
    <n v="5.95"/>
    <n v="2.3800000000000003"/>
    <n v="2.3800000000000003"/>
    <x v="0"/>
    <n v="28605"/>
  </r>
  <r>
    <x v="0"/>
    <d v="2017-07-11T00:00:00"/>
    <x v="19"/>
    <x v="1"/>
    <n v="2"/>
    <s v="입"/>
    <x v="19"/>
    <n v="2"/>
    <n v="7000"/>
    <n v="14000"/>
    <n v="5.95"/>
    <n v="2.3800000000000003"/>
    <n v="4.7600000000000007"/>
    <x v="0"/>
    <n v="28605"/>
  </r>
  <r>
    <x v="0"/>
    <d v="2017-07-11T00:00:00"/>
    <x v="19"/>
    <x v="3"/>
    <n v="2"/>
    <s v="입"/>
    <x v="19"/>
    <n v="2"/>
    <n v="7000"/>
    <n v="14000"/>
    <n v="5.95"/>
    <n v="2.3800000000000003"/>
    <n v="4.7600000000000007"/>
    <x v="0"/>
    <n v="28605"/>
  </r>
  <r>
    <x v="0"/>
    <d v="2017-07-11T00:00:00"/>
    <x v="19"/>
    <x v="4"/>
    <n v="1"/>
    <s v="입"/>
    <x v="19"/>
    <n v="1"/>
    <n v="7000"/>
    <n v="7000"/>
    <n v="5.95"/>
    <n v="2.3800000000000003"/>
    <n v="2.3800000000000003"/>
    <x v="0"/>
    <n v="28605"/>
  </r>
  <r>
    <x v="0"/>
    <d v="2017-07-11T00:00:00"/>
    <x v="20"/>
    <x v="1"/>
    <n v="1"/>
    <s v="입"/>
    <x v="20"/>
    <n v="1"/>
    <n v="7000"/>
    <n v="7000"/>
    <n v="5.95"/>
    <n v="2.3800000000000003"/>
    <n v="2.3800000000000003"/>
    <x v="0"/>
    <n v="28605"/>
  </r>
  <r>
    <x v="0"/>
    <d v="2017-07-11T00:00:00"/>
    <x v="20"/>
    <x v="3"/>
    <n v="1"/>
    <s v="입"/>
    <x v="20"/>
    <n v="1"/>
    <n v="7000"/>
    <n v="7000"/>
    <n v="5.95"/>
    <n v="2.3800000000000003"/>
    <n v="2.3800000000000003"/>
    <x v="0"/>
    <n v="28605"/>
  </r>
  <r>
    <x v="0"/>
    <d v="2017-07-11T00:00:00"/>
    <x v="20"/>
    <x v="4"/>
    <n v="1"/>
    <s v="입"/>
    <x v="20"/>
    <n v="1"/>
    <n v="7000"/>
    <n v="7000"/>
    <n v="5.95"/>
    <n v="2.3800000000000003"/>
    <n v="2.3800000000000003"/>
    <x v="0"/>
    <n v="28605"/>
  </r>
  <r>
    <x v="0"/>
    <d v="2017-07-11T00:00:00"/>
    <x v="21"/>
    <x v="3"/>
    <n v="1"/>
    <s v="입"/>
    <x v="21"/>
    <n v="1"/>
    <n v="7000"/>
    <n v="7000"/>
    <n v="5.95"/>
    <n v="2.3800000000000003"/>
    <n v="2.3800000000000003"/>
    <x v="0"/>
    <n v="28605"/>
  </r>
  <r>
    <x v="0"/>
    <d v="2017-07-11T00:00:00"/>
    <x v="21"/>
    <x v="4"/>
    <n v="1"/>
    <s v="입"/>
    <x v="21"/>
    <n v="1"/>
    <n v="7000"/>
    <n v="7000"/>
    <n v="5.95"/>
    <n v="2.3800000000000003"/>
    <n v="2.3800000000000003"/>
    <x v="0"/>
    <n v="28605"/>
  </r>
  <r>
    <x v="0"/>
    <d v="2017-07-11T00:00:00"/>
    <x v="22"/>
    <x v="3"/>
    <n v="1"/>
    <s v="입"/>
    <x v="22"/>
    <n v="1"/>
    <n v="7000"/>
    <n v="7000"/>
    <n v="5.95"/>
    <n v="2.3800000000000003"/>
    <n v="2.3800000000000003"/>
    <x v="0"/>
    <n v="28605"/>
  </r>
  <r>
    <x v="0"/>
    <d v="2017-07-11T00:00:00"/>
    <x v="22"/>
    <x v="4"/>
    <n v="1"/>
    <s v="입"/>
    <x v="22"/>
    <n v="1"/>
    <n v="7000"/>
    <n v="7000"/>
    <n v="5.95"/>
    <n v="2.3800000000000003"/>
    <n v="2.3800000000000003"/>
    <x v="0"/>
    <n v="28605"/>
  </r>
  <r>
    <x v="0"/>
    <d v="2017-07-11T00:00:00"/>
    <x v="23"/>
    <x v="3"/>
    <n v="1"/>
    <s v="입"/>
    <x v="23"/>
    <n v="1"/>
    <n v="7000"/>
    <n v="7000"/>
    <n v="5.95"/>
    <n v="2.3800000000000003"/>
    <n v="2.3800000000000003"/>
    <x v="0"/>
    <n v="28605"/>
  </r>
  <r>
    <x v="0"/>
    <d v="2017-07-11T00:00:00"/>
    <x v="23"/>
    <x v="4"/>
    <n v="1"/>
    <s v="입"/>
    <x v="23"/>
    <n v="1"/>
    <n v="7000"/>
    <n v="7000"/>
    <n v="5.95"/>
    <n v="2.3800000000000003"/>
    <n v="2.3800000000000003"/>
    <x v="0"/>
    <n v="28605"/>
  </r>
  <r>
    <x v="0"/>
    <d v="2017-07-11T00:00:00"/>
    <x v="24"/>
    <x v="3"/>
    <n v="1"/>
    <s v="입"/>
    <x v="24"/>
    <n v="1"/>
    <n v="7000"/>
    <n v="7000"/>
    <n v="5.95"/>
    <n v="2.3800000000000003"/>
    <n v="2.3800000000000003"/>
    <x v="0"/>
    <n v="28605"/>
  </r>
  <r>
    <x v="0"/>
    <d v="2017-07-11T00:00:00"/>
    <x v="24"/>
    <x v="4"/>
    <n v="1"/>
    <s v="입"/>
    <x v="24"/>
    <n v="1"/>
    <n v="7000"/>
    <n v="7000"/>
    <n v="5.95"/>
    <n v="2.3800000000000003"/>
    <n v="2.3800000000000003"/>
    <x v="0"/>
    <n v="28605"/>
  </r>
  <r>
    <x v="0"/>
    <d v="2017-07-11T00:00:00"/>
    <x v="25"/>
    <x v="3"/>
    <n v="1"/>
    <s v="입"/>
    <x v="25"/>
    <n v="1"/>
    <n v="7000"/>
    <n v="7000"/>
    <n v="5.95"/>
    <n v="2.3800000000000003"/>
    <n v="2.3800000000000003"/>
    <x v="0"/>
    <n v="28605"/>
  </r>
  <r>
    <x v="0"/>
    <d v="2017-07-11T00:00:00"/>
    <x v="25"/>
    <x v="4"/>
    <n v="1"/>
    <s v="입"/>
    <x v="25"/>
    <n v="1"/>
    <n v="7000"/>
    <n v="7000"/>
    <n v="5.95"/>
    <n v="2.3800000000000003"/>
    <n v="2.3800000000000003"/>
    <x v="0"/>
    <n v="28605"/>
  </r>
  <r>
    <x v="0"/>
    <d v="2017-07-11T00:00:00"/>
    <x v="26"/>
    <x v="1"/>
    <n v="1"/>
    <s v="입"/>
    <x v="26"/>
    <n v="1"/>
    <n v="7000"/>
    <n v="7000"/>
    <n v="5.95"/>
    <n v="2.3800000000000003"/>
    <n v="2.3800000000000003"/>
    <x v="0"/>
    <n v="28605"/>
  </r>
  <r>
    <x v="0"/>
    <d v="2017-07-11T00:00:00"/>
    <x v="26"/>
    <x v="3"/>
    <n v="1"/>
    <s v="입"/>
    <x v="26"/>
    <n v="1"/>
    <n v="7000"/>
    <n v="7000"/>
    <n v="5.95"/>
    <n v="2.3800000000000003"/>
    <n v="2.3800000000000003"/>
    <x v="0"/>
    <n v="28605"/>
  </r>
  <r>
    <x v="0"/>
    <d v="2017-07-11T00:00:00"/>
    <x v="26"/>
    <x v="4"/>
    <n v="1"/>
    <s v="입"/>
    <x v="26"/>
    <n v="1"/>
    <n v="7000"/>
    <n v="7000"/>
    <n v="5.95"/>
    <n v="2.3800000000000003"/>
    <n v="2.3800000000000003"/>
    <x v="0"/>
    <n v="28605"/>
  </r>
  <r>
    <x v="0"/>
    <d v="2017-07-11T00:00:00"/>
    <x v="27"/>
    <x v="1"/>
    <n v="1"/>
    <s v="입"/>
    <x v="27"/>
    <n v="1"/>
    <n v="7000"/>
    <n v="7000"/>
    <n v="5.95"/>
    <n v="2.3800000000000003"/>
    <n v="2.3800000000000003"/>
    <x v="0"/>
    <n v="28605"/>
  </r>
  <r>
    <x v="0"/>
    <d v="2017-07-11T00:00:00"/>
    <x v="27"/>
    <x v="3"/>
    <n v="1"/>
    <s v="입"/>
    <x v="27"/>
    <n v="1"/>
    <n v="7000"/>
    <n v="7000"/>
    <n v="5.95"/>
    <n v="2.3800000000000003"/>
    <n v="2.3800000000000003"/>
    <x v="0"/>
    <n v="28605"/>
  </r>
  <r>
    <x v="0"/>
    <d v="2017-07-11T00:00:00"/>
    <x v="27"/>
    <x v="4"/>
    <n v="1"/>
    <s v="입"/>
    <x v="27"/>
    <n v="1"/>
    <n v="7000"/>
    <n v="7000"/>
    <n v="5.95"/>
    <n v="2.3800000000000003"/>
    <n v="2.3800000000000003"/>
    <x v="0"/>
    <n v="28605"/>
  </r>
  <r>
    <x v="0"/>
    <d v="2017-07-11T00:00:00"/>
    <x v="28"/>
    <x v="3"/>
    <n v="1"/>
    <s v="입"/>
    <x v="28"/>
    <n v="1"/>
    <n v="7000"/>
    <n v="7000"/>
    <n v="5.95"/>
    <n v="2.3800000000000003"/>
    <n v="2.3800000000000003"/>
    <x v="0"/>
    <n v="28605"/>
  </r>
  <r>
    <x v="0"/>
    <d v="2017-07-11T00:00:00"/>
    <x v="28"/>
    <x v="4"/>
    <n v="1"/>
    <s v="입"/>
    <x v="28"/>
    <n v="1"/>
    <n v="7000"/>
    <n v="7000"/>
    <n v="5.95"/>
    <n v="2.3800000000000003"/>
    <n v="2.3800000000000003"/>
    <x v="0"/>
    <n v="28605"/>
  </r>
  <r>
    <x v="0"/>
    <d v="2017-07-11T00:00:00"/>
    <x v="29"/>
    <x v="3"/>
    <n v="1"/>
    <s v="입"/>
    <x v="29"/>
    <n v="1"/>
    <n v="7000"/>
    <n v="7000"/>
    <n v="5.95"/>
    <n v="2.3800000000000003"/>
    <n v="2.3800000000000003"/>
    <x v="0"/>
    <n v="28605"/>
  </r>
  <r>
    <x v="0"/>
    <d v="2017-07-11T00:00:00"/>
    <x v="29"/>
    <x v="4"/>
    <n v="1"/>
    <s v="입"/>
    <x v="29"/>
    <n v="1"/>
    <n v="7000"/>
    <n v="7000"/>
    <n v="5.95"/>
    <n v="2.3800000000000003"/>
    <n v="2.3800000000000003"/>
    <x v="0"/>
    <n v="28605"/>
  </r>
  <r>
    <x v="0"/>
    <d v="2017-07-11T00:00:00"/>
    <x v="30"/>
    <x v="3"/>
    <n v="1"/>
    <s v="입"/>
    <x v="30"/>
    <n v="1"/>
    <n v="7000"/>
    <n v="7000"/>
    <n v="5.95"/>
    <n v="2.3800000000000003"/>
    <n v="2.3800000000000003"/>
    <x v="0"/>
    <n v="28605"/>
  </r>
  <r>
    <x v="0"/>
    <d v="2017-07-11T00:00:00"/>
    <x v="30"/>
    <x v="4"/>
    <n v="1"/>
    <s v="입"/>
    <x v="30"/>
    <n v="1"/>
    <n v="7000"/>
    <n v="7000"/>
    <n v="5.95"/>
    <n v="2.3800000000000003"/>
    <n v="2.3800000000000003"/>
    <x v="0"/>
    <n v="28605"/>
  </r>
  <r>
    <x v="0"/>
    <d v="2017-07-11T00:00:00"/>
    <x v="31"/>
    <x v="1"/>
    <n v="1"/>
    <s v="입"/>
    <x v="31"/>
    <n v="1"/>
    <n v="7000"/>
    <n v="7000"/>
    <n v="5.95"/>
    <n v="2.3800000000000003"/>
    <n v="2.3800000000000003"/>
    <x v="0"/>
    <n v="28605"/>
  </r>
  <r>
    <x v="0"/>
    <d v="2017-07-11T00:00:00"/>
    <x v="32"/>
    <x v="1"/>
    <n v="1"/>
    <s v="입"/>
    <x v="32"/>
    <n v="1"/>
    <n v="7000"/>
    <n v="7000"/>
    <n v="5.95"/>
    <n v="2.3800000000000003"/>
    <n v="2.3800000000000003"/>
    <x v="0"/>
    <n v="28605"/>
  </r>
  <r>
    <x v="0"/>
    <d v="2017-07-11T00:00:00"/>
    <x v="33"/>
    <x v="0"/>
    <n v="1"/>
    <s v="입"/>
    <x v="33"/>
    <n v="1"/>
    <n v="7000"/>
    <n v="7000"/>
    <n v="5.95"/>
    <n v="2.3800000000000003"/>
    <n v="2.3800000000000003"/>
    <x v="0"/>
    <n v="28605"/>
  </r>
  <r>
    <x v="0"/>
    <d v="2017-07-11T00:00:00"/>
    <x v="33"/>
    <x v="1"/>
    <n v="2"/>
    <s v="입"/>
    <x v="33"/>
    <n v="2"/>
    <n v="7000"/>
    <n v="14000"/>
    <n v="5.95"/>
    <n v="2.3800000000000003"/>
    <n v="4.7600000000000007"/>
    <x v="0"/>
    <n v="28605"/>
  </r>
  <r>
    <x v="0"/>
    <d v="2017-07-11T00:00:00"/>
    <x v="33"/>
    <x v="3"/>
    <n v="1"/>
    <s v="입"/>
    <x v="33"/>
    <n v="1"/>
    <n v="7000"/>
    <n v="7000"/>
    <n v="5.95"/>
    <n v="2.3800000000000003"/>
    <n v="2.3800000000000003"/>
    <x v="0"/>
    <n v="28605"/>
  </r>
  <r>
    <x v="0"/>
    <d v="2017-07-11T00:00:00"/>
    <x v="34"/>
    <x v="0"/>
    <n v="1"/>
    <s v="입"/>
    <x v="34"/>
    <n v="1"/>
    <n v="7000"/>
    <n v="7000"/>
    <n v="5.95"/>
    <n v="2.3800000000000003"/>
    <n v="2.3800000000000003"/>
    <x v="0"/>
    <n v="28605"/>
  </r>
  <r>
    <x v="0"/>
    <d v="2017-07-11T00:00:00"/>
    <x v="34"/>
    <x v="1"/>
    <n v="3"/>
    <s v="입"/>
    <x v="34"/>
    <n v="3"/>
    <n v="7000"/>
    <n v="21000"/>
    <n v="5.95"/>
    <n v="2.3800000000000003"/>
    <n v="7.1400000000000006"/>
    <x v="0"/>
    <n v="28605"/>
  </r>
  <r>
    <x v="0"/>
    <d v="2017-07-11T00:00:00"/>
    <x v="34"/>
    <x v="2"/>
    <n v="3"/>
    <s v="입"/>
    <x v="34"/>
    <n v="3"/>
    <n v="7000"/>
    <n v="21000"/>
    <n v="5.95"/>
    <n v="2.3800000000000003"/>
    <n v="7.1400000000000006"/>
    <x v="0"/>
    <n v="28605"/>
  </r>
  <r>
    <x v="0"/>
    <d v="2017-07-11T00:00:00"/>
    <x v="34"/>
    <x v="3"/>
    <n v="3"/>
    <s v="입"/>
    <x v="34"/>
    <n v="3"/>
    <n v="7000"/>
    <n v="21000"/>
    <n v="5.95"/>
    <n v="2.3800000000000003"/>
    <n v="7.1400000000000006"/>
    <x v="0"/>
    <n v="28605"/>
  </r>
  <r>
    <x v="0"/>
    <d v="2017-07-11T00:00:00"/>
    <x v="34"/>
    <x v="4"/>
    <n v="2"/>
    <s v="입"/>
    <x v="34"/>
    <n v="2"/>
    <n v="7000"/>
    <n v="14000"/>
    <n v="5.95"/>
    <n v="2.3800000000000003"/>
    <n v="4.7600000000000007"/>
    <x v="0"/>
    <n v="28605"/>
  </r>
  <r>
    <x v="0"/>
    <d v="2017-07-11T00:00:00"/>
    <x v="35"/>
    <x v="0"/>
    <n v="1"/>
    <s v="입"/>
    <x v="35"/>
    <n v="1"/>
    <n v="7000"/>
    <n v="7000"/>
    <n v="5.95"/>
    <n v="2.3800000000000003"/>
    <n v="2.3800000000000003"/>
    <x v="0"/>
    <n v="28605"/>
  </r>
  <r>
    <x v="0"/>
    <d v="2017-07-11T00:00:00"/>
    <x v="35"/>
    <x v="1"/>
    <n v="3"/>
    <s v="입"/>
    <x v="35"/>
    <n v="3"/>
    <n v="7000"/>
    <n v="21000"/>
    <n v="5.95"/>
    <n v="2.3800000000000003"/>
    <n v="7.1400000000000006"/>
    <x v="0"/>
    <n v="28605"/>
  </r>
  <r>
    <x v="0"/>
    <d v="2017-07-11T00:00:00"/>
    <x v="35"/>
    <x v="2"/>
    <n v="3"/>
    <s v="입"/>
    <x v="35"/>
    <n v="3"/>
    <n v="7000"/>
    <n v="21000"/>
    <n v="5.95"/>
    <n v="2.3800000000000003"/>
    <n v="7.1400000000000006"/>
    <x v="0"/>
    <n v="28605"/>
  </r>
  <r>
    <x v="0"/>
    <d v="2017-07-11T00:00:00"/>
    <x v="35"/>
    <x v="3"/>
    <n v="3"/>
    <s v="입"/>
    <x v="35"/>
    <n v="3"/>
    <n v="7000"/>
    <n v="21000"/>
    <n v="5.95"/>
    <n v="2.3800000000000003"/>
    <n v="7.1400000000000006"/>
    <x v="0"/>
    <n v="28605"/>
  </r>
  <r>
    <x v="0"/>
    <d v="2017-07-11T00:00:00"/>
    <x v="35"/>
    <x v="4"/>
    <n v="2"/>
    <s v="입"/>
    <x v="35"/>
    <n v="2"/>
    <n v="7000"/>
    <n v="14000"/>
    <n v="5.95"/>
    <n v="2.3800000000000003"/>
    <n v="4.7600000000000007"/>
    <x v="0"/>
    <n v="28605"/>
  </r>
  <r>
    <x v="0"/>
    <d v="2017-07-11T00:00:00"/>
    <x v="36"/>
    <x v="0"/>
    <n v="2"/>
    <s v="입"/>
    <x v="36"/>
    <n v="2"/>
    <n v="7000"/>
    <n v="14000"/>
    <n v="5.95"/>
    <n v="2.3800000000000003"/>
    <n v="4.7600000000000007"/>
    <x v="0"/>
    <n v="28605"/>
  </r>
  <r>
    <x v="0"/>
    <d v="2017-07-11T00:00:00"/>
    <x v="36"/>
    <x v="1"/>
    <n v="2"/>
    <s v="입"/>
    <x v="36"/>
    <n v="2"/>
    <n v="7000"/>
    <n v="14000"/>
    <n v="5.95"/>
    <n v="2.3800000000000003"/>
    <n v="4.7600000000000007"/>
    <x v="0"/>
    <n v="28605"/>
  </r>
  <r>
    <x v="0"/>
    <d v="2017-07-11T00:00:00"/>
    <x v="36"/>
    <x v="3"/>
    <n v="2"/>
    <s v="입"/>
    <x v="36"/>
    <n v="2"/>
    <n v="7000"/>
    <n v="14000"/>
    <n v="5.95"/>
    <n v="2.3800000000000003"/>
    <n v="4.7600000000000007"/>
    <x v="0"/>
    <n v="28605"/>
  </r>
  <r>
    <x v="0"/>
    <d v="2017-07-11T00:00:00"/>
    <x v="37"/>
    <x v="0"/>
    <n v="2"/>
    <s v="입"/>
    <x v="37"/>
    <n v="2"/>
    <n v="7000"/>
    <n v="14000"/>
    <n v="5.95"/>
    <n v="2.3800000000000003"/>
    <n v="4.7600000000000007"/>
    <x v="0"/>
    <n v="28605"/>
  </r>
  <r>
    <x v="0"/>
    <d v="2017-07-11T00:00:00"/>
    <x v="37"/>
    <x v="1"/>
    <n v="2"/>
    <s v="입"/>
    <x v="37"/>
    <n v="2"/>
    <n v="7000"/>
    <n v="14000"/>
    <n v="5.95"/>
    <n v="2.3800000000000003"/>
    <n v="4.7600000000000007"/>
    <x v="0"/>
    <n v="28605"/>
  </r>
  <r>
    <x v="0"/>
    <d v="2017-07-11T00:00:00"/>
    <x v="37"/>
    <x v="3"/>
    <n v="2"/>
    <s v="입"/>
    <x v="37"/>
    <n v="2"/>
    <n v="7000"/>
    <n v="14000"/>
    <n v="5.95"/>
    <n v="2.3800000000000003"/>
    <n v="4.7600000000000007"/>
    <x v="0"/>
    <n v="28605"/>
  </r>
  <r>
    <x v="0"/>
    <d v="2017-07-11T00:00:00"/>
    <x v="38"/>
    <x v="0"/>
    <n v="1"/>
    <s v="입"/>
    <x v="38"/>
    <n v="1"/>
    <n v="7000"/>
    <n v="7000"/>
    <n v="5.95"/>
    <n v="2.3800000000000003"/>
    <n v="2.3800000000000003"/>
    <x v="0"/>
    <n v="28605"/>
  </r>
  <r>
    <x v="0"/>
    <d v="2017-07-11T00:00:00"/>
    <x v="38"/>
    <x v="1"/>
    <n v="1"/>
    <s v="입"/>
    <x v="38"/>
    <n v="1"/>
    <n v="7000"/>
    <n v="7000"/>
    <n v="5.95"/>
    <n v="2.3800000000000003"/>
    <n v="2.3800000000000003"/>
    <x v="0"/>
    <n v="28605"/>
  </r>
  <r>
    <x v="0"/>
    <d v="2017-07-11T00:00:00"/>
    <x v="38"/>
    <x v="3"/>
    <n v="1"/>
    <s v="입"/>
    <x v="38"/>
    <n v="1"/>
    <n v="7000"/>
    <n v="7000"/>
    <n v="5.95"/>
    <n v="2.3800000000000003"/>
    <n v="2.3800000000000003"/>
    <x v="0"/>
    <n v="28605"/>
  </r>
  <r>
    <x v="0"/>
    <d v="2017-07-11T00:00:00"/>
    <x v="39"/>
    <x v="0"/>
    <n v="1"/>
    <s v="입"/>
    <x v="39"/>
    <n v="1"/>
    <n v="8000"/>
    <n v="8000"/>
    <n v="6.95"/>
    <n v="2.7800000000000002"/>
    <n v="2.7800000000000002"/>
    <x v="1"/>
    <n v="28605"/>
  </r>
  <r>
    <x v="0"/>
    <d v="2017-07-11T00:00:00"/>
    <x v="39"/>
    <x v="1"/>
    <n v="2"/>
    <s v="입"/>
    <x v="39"/>
    <n v="2"/>
    <n v="8000"/>
    <n v="16000"/>
    <n v="6.95"/>
    <n v="2.7800000000000002"/>
    <n v="5.5600000000000005"/>
    <x v="1"/>
    <n v="28605"/>
  </r>
  <r>
    <x v="0"/>
    <d v="2017-07-11T00:00:00"/>
    <x v="39"/>
    <x v="2"/>
    <n v="2"/>
    <s v="입"/>
    <x v="39"/>
    <n v="2"/>
    <n v="8000"/>
    <n v="16000"/>
    <n v="6.95"/>
    <n v="2.7800000000000002"/>
    <n v="5.5600000000000005"/>
    <x v="1"/>
    <n v="28605"/>
  </r>
  <r>
    <x v="0"/>
    <d v="2017-07-11T00:00:00"/>
    <x v="39"/>
    <x v="3"/>
    <n v="2"/>
    <s v="입"/>
    <x v="39"/>
    <n v="2"/>
    <n v="8000"/>
    <n v="16000"/>
    <n v="6.95"/>
    <n v="2.7800000000000002"/>
    <n v="5.5600000000000005"/>
    <x v="1"/>
    <n v="28605"/>
  </r>
  <r>
    <x v="0"/>
    <d v="2017-07-11T00:00:00"/>
    <x v="39"/>
    <x v="4"/>
    <n v="1"/>
    <s v="입"/>
    <x v="39"/>
    <n v="1"/>
    <n v="8000"/>
    <n v="8000"/>
    <n v="6.95"/>
    <n v="2.7800000000000002"/>
    <n v="2.7800000000000002"/>
    <x v="1"/>
    <n v="28605"/>
  </r>
  <r>
    <x v="0"/>
    <d v="2017-07-11T00:00:00"/>
    <x v="40"/>
    <x v="0"/>
    <n v="1"/>
    <s v="입"/>
    <x v="40"/>
    <n v="1"/>
    <n v="8000"/>
    <n v="8000"/>
    <n v="6.95"/>
    <n v="2.7800000000000002"/>
    <n v="2.7800000000000002"/>
    <x v="1"/>
    <n v="28605"/>
  </r>
  <r>
    <x v="0"/>
    <d v="2017-07-11T00:00:00"/>
    <x v="40"/>
    <x v="1"/>
    <n v="2"/>
    <s v="입"/>
    <x v="40"/>
    <n v="2"/>
    <n v="8000"/>
    <n v="16000"/>
    <n v="6.95"/>
    <n v="2.7800000000000002"/>
    <n v="5.5600000000000005"/>
    <x v="1"/>
    <n v="28605"/>
  </r>
  <r>
    <x v="0"/>
    <d v="2017-07-11T00:00:00"/>
    <x v="40"/>
    <x v="3"/>
    <n v="2"/>
    <s v="입"/>
    <x v="40"/>
    <n v="2"/>
    <n v="8000"/>
    <n v="16000"/>
    <n v="6.95"/>
    <n v="2.7800000000000002"/>
    <n v="5.5600000000000005"/>
    <x v="1"/>
    <n v="28605"/>
  </r>
  <r>
    <x v="0"/>
    <d v="2017-07-11T00:00:00"/>
    <x v="40"/>
    <x v="4"/>
    <n v="1"/>
    <s v="입"/>
    <x v="40"/>
    <n v="1"/>
    <n v="8000"/>
    <n v="8000"/>
    <n v="6.95"/>
    <n v="2.7800000000000002"/>
    <n v="2.7800000000000002"/>
    <x v="1"/>
    <n v="28605"/>
  </r>
  <r>
    <x v="0"/>
    <d v="2017-07-11T00:00:00"/>
    <x v="41"/>
    <x v="0"/>
    <n v="1"/>
    <s v="입"/>
    <x v="41"/>
    <n v="1"/>
    <n v="8000"/>
    <n v="8000"/>
    <n v="6.95"/>
    <n v="2.7800000000000002"/>
    <n v="2.7800000000000002"/>
    <x v="1"/>
    <n v="28605"/>
  </r>
  <r>
    <x v="0"/>
    <d v="2017-07-11T00:00:00"/>
    <x v="41"/>
    <x v="1"/>
    <n v="2"/>
    <s v="입"/>
    <x v="41"/>
    <n v="2"/>
    <n v="8000"/>
    <n v="16000"/>
    <n v="6.95"/>
    <n v="2.7800000000000002"/>
    <n v="5.5600000000000005"/>
    <x v="1"/>
    <n v="28605"/>
  </r>
  <r>
    <x v="0"/>
    <d v="2017-07-11T00:00:00"/>
    <x v="41"/>
    <x v="2"/>
    <n v="2"/>
    <s v="입"/>
    <x v="41"/>
    <n v="2"/>
    <n v="8000"/>
    <n v="16000"/>
    <n v="6.95"/>
    <n v="2.7800000000000002"/>
    <n v="5.5600000000000005"/>
    <x v="1"/>
    <n v="28605"/>
  </r>
  <r>
    <x v="0"/>
    <d v="2017-07-11T00:00:00"/>
    <x v="41"/>
    <x v="3"/>
    <n v="2"/>
    <s v="입"/>
    <x v="41"/>
    <n v="2"/>
    <n v="8000"/>
    <n v="16000"/>
    <n v="6.95"/>
    <n v="2.7800000000000002"/>
    <n v="5.5600000000000005"/>
    <x v="1"/>
    <n v="28605"/>
  </r>
  <r>
    <x v="0"/>
    <d v="2017-07-11T00:00:00"/>
    <x v="41"/>
    <x v="4"/>
    <n v="1"/>
    <s v="입"/>
    <x v="41"/>
    <n v="1"/>
    <n v="8000"/>
    <n v="8000"/>
    <n v="6.95"/>
    <n v="2.7800000000000002"/>
    <n v="2.7800000000000002"/>
    <x v="1"/>
    <n v="28605"/>
  </r>
  <r>
    <x v="0"/>
    <d v="2017-07-11T00:00:00"/>
    <x v="42"/>
    <x v="0"/>
    <n v="1"/>
    <s v="입"/>
    <x v="42"/>
    <n v="1"/>
    <n v="8000"/>
    <n v="8000"/>
    <n v="6.95"/>
    <n v="2.7800000000000002"/>
    <n v="2.7800000000000002"/>
    <x v="1"/>
    <n v="28605"/>
  </r>
  <r>
    <x v="0"/>
    <d v="2017-07-11T00:00:00"/>
    <x v="42"/>
    <x v="1"/>
    <n v="2"/>
    <s v="입"/>
    <x v="42"/>
    <n v="2"/>
    <n v="8000"/>
    <n v="16000"/>
    <n v="6.95"/>
    <n v="2.7800000000000002"/>
    <n v="5.5600000000000005"/>
    <x v="1"/>
    <n v="28605"/>
  </r>
  <r>
    <x v="0"/>
    <d v="2017-07-11T00:00:00"/>
    <x v="42"/>
    <x v="3"/>
    <n v="2"/>
    <s v="입"/>
    <x v="42"/>
    <n v="2"/>
    <n v="8000"/>
    <n v="16000"/>
    <n v="6.95"/>
    <n v="2.7800000000000002"/>
    <n v="5.5600000000000005"/>
    <x v="1"/>
    <n v="28605"/>
  </r>
  <r>
    <x v="0"/>
    <d v="2017-07-11T00:00:00"/>
    <x v="42"/>
    <x v="4"/>
    <n v="1"/>
    <s v="입"/>
    <x v="42"/>
    <n v="1"/>
    <n v="8000"/>
    <n v="8000"/>
    <n v="6.95"/>
    <n v="2.7800000000000002"/>
    <n v="2.7800000000000002"/>
    <x v="1"/>
    <n v="28605"/>
  </r>
  <r>
    <x v="0"/>
    <d v="2017-07-11T00:00:00"/>
    <x v="43"/>
    <x v="4"/>
    <n v="1"/>
    <s v="입"/>
    <x v="43"/>
    <n v="1"/>
    <n v="8000"/>
    <n v="8000"/>
    <n v="5.95"/>
    <n v="2.3800000000000003"/>
    <n v="2.3800000000000003"/>
    <x v="1"/>
    <n v="28605"/>
  </r>
  <r>
    <x v="0"/>
    <d v="2017-07-11T00:00:00"/>
    <x v="44"/>
    <x v="1"/>
    <n v="2"/>
    <s v="입"/>
    <x v="44"/>
    <n v="2"/>
    <n v="8000"/>
    <n v="16000"/>
    <n v="6.95"/>
    <n v="2.7800000000000002"/>
    <n v="5.5600000000000005"/>
    <x v="1"/>
    <n v="28605"/>
  </r>
  <r>
    <x v="0"/>
    <d v="2017-07-11T00:00:00"/>
    <x v="44"/>
    <x v="3"/>
    <n v="2"/>
    <s v="입"/>
    <x v="44"/>
    <n v="2"/>
    <n v="8000"/>
    <n v="16000"/>
    <n v="6.95"/>
    <n v="2.7800000000000002"/>
    <n v="5.5600000000000005"/>
    <x v="1"/>
    <n v="28605"/>
  </r>
  <r>
    <x v="0"/>
    <d v="2017-07-11T00:00:00"/>
    <x v="44"/>
    <x v="4"/>
    <n v="1"/>
    <s v="입"/>
    <x v="44"/>
    <n v="1"/>
    <n v="8000"/>
    <n v="8000"/>
    <n v="6.95"/>
    <n v="2.7800000000000002"/>
    <n v="2.7800000000000002"/>
    <x v="1"/>
    <n v="28605"/>
  </r>
  <r>
    <x v="0"/>
    <d v="2017-07-11T00:00:00"/>
    <x v="45"/>
    <x v="1"/>
    <n v="2"/>
    <s v="입"/>
    <x v="45"/>
    <n v="2"/>
    <n v="8000"/>
    <n v="16000"/>
    <n v="6.95"/>
    <n v="2.7800000000000002"/>
    <n v="5.5600000000000005"/>
    <x v="1"/>
    <n v="28605"/>
  </r>
  <r>
    <x v="0"/>
    <d v="2017-07-11T00:00:00"/>
    <x v="45"/>
    <x v="3"/>
    <n v="2"/>
    <s v="입"/>
    <x v="45"/>
    <n v="2"/>
    <n v="8000"/>
    <n v="16000"/>
    <n v="6.95"/>
    <n v="2.7800000000000002"/>
    <n v="5.5600000000000005"/>
    <x v="1"/>
    <n v="28605"/>
  </r>
  <r>
    <x v="0"/>
    <d v="2017-07-11T00:00:00"/>
    <x v="45"/>
    <x v="4"/>
    <n v="1"/>
    <s v="입"/>
    <x v="45"/>
    <n v="1"/>
    <n v="8000"/>
    <n v="8000"/>
    <n v="6.95"/>
    <n v="2.7800000000000002"/>
    <n v="2.7800000000000002"/>
    <x v="1"/>
    <n v="28605"/>
  </r>
  <r>
    <x v="0"/>
    <d v="2017-07-11T00:00:00"/>
    <x v="46"/>
    <x v="0"/>
    <n v="1"/>
    <s v="입"/>
    <x v="46"/>
    <n v="1"/>
    <n v="8000"/>
    <n v="8000"/>
    <n v="6.95"/>
    <n v="2.7800000000000002"/>
    <n v="2.7800000000000002"/>
    <x v="1"/>
    <n v="28605"/>
  </r>
  <r>
    <x v="0"/>
    <d v="2017-07-11T00:00:00"/>
    <x v="46"/>
    <x v="1"/>
    <n v="2"/>
    <s v="입"/>
    <x v="46"/>
    <n v="2"/>
    <n v="8000"/>
    <n v="16000"/>
    <n v="6.95"/>
    <n v="2.7800000000000002"/>
    <n v="5.5600000000000005"/>
    <x v="1"/>
    <n v="28605"/>
  </r>
  <r>
    <x v="0"/>
    <d v="2017-07-11T00:00:00"/>
    <x v="46"/>
    <x v="3"/>
    <n v="2"/>
    <s v="입"/>
    <x v="46"/>
    <n v="2"/>
    <n v="8000"/>
    <n v="16000"/>
    <n v="6.95"/>
    <n v="2.7800000000000002"/>
    <n v="5.5600000000000005"/>
    <x v="1"/>
    <n v="28605"/>
  </r>
  <r>
    <x v="0"/>
    <d v="2017-07-11T00:00:00"/>
    <x v="46"/>
    <x v="4"/>
    <n v="1"/>
    <s v="입"/>
    <x v="46"/>
    <n v="1"/>
    <n v="8000"/>
    <n v="8000"/>
    <n v="6.95"/>
    <n v="2.7800000000000002"/>
    <n v="2.7800000000000002"/>
    <x v="1"/>
    <n v="28605"/>
  </r>
  <r>
    <x v="0"/>
    <d v="2017-07-11T00:00:00"/>
    <x v="47"/>
    <x v="0"/>
    <n v="1"/>
    <s v="입"/>
    <x v="47"/>
    <n v="1"/>
    <n v="8000"/>
    <n v="8000"/>
    <n v="6.95"/>
    <n v="2.7800000000000002"/>
    <n v="2.7800000000000002"/>
    <x v="1"/>
    <n v="28605"/>
  </r>
  <r>
    <x v="0"/>
    <d v="2017-07-11T00:00:00"/>
    <x v="47"/>
    <x v="1"/>
    <n v="2"/>
    <s v="입"/>
    <x v="47"/>
    <n v="2"/>
    <n v="8000"/>
    <n v="16000"/>
    <n v="6.95"/>
    <n v="2.7800000000000002"/>
    <n v="5.5600000000000005"/>
    <x v="1"/>
    <n v="28605"/>
  </r>
  <r>
    <x v="0"/>
    <d v="2017-07-11T00:00:00"/>
    <x v="47"/>
    <x v="3"/>
    <n v="2"/>
    <s v="입"/>
    <x v="47"/>
    <n v="2"/>
    <n v="8000"/>
    <n v="16000"/>
    <n v="6.95"/>
    <n v="2.7800000000000002"/>
    <n v="5.5600000000000005"/>
    <x v="1"/>
    <n v="28605"/>
  </r>
  <r>
    <x v="0"/>
    <d v="2017-07-11T00:00:00"/>
    <x v="47"/>
    <x v="4"/>
    <n v="1"/>
    <s v="입"/>
    <x v="47"/>
    <n v="1"/>
    <n v="8000"/>
    <n v="8000"/>
    <n v="6.95"/>
    <n v="2.7800000000000002"/>
    <n v="2.7800000000000002"/>
    <x v="1"/>
    <n v="28605"/>
  </r>
  <r>
    <x v="0"/>
    <d v="2017-07-11T00:00:00"/>
    <x v="48"/>
    <x v="3"/>
    <n v="1"/>
    <s v="입"/>
    <x v="48"/>
    <n v="1"/>
    <n v="8000"/>
    <n v="8000"/>
    <n v="6.95"/>
    <n v="2.7800000000000002"/>
    <n v="2.7800000000000002"/>
    <x v="1"/>
    <n v="28605"/>
  </r>
  <r>
    <x v="0"/>
    <d v="2017-07-11T00:00:00"/>
    <x v="48"/>
    <x v="4"/>
    <n v="1"/>
    <s v="입"/>
    <x v="48"/>
    <n v="1"/>
    <n v="8000"/>
    <n v="8000"/>
    <n v="6.95"/>
    <n v="2.7800000000000002"/>
    <n v="2.7800000000000002"/>
    <x v="1"/>
    <n v="28605"/>
  </r>
  <r>
    <x v="0"/>
    <d v="2017-07-11T00:00:00"/>
    <x v="49"/>
    <x v="3"/>
    <n v="1"/>
    <s v="입"/>
    <x v="49"/>
    <n v="1"/>
    <n v="8000"/>
    <n v="8000"/>
    <n v="6.95"/>
    <n v="2.7800000000000002"/>
    <n v="2.7800000000000002"/>
    <x v="1"/>
    <n v="28605"/>
  </r>
  <r>
    <x v="0"/>
    <d v="2017-07-11T00:00:00"/>
    <x v="49"/>
    <x v="4"/>
    <n v="1"/>
    <s v="입"/>
    <x v="49"/>
    <n v="1"/>
    <n v="8000"/>
    <n v="8000"/>
    <n v="6.95"/>
    <n v="2.7800000000000002"/>
    <n v="2.7800000000000002"/>
    <x v="1"/>
    <n v="28605"/>
  </r>
  <r>
    <x v="0"/>
    <d v="2017-07-11T00:00:00"/>
    <x v="50"/>
    <x v="4"/>
    <n v="1"/>
    <s v="입"/>
    <x v="50"/>
    <n v="1"/>
    <n v="8000"/>
    <n v="8000"/>
    <n v="6.95"/>
    <n v="2.7800000000000002"/>
    <n v="2.7800000000000002"/>
    <x v="1"/>
    <n v="28605"/>
  </r>
  <r>
    <x v="0"/>
    <d v="2017-07-11T00:00:00"/>
    <x v="51"/>
    <x v="0"/>
    <n v="1"/>
    <s v="입"/>
    <x v="51"/>
    <n v="1"/>
    <n v="8000"/>
    <n v="8000"/>
    <n v="6.95"/>
    <n v="2.7800000000000002"/>
    <n v="2.7800000000000002"/>
    <x v="1"/>
    <n v="28605"/>
  </r>
  <r>
    <x v="0"/>
    <d v="2017-07-11T00:00:00"/>
    <x v="51"/>
    <x v="1"/>
    <n v="1"/>
    <s v="입"/>
    <x v="51"/>
    <n v="1"/>
    <n v="8000"/>
    <n v="8000"/>
    <n v="6.95"/>
    <n v="2.7800000000000002"/>
    <n v="2.7800000000000002"/>
    <x v="1"/>
    <n v="28605"/>
  </r>
  <r>
    <x v="0"/>
    <d v="2017-07-11T00:00:00"/>
    <x v="51"/>
    <x v="3"/>
    <n v="1"/>
    <s v="입"/>
    <x v="51"/>
    <n v="1"/>
    <n v="8000"/>
    <n v="8000"/>
    <n v="6.95"/>
    <n v="2.7800000000000002"/>
    <n v="2.7800000000000002"/>
    <x v="1"/>
    <n v="28605"/>
  </r>
  <r>
    <x v="0"/>
    <d v="2017-07-11T00:00:00"/>
    <x v="51"/>
    <x v="4"/>
    <n v="1"/>
    <s v="입"/>
    <x v="51"/>
    <n v="1"/>
    <n v="8000"/>
    <n v="8000"/>
    <n v="6.95"/>
    <n v="2.7800000000000002"/>
    <n v="2.7800000000000002"/>
    <x v="1"/>
    <n v="28605"/>
  </r>
  <r>
    <x v="0"/>
    <d v="2017-07-11T00:00:00"/>
    <x v="52"/>
    <x v="1"/>
    <n v="1"/>
    <s v="입"/>
    <x v="52"/>
    <n v="1"/>
    <n v="8000"/>
    <n v="8000"/>
    <n v="5.95"/>
    <n v="2.3800000000000003"/>
    <n v="2.3800000000000003"/>
    <x v="1"/>
    <n v="28605"/>
  </r>
  <r>
    <x v="0"/>
    <d v="2017-07-11T00:00:00"/>
    <x v="52"/>
    <x v="3"/>
    <n v="1"/>
    <s v="입"/>
    <x v="52"/>
    <n v="1"/>
    <n v="8000"/>
    <n v="8000"/>
    <n v="5.95"/>
    <n v="2.3800000000000003"/>
    <n v="2.3800000000000003"/>
    <x v="1"/>
    <n v="28605"/>
  </r>
  <r>
    <x v="0"/>
    <d v="2017-07-11T00:00:00"/>
    <x v="52"/>
    <x v="4"/>
    <n v="1"/>
    <s v="입"/>
    <x v="52"/>
    <n v="1"/>
    <n v="8000"/>
    <n v="8000"/>
    <n v="5.95"/>
    <n v="2.3800000000000003"/>
    <n v="2.3800000000000003"/>
    <x v="1"/>
    <n v="28605"/>
  </r>
  <r>
    <x v="0"/>
    <d v="2017-07-11T00:00:00"/>
    <x v="53"/>
    <x v="1"/>
    <n v="1"/>
    <s v="입"/>
    <x v="53"/>
    <n v="1"/>
    <n v="8000"/>
    <n v="8000"/>
    <n v="6.95"/>
    <n v="2.7800000000000002"/>
    <n v="2.7800000000000002"/>
    <x v="1"/>
    <n v="28605"/>
  </r>
  <r>
    <x v="0"/>
    <d v="2017-07-11T00:00:00"/>
    <x v="53"/>
    <x v="3"/>
    <n v="1"/>
    <s v="입"/>
    <x v="53"/>
    <n v="1"/>
    <n v="8000"/>
    <n v="8000"/>
    <n v="6.95"/>
    <n v="2.7800000000000002"/>
    <n v="2.7800000000000002"/>
    <x v="1"/>
    <n v="28605"/>
  </r>
  <r>
    <x v="0"/>
    <d v="2017-07-11T00:00:00"/>
    <x v="53"/>
    <x v="4"/>
    <n v="1"/>
    <s v="입"/>
    <x v="53"/>
    <n v="1"/>
    <n v="8000"/>
    <n v="8000"/>
    <n v="6.95"/>
    <n v="2.7800000000000002"/>
    <n v="2.7800000000000002"/>
    <x v="1"/>
    <n v="28605"/>
  </r>
  <r>
    <x v="0"/>
    <d v="2017-07-11T00:00:00"/>
    <x v="54"/>
    <x v="0"/>
    <n v="1"/>
    <s v="입"/>
    <x v="54"/>
    <n v="1"/>
    <n v="8000"/>
    <n v="8000"/>
    <n v="6.95"/>
    <n v="2.7800000000000002"/>
    <n v="2.7800000000000002"/>
    <x v="2"/>
    <n v="28605"/>
  </r>
  <r>
    <x v="0"/>
    <d v="2017-07-11T00:00:00"/>
    <x v="54"/>
    <x v="1"/>
    <n v="2"/>
    <s v="입"/>
    <x v="54"/>
    <n v="2"/>
    <n v="8000"/>
    <n v="16000"/>
    <n v="6.95"/>
    <n v="2.7800000000000002"/>
    <n v="5.5600000000000005"/>
    <x v="2"/>
    <n v="28605"/>
  </r>
  <r>
    <x v="0"/>
    <d v="2017-07-11T00:00:00"/>
    <x v="54"/>
    <x v="2"/>
    <n v="2"/>
    <s v="입"/>
    <x v="54"/>
    <n v="2"/>
    <n v="8000"/>
    <n v="16000"/>
    <n v="6.95"/>
    <n v="2.7800000000000002"/>
    <n v="5.5600000000000005"/>
    <x v="2"/>
    <n v="28605"/>
  </r>
  <r>
    <x v="0"/>
    <d v="2017-07-11T00:00:00"/>
    <x v="54"/>
    <x v="3"/>
    <n v="2"/>
    <s v="입"/>
    <x v="54"/>
    <n v="2"/>
    <n v="8000"/>
    <n v="16000"/>
    <n v="6.95"/>
    <n v="2.7800000000000002"/>
    <n v="5.5600000000000005"/>
    <x v="2"/>
    <n v="28605"/>
  </r>
  <r>
    <x v="0"/>
    <d v="2017-07-11T00:00:00"/>
    <x v="54"/>
    <x v="4"/>
    <n v="1"/>
    <s v="입"/>
    <x v="54"/>
    <n v="1"/>
    <n v="8000"/>
    <n v="8000"/>
    <n v="6.95"/>
    <n v="2.7800000000000002"/>
    <n v="2.7800000000000002"/>
    <x v="2"/>
    <n v="28605"/>
  </r>
  <r>
    <x v="0"/>
    <d v="2017-07-11T00:00:00"/>
    <x v="55"/>
    <x v="0"/>
    <n v="1"/>
    <s v="입"/>
    <x v="55"/>
    <n v="1"/>
    <n v="8000"/>
    <n v="8000"/>
    <n v="6.95"/>
    <n v="2.7800000000000002"/>
    <n v="2.7800000000000002"/>
    <x v="2"/>
    <n v="28605"/>
  </r>
  <r>
    <x v="0"/>
    <d v="2017-07-11T00:00:00"/>
    <x v="55"/>
    <x v="1"/>
    <n v="2"/>
    <s v="입"/>
    <x v="55"/>
    <n v="2"/>
    <n v="8000"/>
    <n v="16000"/>
    <n v="6.95"/>
    <n v="2.7800000000000002"/>
    <n v="5.5600000000000005"/>
    <x v="2"/>
    <n v="28605"/>
  </r>
  <r>
    <x v="0"/>
    <d v="2017-07-11T00:00:00"/>
    <x v="55"/>
    <x v="2"/>
    <n v="2"/>
    <s v="입"/>
    <x v="55"/>
    <n v="2"/>
    <n v="8000"/>
    <n v="16000"/>
    <n v="6.95"/>
    <n v="2.7800000000000002"/>
    <n v="5.5600000000000005"/>
    <x v="2"/>
    <n v="28605"/>
  </r>
  <r>
    <x v="0"/>
    <d v="2017-07-11T00:00:00"/>
    <x v="55"/>
    <x v="3"/>
    <n v="2"/>
    <s v="입"/>
    <x v="55"/>
    <n v="2"/>
    <n v="8000"/>
    <n v="16000"/>
    <n v="6.95"/>
    <n v="2.7800000000000002"/>
    <n v="5.5600000000000005"/>
    <x v="2"/>
    <n v="28605"/>
  </r>
  <r>
    <x v="0"/>
    <d v="2017-07-11T00:00:00"/>
    <x v="55"/>
    <x v="4"/>
    <n v="1"/>
    <s v="입"/>
    <x v="55"/>
    <n v="1"/>
    <n v="8000"/>
    <n v="8000"/>
    <n v="6.95"/>
    <n v="2.7800000000000002"/>
    <n v="2.7800000000000002"/>
    <x v="2"/>
    <n v="28605"/>
  </r>
  <r>
    <x v="0"/>
    <d v="2017-07-11T00:00:00"/>
    <x v="56"/>
    <x v="1"/>
    <n v="1"/>
    <s v="입"/>
    <x v="56"/>
    <n v="1"/>
    <n v="8000"/>
    <n v="8000"/>
    <n v="6.95"/>
    <n v="2.7800000000000002"/>
    <n v="2.7800000000000002"/>
    <x v="2"/>
    <n v="28605"/>
  </r>
  <r>
    <x v="0"/>
    <d v="2017-07-11T00:00:00"/>
    <x v="56"/>
    <x v="3"/>
    <n v="1"/>
    <s v="입"/>
    <x v="56"/>
    <n v="1"/>
    <n v="8000"/>
    <n v="8000"/>
    <n v="6.95"/>
    <n v="2.7800000000000002"/>
    <n v="2.7800000000000002"/>
    <x v="2"/>
    <n v="28605"/>
  </r>
  <r>
    <x v="0"/>
    <d v="2017-07-11T00:00:00"/>
    <x v="56"/>
    <x v="4"/>
    <n v="1"/>
    <s v="입"/>
    <x v="56"/>
    <n v="1"/>
    <n v="8000"/>
    <n v="8000"/>
    <n v="6.95"/>
    <n v="2.7800000000000002"/>
    <n v="2.7800000000000002"/>
    <x v="2"/>
    <n v="28605"/>
  </r>
  <r>
    <x v="0"/>
    <d v="2017-07-11T00:00:00"/>
    <x v="57"/>
    <x v="1"/>
    <n v="1"/>
    <s v="입"/>
    <x v="57"/>
    <n v="1"/>
    <n v="8000"/>
    <n v="8000"/>
    <n v="6.95"/>
    <n v="2.7800000000000002"/>
    <n v="2.7800000000000002"/>
    <x v="2"/>
    <n v="28605"/>
  </r>
  <r>
    <x v="0"/>
    <d v="2017-07-11T00:00:00"/>
    <x v="57"/>
    <x v="3"/>
    <n v="1"/>
    <s v="입"/>
    <x v="57"/>
    <n v="1"/>
    <n v="8000"/>
    <n v="8000"/>
    <n v="6.95"/>
    <n v="2.7800000000000002"/>
    <n v="2.7800000000000002"/>
    <x v="2"/>
    <n v="28605"/>
  </r>
  <r>
    <x v="0"/>
    <d v="2017-07-11T00:00:00"/>
    <x v="57"/>
    <x v="4"/>
    <n v="1"/>
    <s v="입"/>
    <x v="57"/>
    <n v="1"/>
    <n v="8000"/>
    <n v="8000"/>
    <n v="6.95"/>
    <n v="2.7800000000000002"/>
    <n v="2.7800000000000002"/>
    <x v="2"/>
    <n v="28605"/>
  </r>
  <r>
    <x v="0"/>
    <d v="2017-07-11T00:00:00"/>
    <x v="58"/>
    <x v="1"/>
    <n v="1"/>
    <s v="입"/>
    <x v="58"/>
    <n v="1"/>
    <n v="8000"/>
    <n v="8000"/>
    <n v="6.95"/>
    <n v="2.7800000000000002"/>
    <n v="2.7800000000000002"/>
    <x v="2"/>
    <n v="28605"/>
  </r>
  <r>
    <x v="0"/>
    <d v="2017-07-11T00:00:00"/>
    <x v="58"/>
    <x v="3"/>
    <n v="1"/>
    <s v="입"/>
    <x v="58"/>
    <n v="1"/>
    <n v="8000"/>
    <n v="8000"/>
    <n v="6.95"/>
    <n v="2.7800000000000002"/>
    <n v="2.7800000000000002"/>
    <x v="2"/>
    <n v="28605"/>
  </r>
  <r>
    <x v="0"/>
    <d v="2017-07-11T00:00:00"/>
    <x v="58"/>
    <x v="4"/>
    <n v="1"/>
    <s v="입"/>
    <x v="58"/>
    <n v="1"/>
    <n v="8000"/>
    <n v="8000"/>
    <n v="6.95"/>
    <n v="2.7800000000000002"/>
    <n v="2.7800000000000002"/>
    <x v="2"/>
    <n v="28605"/>
  </r>
  <r>
    <x v="0"/>
    <d v="2017-07-11T00:00:00"/>
    <x v="59"/>
    <x v="1"/>
    <n v="1"/>
    <s v="입"/>
    <x v="59"/>
    <n v="1"/>
    <n v="8000"/>
    <n v="8000"/>
    <n v="6.95"/>
    <n v="2.7800000000000002"/>
    <n v="2.7800000000000002"/>
    <x v="2"/>
    <n v="28605"/>
  </r>
  <r>
    <x v="0"/>
    <d v="2017-07-11T00:00:00"/>
    <x v="59"/>
    <x v="3"/>
    <n v="1"/>
    <s v="입"/>
    <x v="59"/>
    <n v="1"/>
    <n v="8000"/>
    <n v="8000"/>
    <n v="6.95"/>
    <n v="2.7800000000000002"/>
    <n v="2.7800000000000002"/>
    <x v="2"/>
    <n v="28605"/>
  </r>
  <r>
    <x v="0"/>
    <d v="2017-07-11T00:00:00"/>
    <x v="59"/>
    <x v="4"/>
    <n v="1"/>
    <s v="입"/>
    <x v="59"/>
    <n v="1"/>
    <n v="8000"/>
    <n v="8000"/>
    <n v="6.95"/>
    <n v="2.7800000000000002"/>
    <n v="2.7800000000000002"/>
    <x v="2"/>
    <n v="28605"/>
  </r>
  <r>
    <x v="0"/>
    <d v="2017-07-11T00:00:00"/>
    <x v="60"/>
    <x v="1"/>
    <n v="1"/>
    <s v="입"/>
    <x v="60"/>
    <n v="1"/>
    <n v="8000"/>
    <n v="8000"/>
    <n v="6.95"/>
    <n v="2.7800000000000002"/>
    <n v="2.7800000000000002"/>
    <x v="2"/>
    <n v="28605"/>
  </r>
  <r>
    <x v="0"/>
    <d v="2017-07-11T00:00:00"/>
    <x v="60"/>
    <x v="3"/>
    <n v="1"/>
    <s v="입"/>
    <x v="60"/>
    <n v="1"/>
    <n v="8000"/>
    <n v="8000"/>
    <n v="6.95"/>
    <n v="2.7800000000000002"/>
    <n v="2.7800000000000002"/>
    <x v="2"/>
    <n v="28605"/>
  </r>
  <r>
    <x v="0"/>
    <d v="2017-07-11T00:00:00"/>
    <x v="60"/>
    <x v="4"/>
    <n v="1"/>
    <s v="입"/>
    <x v="60"/>
    <n v="1"/>
    <n v="8000"/>
    <n v="8000"/>
    <n v="6.95"/>
    <n v="2.7800000000000002"/>
    <n v="2.7800000000000002"/>
    <x v="2"/>
    <n v="28605"/>
  </r>
  <r>
    <x v="0"/>
    <d v="2017-07-11T00:00:00"/>
    <x v="61"/>
    <x v="1"/>
    <n v="1"/>
    <s v="입"/>
    <x v="61"/>
    <n v="1"/>
    <n v="8000"/>
    <n v="8000"/>
    <n v="6.95"/>
    <n v="2.7800000000000002"/>
    <n v="2.7800000000000002"/>
    <x v="2"/>
    <n v="28605"/>
  </r>
  <r>
    <x v="0"/>
    <d v="2017-07-11T00:00:00"/>
    <x v="61"/>
    <x v="3"/>
    <n v="1"/>
    <s v="입"/>
    <x v="61"/>
    <n v="1"/>
    <n v="8000"/>
    <n v="8000"/>
    <n v="6.95"/>
    <n v="2.7800000000000002"/>
    <n v="2.7800000000000002"/>
    <x v="2"/>
    <n v="28605"/>
  </r>
  <r>
    <x v="0"/>
    <d v="2017-07-11T00:00:00"/>
    <x v="61"/>
    <x v="4"/>
    <n v="1"/>
    <s v="입"/>
    <x v="61"/>
    <n v="1"/>
    <n v="8000"/>
    <n v="8000"/>
    <n v="6.95"/>
    <n v="2.7800000000000002"/>
    <n v="2.7800000000000002"/>
    <x v="2"/>
    <n v="28605"/>
  </r>
  <r>
    <x v="0"/>
    <d v="2017-07-11T00:00:00"/>
    <x v="62"/>
    <x v="3"/>
    <n v="3"/>
    <s v="입"/>
    <x v="62"/>
    <n v="3"/>
    <n v="6000"/>
    <n v="18000"/>
    <n v="4.95"/>
    <n v="1.9800000000000002"/>
    <n v="5.94"/>
    <x v="3"/>
    <n v="28605"/>
  </r>
  <r>
    <x v="0"/>
    <d v="2017-07-11T00:00:00"/>
    <x v="62"/>
    <x v="4"/>
    <n v="3"/>
    <s v="입"/>
    <x v="62"/>
    <n v="3"/>
    <n v="6000"/>
    <n v="18000"/>
    <n v="4.95"/>
    <n v="1.9800000000000002"/>
    <n v="5.94"/>
    <x v="3"/>
    <n v="28605"/>
  </r>
  <r>
    <x v="0"/>
    <d v="2017-07-11T00:00:00"/>
    <x v="62"/>
    <x v="5"/>
    <n v="1"/>
    <s v="입"/>
    <x v="62"/>
    <n v="1"/>
    <n v="6000"/>
    <n v="6000"/>
    <n v="4.95"/>
    <n v="1.9800000000000002"/>
    <n v="1.9800000000000002"/>
    <x v="3"/>
    <n v="28605"/>
  </r>
  <r>
    <x v="0"/>
    <d v="2017-07-11T00:00:00"/>
    <x v="63"/>
    <x v="3"/>
    <n v="3"/>
    <s v="입"/>
    <x v="63"/>
    <n v="3"/>
    <n v="6000"/>
    <n v="18000"/>
    <n v="4.95"/>
    <n v="1.9800000000000002"/>
    <n v="5.94"/>
    <x v="3"/>
    <n v="28605"/>
  </r>
  <r>
    <x v="0"/>
    <d v="2017-07-11T00:00:00"/>
    <x v="63"/>
    <x v="4"/>
    <n v="3"/>
    <s v="입"/>
    <x v="63"/>
    <n v="3"/>
    <n v="6000"/>
    <n v="18000"/>
    <n v="4.95"/>
    <n v="1.9800000000000002"/>
    <n v="5.94"/>
    <x v="3"/>
    <n v="28605"/>
  </r>
  <r>
    <x v="0"/>
    <d v="2017-07-11T00:00:00"/>
    <x v="63"/>
    <x v="5"/>
    <n v="1"/>
    <s v="입"/>
    <x v="63"/>
    <n v="1"/>
    <n v="6000"/>
    <n v="6000"/>
    <n v="4.95"/>
    <n v="1.9800000000000002"/>
    <n v="1.9800000000000002"/>
    <x v="3"/>
    <n v="28605"/>
  </r>
  <r>
    <x v="0"/>
    <d v="2017-07-11T00:00:00"/>
    <x v="64"/>
    <x v="3"/>
    <n v="3"/>
    <s v="입"/>
    <x v="64"/>
    <n v="3"/>
    <n v="6000"/>
    <n v="18000"/>
    <n v="4.95"/>
    <n v="1.9800000000000002"/>
    <n v="5.94"/>
    <x v="3"/>
    <n v="28605"/>
  </r>
  <r>
    <x v="0"/>
    <d v="2017-07-11T00:00:00"/>
    <x v="64"/>
    <x v="4"/>
    <n v="3"/>
    <s v="입"/>
    <x v="64"/>
    <n v="3"/>
    <n v="6000"/>
    <n v="18000"/>
    <n v="4.95"/>
    <n v="1.9800000000000002"/>
    <n v="5.94"/>
    <x v="3"/>
    <n v="28605"/>
  </r>
  <r>
    <x v="0"/>
    <d v="2017-07-11T00:00:00"/>
    <x v="64"/>
    <x v="5"/>
    <n v="1"/>
    <s v="입"/>
    <x v="64"/>
    <n v="1"/>
    <n v="6000"/>
    <n v="6000"/>
    <n v="4.95"/>
    <n v="1.9800000000000002"/>
    <n v="1.9800000000000002"/>
    <x v="3"/>
    <n v="28605"/>
  </r>
  <r>
    <x v="0"/>
    <d v="2017-07-11T00:00:00"/>
    <x v="65"/>
    <x v="3"/>
    <n v="3"/>
    <s v="입"/>
    <x v="65"/>
    <n v="3"/>
    <n v="6000"/>
    <n v="18000"/>
    <n v="4.95"/>
    <n v="1.9800000000000002"/>
    <n v="5.94"/>
    <x v="3"/>
    <n v="28605"/>
  </r>
  <r>
    <x v="0"/>
    <d v="2017-07-11T00:00:00"/>
    <x v="65"/>
    <x v="4"/>
    <n v="3"/>
    <s v="입"/>
    <x v="65"/>
    <n v="3"/>
    <n v="6000"/>
    <n v="18000"/>
    <n v="4.95"/>
    <n v="1.9800000000000002"/>
    <n v="5.94"/>
    <x v="3"/>
    <n v="28605"/>
  </r>
  <r>
    <x v="0"/>
    <d v="2017-07-11T00:00:00"/>
    <x v="65"/>
    <x v="5"/>
    <n v="1"/>
    <s v="입"/>
    <x v="65"/>
    <n v="1"/>
    <n v="6000"/>
    <n v="6000"/>
    <n v="4.95"/>
    <n v="1.9800000000000002"/>
    <n v="1.9800000000000002"/>
    <x v="3"/>
    <n v="28605"/>
  </r>
  <r>
    <x v="0"/>
    <d v="2017-07-11T00:00:00"/>
    <x v="66"/>
    <x v="3"/>
    <n v="3"/>
    <s v="입"/>
    <x v="66"/>
    <n v="3"/>
    <n v="6000"/>
    <n v="18000"/>
    <n v="4.95"/>
    <n v="1.9800000000000002"/>
    <n v="5.94"/>
    <x v="3"/>
    <n v="28605"/>
  </r>
  <r>
    <x v="0"/>
    <d v="2017-07-11T00:00:00"/>
    <x v="66"/>
    <x v="4"/>
    <n v="3"/>
    <s v="입"/>
    <x v="66"/>
    <n v="3"/>
    <n v="6000"/>
    <n v="18000"/>
    <n v="4.95"/>
    <n v="1.9800000000000002"/>
    <n v="5.94"/>
    <x v="3"/>
    <n v="28605"/>
  </r>
  <r>
    <x v="0"/>
    <d v="2017-07-11T00:00:00"/>
    <x v="67"/>
    <x v="3"/>
    <n v="3"/>
    <s v="입"/>
    <x v="67"/>
    <n v="3"/>
    <n v="6000"/>
    <n v="18000"/>
    <n v="4.95"/>
    <n v="1.9800000000000002"/>
    <n v="5.94"/>
    <x v="3"/>
    <n v="28605"/>
  </r>
  <r>
    <x v="0"/>
    <d v="2017-07-11T00:00:00"/>
    <x v="67"/>
    <x v="4"/>
    <n v="3"/>
    <s v="입"/>
    <x v="67"/>
    <n v="3"/>
    <n v="6000"/>
    <n v="18000"/>
    <n v="4.95"/>
    <n v="1.9800000000000002"/>
    <n v="5.94"/>
    <x v="3"/>
    <n v="28605"/>
  </r>
  <r>
    <x v="0"/>
    <d v="2017-07-11T00:00:00"/>
    <x v="68"/>
    <x v="3"/>
    <n v="3"/>
    <s v="입"/>
    <x v="68"/>
    <n v="3"/>
    <n v="6000"/>
    <n v="18000"/>
    <n v="4.95"/>
    <n v="1.9800000000000002"/>
    <n v="5.94"/>
    <x v="3"/>
    <n v="28605"/>
  </r>
  <r>
    <x v="0"/>
    <d v="2017-07-11T00:00:00"/>
    <x v="68"/>
    <x v="4"/>
    <n v="3"/>
    <s v="입"/>
    <x v="68"/>
    <n v="3"/>
    <n v="6000"/>
    <n v="18000"/>
    <n v="4.95"/>
    <n v="1.9800000000000002"/>
    <n v="5.94"/>
    <x v="3"/>
    <n v="28605"/>
  </r>
  <r>
    <x v="0"/>
    <d v="2017-07-11T00:00:00"/>
    <x v="69"/>
    <x v="3"/>
    <n v="3"/>
    <s v="입"/>
    <x v="69"/>
    <n v="3"/>
    <n v="6000"/>
    <n v="18000"/>
    <n v="4.95"/>
    <n v="1.9800000000000002"/>
    <n v="5.94"/>
    <x v="3"/>
    <n v="28605"/>
  </r>
  <r>
    <x v="0"/>
    <d v="2017-07-11T00:00:00"/>
    <x v="69"/>
    <x v="4"/>
    <n v="3"/>
    <s v="입"/>
    <x v="69"/>
    <n v="3"/>
    <n v="6000"/>
    <n v="18000"/>
    <n v="4.95"/>
    <n v="1.9800000000000002"/>
    <n v="5.94"/>
    <x v="3"/>
    <n v="28605"/>
  </r>
  <r>
    <x v="0"/>
    <d v="2017-07-11T00:00:00"/>
    <x v="70"/>
    <x v="3"/>
    <n v="3"/>
    <s v="입"/>
    <x v="70"/>
    <n v="3"/>
    <n v="6000"/>
    <n v="18000"/>
    <n v="4.95"/>
    <n v="1.9800000000000002"/>
    <n v="5.94"/>
    <x v="3"/>
    <n v="28605"/>
  </r>
  <r>
    <x v="0"/>
    <d v="2017-07-11T00:00:00"/>
    <x v="70"/>
    <x v="4"/>
    <n v="3"/>
    <s v="입"/>
    <x v="70"/>
    <n v="3"/>
    <n v="6000"/>
    <n v="18000"/>
    <n v="4.95"/>
    <n v="1.9800000000000002"/>
    <n v="5.94"/>
    <x v="3"/>
    <n v="28605"/>
  </r>
  <r>
    <x v="0"/>
    <d v="2017-07-11T00:00:00"/>
    <x v="70"/>
    <x v="5"/>
    <n v="1"/>
    <s v="입"/>
    <x v="70"/>
    <n v="1"/>
    <n v="6000"/>
    <n v="6000"/>
    <n v="4.95"/>
    <n v="1.9800000000000002"/>
    <n v="1.9800000000000002"/>
    <x v="3"/>
    <n v="28605"/>
  </r>
  <r>
    <x v="0"/>
    <d v="2017-07-11T00:00:00"/>
    <x v="71"/>
    <x v="3"/>
    <n v="3"/>
    <s v="입"/>
    <x v="71"/>
    <n v="3"/>
    <n v="6000"/>
    <n v="18000"/>
    <n v="4.95"/>
    <n v="1.9800000000000002"/>
    <n v="5.94"/>
    <x v="3"/>
    <n v="28605"/>
  </r>
  <r>
    <x v="0"/>
    <d v="2017-07-11T00:00:00"/>
    <x v="71"/>
    <x v="4"/>
    <n v="3"/>
    <s v="입"/>
    <x v="71"/>
    <n v="3"/>
    <n v="6000"/>
    <n v="18000"/>
    <n v="4.95"/>
    <n v="1.9800000000000002"/>
    <n v="5.94"/>
    <x v="3"/>
    <n v="28605"/>
  </r>
  <r>
    <x v="0"/>
    <d v="2017-07-11T00:00:00"/>
    <x v="72"/>
    <x v="3"/>
    <n v="3"/>
    <s v="입"/>
    <x v="72"/>
    <n v="3"/>
    <n v="6000"/>
    <n v="18000"/>
    <n v="4.95"/>
    <n v="1.9800000000000002"/>
    <n v="5.94"/>
    <x v="3"/>
    <n v="28605"/>
  </r>
  <r>
    <x v="0"/>
    <d v="2017-07-11T00:00:00"/>
    <x v="72"/>
    <x v="4"/>
    <n v="3"/>
    <s v="입"/>
    <x v="72"/>
    <n v="3"/>
    <n v="6000"/>
    <n v="18000"/>
    <n v="4.95"/>
    <n v="1.9800000000000002"/>
    <n v="5.94"/>
    <x v="3"/>
    <n v="28605"/>
  </r>
  <r>
    <x v="0"/>
    <d v="2017-07-11T00:00:00"/>
    <x v="73"/>
    <x v="3"/>
    <n v="3"/>
    <s v="입"/>
    <x v="73"/>
    <n v="3"/>
    <n v="6000"/>
    <n v="18000"/>
    <n v="4.95"/>
    <n v="1.9800000000000002"/>
    <n v="5.94"/>
    <x v="3"/>
    <n v="28605"/>
  </r>
  <r>
    <x v="0"/>
    <d v="2017-07-11T00:00:00"/>
    <x v="73"/>
    <x v="4"/>
    <n v="3"/>
    <s v="입"/>
    <x v="73"/>
    <n v="3"/>
    <n v="6000"/>
    <n v="18000"/>
    <n v="4.95"/>
    <n v="1.9800000000000002"/>
    <n v="5.94"/>
    <x v="3"/>
    <n v="28605"/>
  </r>
  <r>
    <x v="0"/>
    <d v="2017-07-11T00:00:00"/>
    <x v="74"/>
    <x v="3"/>
    <n v="3"/>
    <s v="입"/>
    <x v="74"/>
    <n v="3"/>
    <n v="6000"/>
    <n v="18000"/>
    <n v="4.95"/>
    <n v="1.9800000000000002"/>
    <n v="5.94"/>
    <x v="3"/>
    <n v="28605"/>
  </r>
  <r>
    <x v="0"/>
    <d v="2017-07-11T00:00:00"/>
    <x v="74"/>
    <x v="4"/>
    <n v="3"/>
    <s v="입"/>
    <x v="74"/>
    <n v="3"/>
    <n v="6000"/>
    <n v="18000"/>
    <n v="4.95"/>
    <n v="1.9800000000000002"/>
    <n v="5.94"/>
    <x v="3"/>
    <n v="28605"/>
  </r>
  <r>
    <x v="0"/>
    <d v="2017-07-11T00:00:00"/>
    <x v="75"/>
    <x v="3"/>
    <n v="3"/>
    <s v="입"/>
    <x v="75"/>
    <n v="3"/>
    <n v="6000"/>
    <n v="18000"/>
    <n v="4.95"/>
    <n v="1.9800000000000002"/>
    <n v="5.94"/>
    <x v="3"/>
    <n v="28605"/>
  </r>
  <r>
    <x v="0"/>
    <d v="2017-07-11T00:00:00"/>
    <x v="75"/>
    <x v="4"/>
    <n v="3"/>
    <s v="입"/>
    <x v="75"/>
    <n v="3"/>
    <n v="6000"/>
    <n v="18000"/>
    <n v="4.95"/>
    <n v="1.9800000000000002"/>
    <n v="5.94"/>
    <x v="3"/>
    <n v="28605"/>
  </r>
  <r>
    <x v="0"/>
    <d v="2017-07-11T00:00:00"/>
    <x v="76"/>
    <x v="3"/>
    <n v="3"/>
    <s v="입"/>
    <x v="76"/>
    <n v="3"/>
    <n v="6000"/>
    <n v="18000"/>
    <n v="4.95"/>
    <n v="1.9800000000000002"/>
    <n v="5.94"/>
    <x v="3"/>
    <n v="28605"/>
  </r>
  <r>
    <x v="0"/>
    <d v="2017-07-11T00:00:00"/>
    <x v="76"/>
    <x v="4"/>
    <n v="3"/>
    <s v="입"/>
    <x v="76"/>
    <n v="3"/>
    <n v="6000"/>
    <n v="18000"/>
    <n v="4.95"/>
    <n v="1.9800000000000002"/>
    <n v="5.94"/>
    <x v="3"/>
    <n v="28605"/>
  </r>
  <r>
    <x v="0"/>
    <d v="2017-07-11T00:00:00"/>
    <x v="77"/>
    <x v="3"/>
    <n v="3"/>
    <s v="입"/>
    <x v="77"/>
    <n v="3"/>
    <n v="6000"/>
    <n v="18000"/>
    <n v="4.95"/>
    <n v="1.9800000000000002"/>
    <n v="5.94"/>
    <x v="3"/>
    <n v="28605"/>
  </r>
  <r>
    <x v="0"/>
    <d v="2017-07-11T00:00:00"/>
    <x v="77"/>
    <x v="4"/>
    <n v="3"/>
    <s v="입"/>
    <x v="77"/>
    <n v="3"/>
    <n v="6000"/>
    <n v="18000"/>
    <n v="4.95"/>
    <n v="1.9800000000000002"/>
    <n v="5.94"/>
    <x v="3"/>
    <n v="28605"/>
  </r>
  <r>
    <x v="0"/>
    <d v="2017-07-11T00:00:00"/>
    <x v="78"/>
    <x v="3"/>
    <n v="3"/>
    <s v="입"/>
    <x v="78"/>
    <n v="3"/>
    <n v="6000"/>
    <n v="18000"/>
    <n v="4.95"/>
    <n v="1.9800000000000002"/>
    <n v="5.94"/>
    <x v="3"/>
    <n v="28605"/>
  </r>
  <r>
    <x v="0"/>
    <d v="2017-07-11T00:00:00"/>
    <x v="78"/>
    <x v="4"/>
    <n v="3"/>
    <s v="입"/>
    <x v="78"/>
    <n v="3"/>
    <n v="6000"/>
    <n v="18000"/>
    <n v="4.95"/>
    <n v="1.9800000000000002"/>
    <n v="5.94"/>
    <x v="3"/>
    <n v="28605"/>
  </r>
  <r>
    <x v="0"/>
    <d v="2017-07-11T00:00:00"/>
    <x v="79"/>
    <x v="3"/>
    <n v="3"/>
    <s v="입"/>
    <x v="79"/>
    <n v="3"/>
    <n v="6000"/>
    <n v="18000"/>
    <n v="4.95"/>
    <n v="1.9800000000000002"/>
    <n v="5.94"/>
    <x v="3"/>
    <n v="28605"/>
  </r>
  <r>
    <x v="0"/>
    <d v="2017-07-11T00:00:00"/>
    <x v="79"/>
    <x v="4"/>
    <n v="3"/>
    <s v="입"/>
    <x v="79"/>
    <n v="3"/>
    <n v="6000"/>
    <n v="18000"/>
    <n v="4.95"/>
    <n v="1.9800000000000002"/>
    <n v="5.94"/>
    <x v="3"/>
    <n v="28605"/>
  </r>
  <r>
    <x v="0"/>
    <d v="2017-07-11T00:00:00"/>
    <x v="80"/>
    <x v="3"/>
    <n v="3"/>
    <s v="입"/>
    <x v="80"/>
    <n v="3"/>
    <n v="6000"/>
    <n v="18000"/>
    <n v="4.95"/>
    <n v="1.9800000000000002"/>
    <n v="5.94"/>
    <x v="3"/>
    <n v="28605"/>
  </r>
  <r>
    <x v="0"/>
    <d v="2017-07-11T00:00:00"/>
    <x v="80"/>
    <x v="4"/>
    <n v="3"/>
    <s v="입"/>
    <x v="80"/>
    <n v="3"/>
    <n v="6000"/>
    <n v="18000"/>
    <n v="4.95"/>
    <n v="1.9800000000000002"/>
    <n v="5.94"/>
    <x v="3"/>
    <n v="28605"/>
  </r>
  <r>
    <x v="0"/>
    <d v="2017-07-11T00:00:00"/>
    <x v="81"/>
    <x v="3"/>
    <n v="3"/>
    <s v="입"/>
    <x v="81"/>
    <n v="3"/>
    <n v="6000"/>
    <n v="18000"/>
    <n v="4.95"/>
    <n v="1.9800000000000002"/>
    <n v="5.94"/>
    <x v="3"/>
    <n v="28605"/>
  </r>
  <r>
    <x v="0"/>
    <d v="2017-07-11T00:00:00"/>
    <x v="81"/>
    <x v="4"/>
    <n v="3"/>
    <s v="입"/>
    <x v="81"/>
    <n v="3"/>
    <n v="6000"/>
    <n v="18000"/>
    <n v="4.95"/>
    <n v="1.9800000000000002"/>
    <n v="5.94"/>
    <x v="3"/>
    <n v="28605"/>
  </r>
  <r>
    <x v="0"/>
    <d v="2017-07-11T00:00:00"/>
    <x v="82"/>
    <x v="3"/>
    <n v="3"/>
    <s v="입"/>
    <x v="82"/>
    <n v="3"/>
    <n v="6000"/>
    <n v="18000"/>
    <n v="4.95"/>
    <n v="1.9800000000000002"/>
    <n v="5.94"/>
    <x v="3"/>
    <n v="28605"/>
  </r>
  <r>
    <x v="0"/>
    <d v="2017-07-11T00:00:00"/>
    <x v="82"/>
    <x v="4"/>
    <n v="3"/>
    <s v="입"/>
    <x v="82"/>
    <n v="3"/>
    <n v="6000"/>
    <n v="18000"/>
    <n v="4.95"/>
    <n v="1.9800000000000002"/>
    <n v="5.94"/>
    <x v="3"/>
    <n v="28605"/>
  </r>
  <r>
    <x v="0"/>
    <d v="2017-07-11T00:00:00"/>
    <x v="83"/>
    <x v="3"/>
    <n v="3"/>
    <s v="입"/>
    <x v="83"/>
    <n v="3"/>
    <n v="6000"/>
    <n v="18000"/>
    <n v="4.95"/>
    <n v="1.9800000000000002"/>
    <n v="5.94"/>
    <x v="3"/>
    <n v="28605"/>
  </r>
  <r>
    <x v="0"/>
    <d v="2017-07-11T00:00:00"/>
    <x v="83"/>
    <x v="4"/>
    <n v="3"/>
    <s v="입"/>
    <x v="83"/>
    <n v="3"/>
    <n v="6000"/>
    <n v="18000"/>
    <n v="4.95"/>
    <n v="1.9800000000000002"/>
    <n v="5.94"/>
    <x v="3"/>
    <n v="28605"/>
  </r>
  <r>
    <x v="0"/>
    <d v="2017-07-11T00:00:00"/>
    <x v="84"/>
    <x v="3"/>
    <n v="3"/>
    <s v="입"/>
    <x v="84"/>
    <n v="3"/>
    <n v="6000"/>
    <n v="18000"/>
    <n v="4.95"/>
    <n v="1.9800000000000002"/>
    <n v="5.94"/>
    <x v="3"/>
    <n v="28605"/>
  </r>
  <r>
    <x v="0"/>
    <d v="2017-07-11T00:00:00"/>
    <x v="84"/>
    <x v="4"/>
    <n v="3"/>
    <s v="입"/>
    <x v="84"/>
    <n v="3"/>
    <n v="6000"/>
    <n v="18000"/>
    <n v="4.95"/>
    <n v="1.9800000000000002"/>
    <n v="5.94"/>
    <x v="3"/>
    <n v="28605"/>
  </r>
  <r>
    <x v="0"/>
    <d v="2017-07-11T00:00:00"/>
    <x v="85"/>
    <x v="3"/>
    <n v="3"/>
    <s v="입"/>
    <x v="85"/>
    <n v="3"/>
    <n v="6000"/>
    <n v="18000"/>
    <n v="4.95"/>
    <n v="1.9800000000000002"/>
    <n v="5.94"/>
    <x v="3"/>
    <n v="28605"/>
  </r>
  <r>
    <x v="0"/>
    <d v="2017-07-11T00:00:00"/>
    <x v="85"/>
    <x v="4"/>
    <n v="3"/>
    <s v="입"/>
    <x v="85"/>
    <n v="3"/>
    <n v="6000"/>
    <n v="18000"/>
    <n v="4.95"/>
    <n v="1.9800000000000002"/>
    <n v="5.94"/>
    <x v="3"/>
    <n v="28605"/>
  </r>
  <r>
    <x v="0"/>
    <d v="2017-07-11T00:00:00"/>
    <x v="86"/>
    <x v="3"/>
    <n v="3"/>
    <s v="입"/>
    <x v="86"/>
    <n v="3"/>
    <n v="6000"/>
    <n v="18000"/>
    <n v="4.95"/>
    <n v="1.9800000000000002"/>
    <n v="5.94"/>
    <x v="3"/>
    <n v="28605"/>
  </r>
  <r>
    <x v="0"/>
    <d v="2017-07-11T00:00:00"/>
    <x v="86"/>
    <x v="4"/>
    <n v="1"/>
    <s v="입"/>
    <x v="86"/>
    <n v="1"/>
    <n v="6000"/>
    <n v="6000"/>
    <n v="4.95"/>
    <n v="1.9800000000000002"/>
    <n v="1.9800000000000002"/>
    <x v="3"/>
    <n v="28605"/>
  </r>
  <r>
    <x v="0"/>
    <d v="2017-07-11T00:00:00"/>
    <x v="87"/>
    <x v="3"/>
    <n v="3"/>
    <s v="입"/>
    <x v="87"/>
    <n v="3"/>
    <n v="6000"/>
    <n v="18000"/>
    <n v="4.95"/>
    <n v="1.9800000000000002"/>
    <n v="5.94"/>
    <x v="3"/>
    <n v="28605"/>
  </r>
  <r>
    <x v="0"/>
    <d v="2017-07-11T00:00:00"/>
    <x v="87"/>
    <x v="4"/>
    <n v="3"/>
    <s v="입"/>
    <x v="87"/>
    <n v="3"/>
    <n v="6000"/>
    <n v="18000"/>
    <n v="4.95"/>
    <n v="1.9800000000000002"/>
    <n v="5.94"/>
    <x v="3"/>
    <n v="28605"/>
  </r>
  <r>
    <x v="0"/>
    <d v="2017-07-11T00:00:00"/>
    <x v="88"/>
    <x v="3"/>
    <n v="3"/>
    <s v="입"/>
    <x v="88"/>
    <n v="3"/>
    <n v="6000"/>
    <n v="18000"/>
    <n v="4.95"/>
    <n v="1.9800000000000002"/>
    <n v="5.94"/>
    <x v="3"/>
    <n v="28605"/>
  </r>
  <r>
    <x v="0"/>
    <d v="2017-07-11T00:00:00"/>
    <x v="88"/>
    <x v="4"/>
    <n v="3"/>
    <s v="입"/>
    <x v="88"/>
    <n v="3"/>
    <n v="6000"/>
    <n v="18000"/>
    <n v="4.95"/>
    <n v="1.9800000000000002"/>
    <n v="5.94"/>
    <x v="3"/>
    <n v="28605"/>
  </r>
  <r>
    <x v="0"/>
    <d v="2017-07-11T00:00:00"/>
    <x v="89"/>
    <x v="3"/>
    <n v="3"/>
    <s v="입"/>
    <x v="89"/>
    <n v="3"/>
    <n v="6000"/>
    <n v="18000"/>
    <n v="4.95"/>
    <n v="1.9800000000000002"/>
    <n v="5.94"/>
    <x v="3"/>
    <n v="28605"/>
  </r>
  <r>
    <x v="0"/>
    <d v="2017-07-11T00:00:00"/>
    <x v="89"/>
    <x v="4"/>
    <n v="3"/>
    <s v="입"/>
    <x v="89"/>
    <n v="3"/>
    <n v="6000"/>
    <n v="18000"/>
    <n v="4.95"/>
    <n v="1.9800000000000002"/>
    <n v="5.94"/>
    <x v="3"/>
    <n v="28605"/>
  </r>
  <r>
    <x v="0"/>
    <d v="2017-07-11T00:00:00"/>
    <x v="90"/>
    <x v="3"/>
    <n v="3"/>
    <s v="입"/>
    <x v="90"/>
    <n v="3"/>
    <n v="6000"/>
    <n v="18000"/>
    <n v="4.95"/>
    <n v="1.9800000000000002"/>
    <n v="5.94"/>
    <x v="3"/>
    <n v="28605"/>
  </r>
  <r>
    <x v="0"/>
    <d v="2017-07-11T00:00:00"/>
    <x v="90"/>
    <x v="4"/>
    <n v="3"/>
    <s v="입"/>
    <x v="90"/>
    <n v="3"/>
    <n v="6000"/>
    <n v="18000"/>
    <n v="4.95"/>
    <n v="1.9800000000000002"/>
    <n v="5.94"/>
    <x v="3"/>
    <n v="28605"/>
  </r>
  <r>
    <x v="0"/>
    <d v="2017-07-11T00:00:00"/>
    <x v="91"/>
    <x v="3"/>
    <n v="3"/>
    <s v="입"/>
    <x v="91"/>
    <n v="3"/>
    <n v="6000"/>
    <n v="18000"/>
    <n v="4.95"/>
    <n v="1.9800000000000002"/>
    <n v="5.94"/>
    <x v="3"/>
    <n v="28605"/>
  </r>
  <r>
    <x v="0"/>
    <d v="2017-07-11T00:00:00"/>
    <x v="91"/>
    <x v="4"/>
    <n v="3"/>
    <s v="입"/>
    <x v="91"/>
    <n v="3"/>
    <n v="6000"/>
    <n v="18000"/>
    <n v="4.95"/>
    <n v="1.9800000000000002"/>
    <n v="5.94"/>
    <x v="3"/>
    <n v="28605"/>
  </r>
  <r>
    <x v="0"/>
    <d v="2017-07-11T00:00:00"/>
    <x v="92"/>
    <x v="3"/>
    <n v="3"/>
    <s v="입"/>
    <x v="92"/>
    <n v="3"/>
    <n v="6000"/>
    <n v="18000"/>
    <n v="4.95"/>
    <n v="1.9800000000000002"/>
    <n v="5.94"/>
    <x v="3"/>
    <n v="28605"/>
  </r>
  <r>
    <x v="0"/>
    <d v="2017-07-11T00:00:00"/>
    <x v="92"/>
    <x v="4"/>
    <n v="3"/>
    <s v="입"/>
    <x v="92"/>
    <n v="3"/>
    <n v="6000"/>
    <n v="18000"/>
    <n v="4.95"/>
    <n v="1.9800000000000002"/>
    <n v="5.94"/>
    <x v="3"/>
    <n v="28605"/>
  </r>
  <r>
    <x v="0"/>
    <d v="2017-07-11T00:00:00"/>
    <x v="93"/>
    <x v="3"/>
    <n v="3"/>
    <s v="입"/>
    <x v="93"/>
    <n v="3"/>
    <n v="6000"/>
    <n v="18000"/>
    <n v="4.95"/>
    <n v="1.9800000000000002"/>
    <n v="5.94"/>
    <x v="3"/>
    <n v="28605"/>
  </r>
  <r>
    <x v="0"/>
    <d v="2017-07-11T00:00:00"/>
    <x v="93"/>
    <x v="4"/>
    <n v="3"/>
    <s v="입"/>
    <x v="93"/>
    <n v="3"/>
    <n v="6000"/>
    <n v="18000"/>
    <n v="4.95"/>
    <n v="1.9800000000000002"/>
    <n v="5.94"/>
    <x v="3"/>
    <n v="28605"/>
  </r>
  <r>
    <x v="0"/>
    <d v="2017-07-11T00:00:00"/>
    <x v="94"/>
    <x v="3"/>
    <n v="3"/>
    <s v="입"/>
    <x v="94"/>
    <n v="3"/>
    <n v="6000"/>
    <n v="18000"/>
    <n v="4.95"/>
    <n v="1.9800000000000002"/>
    <n v="5.94"/>
    <x v="3"/>
    <n v="28605"/>
  </r>
  <r>
    <x v="0"/>
    <d v="2017-07-11T00:00:00"/>
    <x v="94"/>
    <x v="4"/>
    <n v="3"/>
    <s v="입"/>
    <x v="94"/>
    <n v="3"/>
    <n v="6000"/>
    <n v="18000"/>
    <n v="4.95"/>
    <n v="1.9800000000000002"/>
    <n v="5.94"/>
    <x v="3"/>
    <n v="28605"/>
  </r>
  <r>
    <x v="0"/>
    <d v="2017-07-11T00:00:00"/>
    <x v="95"/>
    <x v="3"/>
    <n v="3"/>
    <s v="입"/>
    <x v="95"/>
    <n v="3"/>
    <n v="6000"/>
    <n v="18000"/>
    <n v="4.95"/>
    <n v="1.9800000000000002"/>
    <n v="5.94"/>
    <x v="3"/>
    <n v="28605"/>
  </r>
  <r>
    <x v="0"/>
    <d v="2017-07-11T00:00:00"/>
    <x v="95"/>
    <x v="4"/>
    <n v="3"/>
    <s v="입"/>
    <x v="95"/>
    <n v="3"/>
    <n v="6000"/>
    <n v="18000"/>
    <n v="4.95"/>
    <n v="1.9800000000000002"/>
    <n v="5.94"/>
    <x v="3"/>
    <n v="28605"/>
  </r>
  <r>
    <x v="0"/>
    <d v="2017-07-11T00:00:00"/>
    <x v="96"/>
    <x v="3"/>
    <n v="3"/>
    <s v="입"/>
    <x v="96"/>
    <n v="3"/>
    <n v="6000"/>
    <n v="18000"/>
    <n v="4.95"/>
    <n v="1.9800000000000002"/>
    <n v="5.94"/>
    <x v="3"/>
    <n v="28605"/>
  </r>
  <r>
    <x v="0"/>
    <d v="2017-07-11T00:00:00"/>
    <x v="96"/>
    <x v="4"/>
    <n v="3"/>
    <s v="입"/>
    <x v="96"/>
    <n v="3"/>
    <n v="6000"/>
    <n v="18000"/>
    <n v="4.95"/>
    <n v="1.9800000000000002"/>
    <n v="5.94"/>
    <x v="3"/>
    <n v="28605"/>
  </r>
  <r>
    <x v="0"/>
    <d v="2017-07-11T00:00:00"/>
    <x v="97"/>
    <x v="2"/>
    <n v="2"/>
    <s v="입"/>
    <x v="97"/>
    <n v="2"/>
    <n v="8000"/>
    <n v="16000"/>
    <n v="6.95"/>
    <n v="2.7800000000000002"/>
    <n v="5.5600000000000005"/>
    <x v="4"/>
    <n v="28605"/>
  </r>
  <r>
    <x v="0"/>
    <d v="2017-07-11T00:00:00"/>
    <x v="97"/>
    <x v="3"/>
    <n v="2"/>
    <s v="입"/>
    <x v="97"/>
    <n v="2"/>
    <n v="8000"/>
    <n v="16000"/>
    <n v="6.95"/>
    <n v="2.7800000000000002"/>
    <n v="5.5600000000000005"/>
    <x v="4"/>
    <n v="28605"/>
  </r>
  <r>
    <x v="0"/>
    <d v="2017-07-11T00:00:00"/>
    <x v="97"/>
    <x v="4"/>
    <n v="1"/>
    <s v="입"/>
    <x v="97"/>
    <n v="1"/>
    <n v="8000"/>
    <n v="8000"/>
    <n v="6.95"/>
    <n v="2.7800000000000002"/>
    <n v="2.7800000000000002"/>
    <x v="4"/>
    <n v="28605"/>
  </r>
  <r>
    <x v="0"/>
    <d v="2017-07-11T00:00:00"/>
    <x v="98"/>
    <x v="2"/>
    <n v="2"/>
    <s v="입"/>
    <x v="98"/>
    <n v="2"/>
    <n v="8000"/>
    <n v="16000"/>
    <n v="6.95"/>
    <n v="2.7800000000000002"/>
    <n v="5.5600000000000005"/>
    <x v="4"/>
    <n v="28605"/>
  </r>
  <r>
    <x v="0"/>
    <d v="2017-07-11T00:00:00"/>
    <x v="98"/>
    <x v="3"/>
    <n v="2"/>
    <s v="입"/>
    <x v="98"/>
    <n v="2"/>
    <n v="8000"/>
    <n v="16000"/>
    <n v="6.95"/>
    <n v="2.7800000000000002"/>
    <n v="5.5600000000000005"/>
    <x v="4"/>
    <n v="28605"/>
  </r>
  <r>
    <x v="0"/>
    <d v="2017-07-11T00:00:00"/>
    <x v="98"/>
    <x v="4"/>
    <n v="1"/>
    <s v="입"/>
    <x v="98"/>
    <n v="1"/>
    <n v="8000"/>
    <n v="8000"/>
    <n v="6.95"/>
    <n v="2.7800000000000002"/>
    <n v="2.7800000000000002"/>
    <x v="4"/>
    <n v="28605"/>
  </r>
  <r>
    <x v="0"/>
    <d v="2017-07-11T00:00:00"/>
    <x v="99"/>
    <x v="3"/>
    <n v="2"/>
    <s v="입"/>
    <x v="99"/>
    <n v="2"/>
    <n v="8000"/>
    <n v="16000"/>
    <n v="6.95"/>
    <n v="2.7800000000000002"/>
    <n v="5.5600000000000005"/>
    <x v="4"/>
    <n v="28605"/>
  </r>
  <r>
    <x v="0"/>
    <d v="2017-07-11T00:00:00"/>
    <x v="99"/>
    <x v="4"/>
    <n v="1"/>
    <s v="입"/>
    <x v="99"/>
    <n v="1"/>
    <n v="8000"/>
    <n v="8000"/>
    <n v="6.95"/>
    <n v="2.7800000000000002"/>
    <n v="2.7800000000000002"/>
    <x v="4"/>
    <n v="28605"/>
  </r>
  <r>
    <x v="0"/>
    <d v="2017-07-11T00:00:00"/>
    <x v="100"/>
    <x v="3"/>
    <n v="2"/>
    <s v="입"/>
    <x v="100"/>
    <n v="2"/>
    <n v="8000"/>
    <n v="16000"/>
    <n v="6.95"/>
    <n v="2.7800000000000002"/>
    <n v="5.5600000000000005"/>
    <x v="4"/>
    <n v="28605"/>
  </r>
  <r>
    <x v="0"/>
    <d v="2017-07-11T00:00:00"/>
    <x v="100"/>
    <x v="4"/>
    <n v="1"/>
    <s v="입"/>
    <x v="100"/>
    <n v="1"/>
    <n v="8000"/>
    <n v="8000"/>
    <n v="6.95"/>
    <n v="2.7800000000000002"/>
    <n v="2.7800000000000002"/>
    <x v="4"/>
    <n v="28605"/>
  </r>
  <r>
    <x v="0"/>
    <d v="2017-07-11T00:00:00"/>
    <x v="101"/>
    <x v="2"/>
    <n v="2"/>
    <s v="입"/>
    <x v="101"/>
    <n v="2"/>
    <n v="8000"/>
    <n v="16000"/>
    <n v="6.95"/>
    <n v="2.7800000000000002"/>
    <n v="5.5600000000000005"/>
    <x v="4"/>
    <n v="28605"/>
  </r>
  <r>
    <x v="0"/>
    <d v="2017-07-11T00:00:00"/>
    <x v="101"/>
    <x v="3"/>
    <n v="2"/>
    <s v="입"/>
    <x v="101"/>
    <n v="2"/>
    <n v="8000"/>
    <n v="16000"/>
    <n v="6.95"/>
    <n v="2.7800000000000002"/>
    <n v="5.5600000000000005"/>
    <x v="4"/>
    <n v="28605"/>
  </r>
  <r>
    <x v="0"/>
    <d v="2017-07-11T00:00:00"/>
    <x v="101"/>
    <x v="4"/>
    <n v="1"/>
    <s v="입"/>
    <x v="101"/>
    <n v="1"/>
    <n v="8000"/>
    <n v="8000"/>
    <n v="6.95"/>
    <n v="2.7800000000000002"/>
    <n v="2.7800000000000002"/>
    <x v="4"/>
    <n v="28605"/>
  </r>
  <r>
    <x v="0"/>
    <d v="2017-07-11T00:00:00"/>
    <x v="102"/>
    <x v="2"/>
    <n v="2"/>
    <s v="입"/>
    <x v="102"/>
    <n v="2"/>
    <n v="8000"/>
    <n v="16000"/>
    <n v="6.95"/>
    <n v="2.7800000000000002"/>
    <n v="5.5600000000000005"/>
    <x v="4"/>
    <n v="28605"/>
  </r>
  <r>
    <x v="0"/>
    <d v="2017-07-11T00:00:00"/>
    <x v="102"/>
    <x v="3"/>
    <n v="2"/>
    <s v="입"/>
    <x v="102"/>
    <n v="2"/>
    <n v="8000"/>
    <n v="16000"/>
    <n v="6.95"/>
    <n v="2.7800000000000002"/>
    <n v="5.5600000000000005"/>
    <x v="4"/>
    <n v="28605"/>
  </r>
  <r>
    <x v="0"/>
    <d v="2017-07-11T00:00:00"/>
    <x v="102"/>
    <x v="4"/>
    <n v="1"/>
    <s v="입"/>
    <x v="102"/>
    <n v="1"/>
    <n v="8000"/>
    <n v="8000"/>
    <n v="6.95"/>
    <n v="2.7800000000000002"/>
    <n v="2.7800000000000002"/>
    <x v="4"/>
    <n v="28605"/>
  </r>
  <r>
    <x v="0"/>
    <d v="2017-07-11T00:00:00"/>
    <x v="103"/>
    <x v="3"/>
    <n v="1"/>
    <s v="입"/>
    <x v="103"/>
    <n v="1"/>
    <n v="8000"/>
    <n v="8000"/>
    <n v="6.95"/>
    <n v="2.7800000000000002"/>
    <n v="2.7800000000000002"/>
    <x v="4"/>
    <n v="28605"/>
  </r>
  <r>
    <x v="0"/>
    <d v="2017-07-11T00:00:00"/>
    <x v="103"/>
    <x v="4"/>
    <n v="1"/>
    <s v="입"/>
    <x v="103"/>
    <n v="1"/>
    <n v="8000"/>
    <n v="8000"/>
    <n v="6.95"/>
    <n v="2.7800000000000002"/>
    <n v="2.7800000000000002"/>
    <x v="4"/>
    <n v="28605"/>
  </r>
  <r>
    <x v="0"/>
    <d v="2017-07-11T00:00:00"/>
    <x v="104"/>
    <x v="3"/>
    <n v="1"/>
    <s v="입"/>
    <x v="104"/>
    <n v="1"/>
    <n v="8000"/>
    <n v="8000"/>
    <n v="6.95"/>
    <n v="2.7800000000000002"/>
    <n v="2.7800000000000002"/>
    <x v="4"/>
    <n v="28605"/>
  </r>
  <r>
    <x v="0"/>
    <d v="2017-07-11T00:00:00"/>
    <x v="104"/>
    <x v="4"/>
    <n v="1"/>
    <s v="입"/>
    <x v="104"/>
    <n v="1"/>
    <n v="8000"/>
    <n v="8000"/>
    <n v="6.95"/>
    <n v="2.7800000000000002"/>
    <n v="2.7800000000000002"/>
    <x v="4"/>
    <n v="28605"/>
  </r>
  <r>
    <x v="0"/>
    <d v="2017-07-11T00:00:00"/>
    <x v="105"/>
    <x v="3"/>
    <n v="1"/>
    <s v="입"/>
    <x v="105"/>
    <n v="1"/>
    <n v="8000"/>
    <n v="8000"/>
    <n v="6.95"/>
    <n v="2.7800000000000002"/>
    <n v="2.7800000000000002"/>
    <x v="4"/>
    <n v="28605"/>
  </r>
  <r>
    <x v="0"/>
    <d v="2017-07-11T00:00:00"/>
    <x v="105"/>
    <x v="4"/>
    <n v="1"/>
    <s v="입"/>
    <x v="105"/>
    <n v="1"/>
    <n v="8000"/>
    <n v="8000"/>
    <n v="6.95"/>
    <n v="2.7800000000000002"/>
    <n v="2.7800000000000002"/>
    <x v="4"/>
    <n v="28605"/>
  </r>
  <r>
    <x v="0"/>
    <d v="2017-07-11T00:00:00"/>
    <x v="106"/>
    <x v="3"/>
    <n v="1"/>
    <s v="입"/>
    <x v="106"/>
    <n v="1"/>
    <n v="8000"/>
    <n v="8000"/>
    <n v="6.95"/>
    <n v="2.7800000000000002"/>
    <n v="2.7800000000000002"/>
    <x v="4"/>
    <n v="28605"/>
  </r>
  <r>
    <x v="0"/>
    <d v="2017-07-11T00:00:00"/>
    <x v="106"/>
    <x v="4"/>
    <n v="1"/>
    <s v="입"/>
    <x v="106"/>
    <n v="1"/>
    <n v="8000"/>
    <n v="8000"/>
    <n v="6.95"/>
    <n v="2.7800000000000002"/>
    <n v="2.7800000000000002"/>
    <x v="4"/>
    <n v="28605"/>
  </r>
  <r>
    <x v="0"/>
    <d v="2017-07-11T00:00:00"/>
    <x v="107"/>
    <x v="3"/>
    <n v="1"/>
    <s v="입"/>
    <x v="107"/>
    <n v="1"/>
    <n v="8000"/>
    <n v="8000"/>
    <n v="6.95"/>
    <n v="2.7800000000000002"/>
    <n v="2.7800000000000002"/>
    <x v="4"/>
    <n v="28605"/>
  </r>
  <r>
    <x v="0"/>
    <d v="2017-07-11T00:00:00"/>
    <x v="107"/>
    <x v="4"/>
    <n v="1"/>
    <s v="입"/>
    <x v="107"/>
    <n v="1"/>
    <n v="8000"/>
    <n v="8000"/>
    <n v="6.95"/>
    <n v="2.7800000000000002"/>
    <n v="2.7800000000000002"/>
    <x v="4"/>
    <n v="28605"/>
  </r>
  <r>
    <x v="0"/>
    <d v="2017-07-11T00:00:00"/>
    <x v="108"/>
    <x v="3"/>
    <n v="1"/>
    <s v="입"/>
    <x v="108"/>
    <n v="1"/>
    <n v="8000"/>
    <n v="8000"/>
    <n v="4.95"/>
    <n v="1.9800000000000002"/>
    <n v="1.9800000000000002"/>
    <x v="4"/>
    <n v="28605"/>
  </r>
  <r>
    <x v="0"/>
    <d v="2017-07-11T00:00:00"/>
    <x v="108"/>
    <x v="4"/>
    <n v="1"/>
    <s v="입"/>
    <x v="108"/>
    <n v="1"/>
    <n v="8000"/>
    <n v="8000"/>
    <n v="4.95"/>
    <n v="1.9800000000000002"/>
    <n v="1.9800000000000002"/>
    <x v="4"/>
    <n v="28605"/>
  </r>
  <r>
    <x v="0"/>
    <d v="2017-07-11T00:00:00"/>
    <x v="109"/>
    <x v="3"/>
    <n v="1"/>
    <s v="입"/>
    <x v="109"/>
    <n v="1"/>
    <n v="8000"/>
    <n v="8000"/>
    <n v="4.95"/>
    <n v="1.9800000000000002"/>
    <n v="1.9800000000000002"/>
    <x v="4"/>
    <n v="28605"/>
  </r>
  <r>
    <x v="0"/>
    <d v="2017-07-11T00:00:00"/>
    <x v="109"/>
    <x v="4"/>
    <n v="1"/>
    <s v="입"/>
    <x v="109"/>
    <n v="1"/>
    <n v="8000"/>
    <n v="8000"/>
    <n v="4.95"/>
    <n v="1.9800000000000002"/>
    <n v="1.9800000000000002"/>
    <x v="4"/>
    <n v="28605"/>
  </r>
  <r>
    <x v="0"/>
    <d v="2017-07-11T00:00:00"/>
    <x v="110"/>
    <x v="3"/>
    <n v="1"/>
    <s v="입"/>
    <x v="110"/>
    <n v="1"/>
    <n v="8000"/>
    <n v="8000"/>
    <n v="4.95"/>
    <n v="1.9800000000000002"/>
    <n v="1.9800000000000002"/>
    <x v="4"/>
    <n v="28605"/>
  </r>
  <r>
    <x v="0"/>
    <d v="2017-07-11T00:00:00"/>
    <x v="110"/>
    <x v="4"/>
    <n v="1"/>
    <s v="입"/>
    <x v="110"/>
    <n v="1"/>
    <n v="8000"/>
    <n v="8000"/>
    <n v="4.95"/>
    <n v="1.9800000000000002"/>
    <n v="1.9800000000000002"/>
    <x v="4"/>
    <n v="28605"/>
  </r>
  <r>
    <x v="0"/>
    <d v="2017-07-11T00:00:00"/>
    <x v="111"/>
    <x v="3"/>
    <n v="1"/>
    <s v="입"/>
    <x v="111"/>
    <n v="1"/>
    <n v="8000"/>
    <n v="8000"/>
    <n v="6.95"/>
    <n v="2.7800000000000002"/>
    <n v="2.7800000000000002"/>
    <x v="4"/>
    <n v="28605"/>
  </r>
  <r>
    <x v="0"/>
    <d v="2017-07-11T00:00:00"/>
    <x v="111"/>
    <x v="4"/>
    <n v="1"/>
    <s v="입"/>
    <x v="111"/>
    <n v="1"/>
    <n v="8000"/>
    <n v="8000"/>
    <n v="6.95"/>
    <n v="2.7800000000000002"/>
    <n v="2.7800000000000002"/>
    <x v="4"/>
    <n v="28605"/>
  </r>
  <r>
    <x v="0"/>
    <d v="2017-07-11T00:00:00"/>
    <x v="112"/>
    <x v="3"/>
    <n v="1"/>
    <s v="입"/>
    <x v="112"/>
    <n v="1"/>
    <n v="8000"/>
    <n v="8000"/>
    <n v="6.95"/>
    <n v="2.7800000000000002"/>
    <n v="2.7800000000000002"/>
    <x v="4"/>
    <n v="28605"/>
  </r>
  <r>
    <x v="0"/>
    <d v="2017-07-11T00:00:00"/>
    <x v="112"/>
    <x v="4"/>
    <n v="1"/>
    <s v="입"/>
    <x v="112"/>
    <n v="1"/>
    <n v="8000"/>
    <n v="8000"/>
    <n v="6.95"/>
    <n v="2.7800000000000002"/>
    <n v="2.7800000000000002"/>
    <x v="4"/>
    <n v="28605"/>
  </r>
  <r>
    <x v="0"/>
    <d v="2017-07-11T00:00:00"/>
    <x v="113"/>
    <x v="3"/>
    <n v="2"/>
    <s v="입"/>
    <x v="113"/>
    <n v="2"/>
    <n v="7000"/>
    <n v="14000"/>
    <n v="5.95"/>
    <n v="2.3800000000000003"/>
    <n v="4.7600000000000007"/>
    <x v="5"/>
    <n v="28605"/>
  </r>
  <r>
    <x v="0"/>
    <d v="2017-07-11T00:00:00"/>
    <x v="113"/>
    <x v="4"/>
    <n v="2"/>
    <s v="입"/>
    <x v="113"/>
    <n v="2"/>
    <n v="7000"/>
    <n v="14000"/>
    <n v="5.95"/>
    <n v="2.3800000000000003"/>
    <n v="4.7600000000000007"/>
    <x v="5"/>
    <n v="28605"/>
  </r>
  <r>
    <x v="0"/>
    <d v="2017-07-11T00:00:00"/>
    <x v="114"/>
    <x v="3"/>
    <n v="1"/>
    <s v="입"/>
    <x v="114"/>
    <n v="1"/>
    <n v="7000"/>
    <n v="7000"/>
    <n v="5.95"/>
    <n v="2.3800000000000003"/>
    <n v="2.3800000000000003"/>
    <x v="5"/>
    <n v="28605"/>
  </r>
  <r>
    <x v="0"/>
    <d v="2017-07-11T00:00:00"/>
    <x v="114"/>
    <x v="4"/>
    <n v="1"/>
    <s v="입"/>
    <x v="114"/>
    <n v="1"/>
    <n v="7000"/>
    <n v="7000"/>
    <n v="5.95"/>
    <n v="2.3800000000000003"/>
    <n v="2.3800000000000003"/>
    <x v="5"/>
    <n v="28605"/>
  </r>
  <r>
    <x v="0"/>
    <d v="2017-07-11T00:00:00"/>
    <x v="115"/>
    <x v="3"/>
    <n v="0"/>
    <s v="입"/>
    <x v="115"/>
    <n v="0"/>
    <n v="7000"/>
    <n v="0"/>
    <n v="5.95"/>
    <n v="2.3800000000000003"/>
    <n v="0"/>
    <x v="5"/>
    <n v="28605"/>
  </r>
  <r>
    <x v="0"/>
    <d v="2017-07-11T00:00:00"/>
    <x v="115"/>
    <x v="4"/>
    <n v="2"/>
    <s v="입"/>
    <x v="115"/>
    <n v="2"/>
    <n v="7000"/>
    <n v="14000"/>
    <n v="5.95"/>
    <n v="2.3800000000000003"/>
    <n v="4.7600000000000007"/>
    <x v="5"/>
    <n v="28605"/>
  </r>
  <r>
    <x v="0"/>
    <d v="2017-07-11T00:00:00"/>
    <x v="116"/>
    <x v="3"/>
    <n v="1"/>
    <s v="입"/>
    <x v="116"/>
    <n v="1"/>
    <n v="7000"/>
    <n v="7000"/>
    <n v="5.95"/>
    <n v="2.3800000000000003"/>
    <n v="2.3800000000000003"/>
    <x v="5"/>
    <n v="28605"/>
  </r>
  <r>
    <x v="0"/>
    <d v="2017-07-11T00:00:00"/>
    <x v="116"/>
    <x v="4"/>
    <n v="1"/>
    <s v="입"/>
    <x v="116"/>
    <n v="1"/>
    <n v="7000"/>
    <n v="7000"/>
    <n v="5.95"/>
    <n v="2.3800000000000003"/>
    <n v="2.3800000000000003"/>
    <x v="5"/>
    <n v="28605"/>
  </r>
  <r>
    <x v="0"/>
    <d v="2017-07-11T00:00:00"/>
    <x v="117"/>
    <x v="3"/>
    <n v="3"/>
    <s v="입"/>
    <x v="117"/>
    <n v="3"/>
    <n v="7000"/>
    <n v="21000"/>
    <n v="5.95"/>
    <n v="2.3800000000000003"/>
    <n v="7.1400000000000006"/>
    <x v="5"/>
    <n v="28605"/>
  </r>
  <r>
    <x v="0"/>
    <d v="2017-07-11T00:00:00"/>
    <x v="117"/>
    <x v="4"/>
    <n v="1"/>
    <s v="입"/>
    <x v="117"/>
    <n v="1"/>
    <n v="7000"/>
    <n v="7000"/>
    <n v="5.95"/>
    <n v="2.3800000000000003"/>
    <n v="2.3800000000000003"/>
    <x v="5"/>
    <n v="28605"/>
  </r>
  <r>
    <x v="0"/>
    <d v="2017-07-11T00:00:00"/>
    <x v="118"/>
    <x v="3"/>
    <n v="1"/>
    <s v="입"/>
    <x v="118"/>
    <n v="1"/>
    <n v="7000"/>
    <n v="7000"/>
    <n v="5.95"/>
    <n v="2.3800000000000003"/>
    <n v="2.3800000000000003"/>
    <x v="5"/>
    <n v="28605"/>
  </r>
  <r>
    <x v="0"/>
    <d v="2017-07-11T00:00:00"/>
    <x v="118"/>
    <x v="4"/>
    <n v="1"/>
    <s v="입"/>
    <x v="118"/>
    <n v="1"/>
    <n v="7000"/>
    <n v="7000"/>
    <n v="5.95"/>
    <n v="2.3800000000000003"/>
    <n v="2.3800000000000003"/>
    <x v="5"/>
    <n v="28605"/>
  </r>
  <r>
    <x v="0"/>
    <d v="2017-07-11T00:00:00"/>
    <x v="119"/>
    <x v="3"/>
    <n v="2"/>
    <s v="입"/>
    <x v="119"/>
    <n v="2"/>
    <n v="7000"/>
    <n v="14000"/>
    <n v="5.95"/>
    <n v="2.3800000000000003"/>
    <n v="4.7600000000000007"/>
    <x v="5"/>
    <n v="28605"/>
  </r>
  <r>
    <x v="0"/>
    <d v="2017-07-11T00:00:00"/>
    <x v="119"/>
    <x v="4"/>
    <n v="2"/>
    <s v="입"/>
    <x v="119"/>
    <n v="2"/>
    <n v="7000"/>
    <n v="14000"/>
    <n v="5.95"/>
    <n v="2.3800000000000003"/>
    <n v="4.7600000000000007"/>
    <x v="5"/>
    <n v="28605"/>
  </r>
  <r>
    <x v="0"/>
    <d v="2017-07-11T00:00:00"/>
    <x v="120"/>
    <x v="3"/>
    <n v="2"/>
    <s v="입"/>
    <x v="120"/>
    <n v="2"/>
    <n v="7000"/>
    <n v="14000"/>
    <n v="5.95"/>
    <n v="2.3800000000000003"/>
    <n v="4.7600000000000007"/>
    <x v="5"/>
    <n v="28605"/>
  </r>
  <r>
    <x v="0"/>
    <d v="2017-07-11T00:00:00"/>
    <x v="120"/>
    <x v="4"/>
    <n v="2"/>
    <s v="입"/>
    <x v="120"/>
    <n v="2"/>
    <n v="7000"/>
    <n v="14000"/>
    <n v="5.95"/>
    <n v="2.3800000000000003"/>
    <n v="4.7600000000000007"/>
    <x v="5"/>
    <n v="28605"/>
  </r>
  <r>
    <x v="0"/>
    <d v="2017-07-11T00:00:00"/>
    <x v="121"/>
    <x v="3"/>
    <n v="2"/>
    <s v="입"/>
    <x v="121"/>
    <n v="2"/>
    <n v="7000"/>
    <n v="14000"/>
    <n v="5.95"/>
    <n v="2.3800000000000003"/>
    <n v="4.7600000000000007"/>
    <x v="5"/>
    <n v="28605"/>
  </r>
  <r>
    <x v="0"/>
    <d v="2017-07-11T00:00:00"/>
    <x v="121"/>
    <x v="4"/>
    <n v="2"/>
    <s v="입"/>
    <x v="121"/>
    <n v="2"/>
    <n v="7000"/>
    <n v="14000"/>
    <n v="5.95"/>
    <n v="2.3800000000000003"/>
    <n v="4.7600000000000007"/>
    <x v="5"/>
    <n v="28605"/>
  </r>
  <r>
    <x v="0"/>
    <d v="2017-07-11T00:00:00"/>
    <x v="122"/>
    <x v="3"/>
    <n v="2"/>
    <s v="입"/>
    <x v="122"/>
    <n v="2"/>
    <n v="7000"/>
    <n v="14000"/>
    <n v="5.95"/>
    <n v="2.3800000000000003"/>
    <n v="4.7600000000000007"/>
    <x v="5"/>
    <n v="28605"/>
  </r>
  <r>
    <x v="0"/>
    <d v="2017-07-11T00:00:00"/>
    <x v="122"/>
    <x v="4"/>
    <n v="2"/>
    <s v="입"/>
    <x v="122"/>
    <n v="2"/>
    <n v="7000"/>
    <n v="14000"/>
    <n v="5.95"/>
    <n v="2.3800000000000003"/>
    <n v="4.7600000000000007"/>
    <x v="5"/>
    <n v="28605"/>
  </r>
  <r>
    <x v="0"/>
    <d v="2017-07-11T00:00:00"/>
    <x v="123"/>
    <x v="1"/>
    <n v="3"/>
    <s v="입"/>
    <x v="123"/>
    <n v="3"/>
    <n v="5000"/>
    <n v="15000"/>
    <n v="3.95"/>
    <n v="1.58"/>
    <n v="4.74"/>
    <x v="6"/>
    <n v="28605"/>
  </r>
  <r>
    <x v="0"/>
    <d v="2017-07-11T00:00:00"/>
    <x v="124"/>
    <x v="1"/>
    <n v="3"/>
    <s v="입"/>
    <x v="124"/>
    <n v="3"/>
    <n v="5000"/>
    <n v="15000"/>
    <n v="3.95"/>
    <n v="1.58"/>
    <n v="4.74"/>
    <x v="6"/>
    <n v="28605"/>
  </r>
  <r>
    <x v="0"/>
    <d v="2017-07-11T00:00:00"/>
    <x v="125"/>
    <x v="1"/>
    <n v="3"/>
    <s v="입"/>
    <x v="125"/>
    <n v="3"/>
    <n v="5000"/>
    <n v="15000"/>
    <n v="3.95"/>
    <n v="1.58"/>
    <n v="4.74"/>
    <x v="6"/>
    <n v="28605"/>
  </r>
  <r>
    <x v="0"/>
    <d v="2017-07-11T00:00:00"/>
    <x v="126"/>
    <x v="1"/>
    <n v="3"/>
    <s v="입"/>
    <x v="126"/>
    <n v="3"/>
    <n v="5000"/>
    <n v="15000"/>
    <n v="3.95"/>
    <n v="1.58"/>
    <n v="4.74"/>
    <x v="6"/>
    <n v="28605"/>
  </r>
  <r>
    <x v="0"/>
    <d v="2017-07-11T00:00:00"/>
    <x v="127"/>
    <x v="1"/>
    <n v="3"/>
    <s v="입"/>
    <x v="127"/>
    <n v="3"/>
    <n v="5000"/>
    <n v="15000"/>
    <n v="3.95"/>
    <n v="1.58"/>
    <n v="4.74"/>
    <x v="6"/>
    <n v="28605"/>
  </r>
  <r>
    <x v="0"/>
    <d v="2017-07-11T00:00:00"/>
    <x v="128"/>
    <x v="1"/>
    <n v="3"/>
    <s v="입"/>
    <x v="128"/>
    <n v="3"/>
    <n v="5000"/>
    <n v="15000"/>
    <n v="3.95"/>
    <n v="1.58"/>
    <n v="4.74"/>
    <x v="6"/>
    <n v="28605"/>
  </r>
  <r>
    <x v="0"/>
    <d v="2017-07-11T00:00:00"/>
    <x v="129"/>
    <x v="1"/>
    <n v="3"/>
    <s v="입"/>
    <x v="129"/>
    <n v="3"/>
    <n v="5000"/>
    <n v="15000"/>
    <n v="3.95"/>
    <n v="1.58"/>
    <n v="4.74"/>
    <x v="6"/>
    <n v="28605"/>
  </r>
  <r>
    <x v="0"/>
    <d v="2017-07-11T00:00:00"/>
    <x v="130"/>
    <x v="1"/>
    <n v="3"/>
    <s v="입"/>
    <x v="130"/>
    <n v="3"/>
    <n v="5000"/>
    <n v="15000"/>
    <n v="3.95"/>
    <n v="1.58"/>
    <n v="4.74"/>
    <x v="6"/>
    <n v="28605"/>
  </r>
  <r>
    <x v="0"/>
    <d v="2017-07-11T00:00:00"/>
    <x v="131"/>
    <x v="1"/>
    <n v="3"/>
    <s v="입"/>
    <x v="131"/>
    <n v="3"/>
    <n v="5000"/>
    <n v="15000"/>
    <n v="3.95"/>
    <n v="1.58"/>
    <n v="4.74"/>
    <x v="6"/>
    <n v="28605"/>
  </r>
  <r>
    <x v="0"/>
    <d v="2017-07-11T00:00:00"/>
    <x v="132"/>
    <x v="1"/>
    <n v="3"/>
    <s v="입"/>
    <x v="132"/>
    <n v="3"/>
    <n v="5000"/>
    <n v="15000"/>
    <n v="3.95"/>
    <n v="1.58"/>
    <n v="4.74"/>
    <x v="6"/>
    <n v="28605"/>
  </r>
  <r>
    <x v="0"/>
    <d v="2017-07-11T00:00:00"/>
    <x v="133"/>
    <x v="1"/>
    <n v="3"/>
    <s v="입"/>
    <x v="133"/>
    <n v="3"/>
    <n v="5000"/>
    <n v="15000"/>
    <n v="3.95"/>
    <n v="1.58"/>
    <n v="4.74"/>
    <x v="6"/>
    <n v="28605"/>
  </r>
  <r>
    <x v="0"/>
    <d v="2017-07-11T00:00:00"/>
    <x v="134"/>
    <x v="1"/>
    <n v="3"/>
    <s v="입"/>
    <x v="134"/>
    <n v="3"/>
    <n v="5000"/>
    <n v="15000"/>
    <n v="3.95"/>
    <n v="1.58"/>
    <n v="4.74"/>
    <x v="6"/>
    <n v="28605"/>
  </r>
  <r>
    <x v="0"/>
    <d v="2017-07-11T00:00:00"/>
    <x v="135"/>
    <x v="1"/>
    <n v="3"/>
    <s v="입"/>
    <x v="135"/>
    <n v="3"/>
    <n v="5000"/>
    <n v="15000"/>
    <n v="3.95"/>
    <n v="1.58"/>
    <n v="4.74"/>
    <x v="6"/>
    <n v="28605"/>
  </r>
  <r>
    <x v="0"/>
    <d v="2017-07-11T00:00:00"/>
    <x v="136"/>
    <x v="1"/>
    <n v="2"/>
    <s v="입"/>
    <x v="136"/>
    <n v="2"/>
    <n v="25000"/>
    <n v="50000"/>
    <n v="19.95"/>
    <n v="7.98"/>
    <n v="15.96"/>
    <x v="7"/>
    <n v="28605"/>
  </r>
  <r>
    <x v="0"/>
    <d v="2017-07-11T00:00:00"/>
    <x v="136"/>
    <x v="3"/>
    <n v="3"/>
    <s v="입"/>
    <x v="136"/>
    <n v="3"/>
    <n v="25000"/>
    <n v="75000"/>
    <n v="19.95"/>
    <n v="7.98"/>
    <n v="23.94"/>
    <x v="7"/>
    <n v="28605"/>
  </r>
  <r>
    <x v="0"/>
    <d v="2017-07-11T00:00:00"/>
    <x v="136"/>
    <x v="4"/>
    <n v="3"/>
    <s v="입"/>
    <x v="136"/>
    <n v="3"/>
    <n v="25000"/>
    <n v="75000"/>
    <n v="19.95"/>
    <n v="7.98"/>
    <n v="23.94"/>
    <x v="7"/>
    <n v="28605"/>
  </r>
  <r>
    <x v="0"/>
    <d v="2017-07-11T00:00:00"/>
    <x v="136"/>
    <x v="5"/>
    <n v="2"/>
    <s v="입"/>
    <x v="136"/>
    <n v="2"/>
    <n v="25000"/>
    <n v="50000"/>
    <n v="19.95"/>
    <n v="7.98"/>
    <n v="15.96"/>
    <x v="7"/>
    <n v="28605"/>
  </r>
  <r>
    <x v="0"/>
    <d v="2017-07-11T00:00:00"/>
    <x v="137"/>
    <x v="1"/>
    <n v="2"/>
    <s v="입"/>
    <x v="137"/>
    <n v="2"/>
    <n v="25000"/>
    <n v="50000"/>
    <n v="19.95"/>
    <n v="7.98"/>
    <n v="15.96"/>
    <x v="7"/>
    <n v="28605"/>
  </r>
  <r>
    <x v="0"/>
    <d v="2017-07-11T00:00:00"/>
    <x v="137"/>
    <x v="3"/>
    <n v="3"/>
    <s v="입"/>
    <x v="137"/>
    <n v="3"/>
    <n v="25000"/>
    <n v="75000"/>
    <n v="19.95"/>
    <n v="7.98"/>
    <n v="23.94"/>
    <x v="7"/>
    <n v="28605"/>
  </r>
  <r>
    <x v="0"/>
    <d v="2017-07-11T00:00:00"/>
    <x v="137"/>
    <x v="4"/>
    <n v="3"/>
    <s v="입"/>
    <x v="137"/>
    <n v="3"/>
    <n v="25000"/>
    <n v="75000"/>
    <n v="19.95"/>
    <n v="7.98"/>
    <n v="23.94"/>
    <x v="7"/>
    <n v="28605"/>
  </r>
  <r>
    <x v="0"/>
    <d v="2017-07-11T00:00:00"/>
    <x v="137"/>
    <x v="5"/>
    <n v="2"/>
    <s v="입"/>
    <x v="137"/>
    <n v="2"/>
    <n v="25000"/>
    <n v="50000"/>
    <n v="19.95"/>
    <n v="7.98"/>
    <n v="15.96"/>
    <x v="7"/>
    <n v="28605"/>
  </r>
  <r>
    <x v="0"/>
    <d v="2017-07-11T00:00:00"/>
    <x v="138"/>
    <x v="1"/>
    <n v="2"/>
    <s v="입"/>
    <x v="138"/>
    <n v="2"/>
    <n v="25000"/>
    <n v="50000"/>
    <n v="19.95"/>
    <n v="7.98"/>
    <n v="15.96"/>
    <x v="7"/>
    <n v="28605"/>
  </r>
  <r>
    <x v="0"/>
    <d v="2017-07-11T00:00:00"/>
    <x v="138"/>
    <x v="3"/>
    <n v="3"/>
    <s v="입"/>
    <x v="138"/>
    <n v="3"/>
    <n v="25000"/>
    <n v="75000"/>
    <n v="19.95"/>
    <n v="7.98"/>
    <n v="23.94"/>
    <x v="7"/>
    <n v="28605"/>
  </r>
  <r>
    <x v="0"/>
    <d v="2017-07-11T00:00:00"/>
    <x v="138"/>
    <x v="4"/>
    <n v="3"/>
    <s v="입"/>
    <x v="138"/>
    <n v="3"/>
    <n v="25000"/>
    <n v="75000"/>
    <n v="19.95"/>
    <n v="7.98"/>
    <n v="23.94"/>
    <x v="7"/>
    <n v="28605"/>
  </r>
  <r>
    <x v="0"/>
    <d v="2017-07-11T00:00:00"/>
    <x v="138"/>
    <x v="5"/>
    <n v="2"/>
    <s v="입"/>
    <x v="138"/>
    <n v="2"/>
    <n v="25000"/>
    <n v="50000"/>
    <n v="19.95"/>
    <n v="7.98"/>
    <n v="15.96"/>
    <x v="7"/>
    <n v="28605"/>
  </r>
  <r>
    <x v="0"/>
    <d v="2017-07-11T00:00:00"/>
    <x v="139"/>
    <x v="1"/>
    <n v="1"/>
    <s v="입"/>
    <x v="139"/>
    <n v="1"/>
    <n v="25000"/>
    <n v="25000"/>
    <n v="19.95"/>
    <n v="7.98"/>
    <n v="7.98"/>
    <x v="7"/>
    <n v="28605"/>
  </r>
  <r>
    <x v="0"/>
    <d v="2017-07-11T00:00:00"/>
    <x v="139"/>
    <x v="3"/>
    <n v="1"/>
    <s v="입"/>
    <x v="139"/>
    <n v="1"/>
    <n v="25000"/>
    <n v="25000"/>
    <n v="19.95"/>
    <n v="7.98"/>
    <n v="7.98"/>
    <x v="7"/>
    <n v="28605"/>
  </r>
  <r>
    <x v="0"/>
    <d v="2017-07-11T00:00:00"/>
    <x v="139"/>
    <x v="4"/>
    <n v="1"/>
    <s v="입"/>
    <x v="139"/>
    <n v="1"/>
    <n v="25000"/>
    <n v="25000"/>
    <n v="19.95"/>
    <n v="7.98"/>
    <n v="7.98"/>
    <x v="7"/>
    <n v="28605"/>
  </r>
  <r>
    <x v="0"/>
    <d v="2017-07-11T00:00:00"/>
    <x v="139"/>
    <x v="5"/>
    <n v="1"/>
    <s v="입"/>
    <x v="139"/>
    <n v="1"/>
    <n v="25000"/>
    <n v="25000"/>
    <n v="19.95"/>
    <n v="7.98"/>
    <n v="7.98"/>
    <x v="7"/>
    <n v="28605"/>
  </r>
  <r>
    <x v="0"/>
    <d v="2017-07-11T00:00:00"/>
    <x v="140"/>
    <x v="1"/>
    <n v="1"/>
    <s v="입"/>
    <x v="140"/>
    <n v="1"/>
    <n v="25000"/>
    <n v="25000"/>
    <n v="19.95"/>
    <n v="7.98"/>
    <n v="7.98"/>
    <x v="7"/>
    <n v="28605"/>
  </r>
  <r>
    <x v="0"/>
    <d v="2017-07-11T00:00:00"/>
    <x v="140"/>
    <x v="3"/>
    <n v="1"/>
    <s v="입"/>
    <x v="140"/>
    <n v="1"/>
    <n v="25000"/>
    <n v="25000"/>
    <n v="19.95"/>
    <n v="7.98"/>
    <n v="7.98"/>
    <x v="7"/>
    <n v="28605"/>
  </r>
  <r>
    <x v="0"/>
    <d v="2017-07-11T00:00:00"/>
    <x v="140"/>
    <x v="4"/>
    <n v="1"/>
    <s v="입"/>
    <x v="140"/>
    <n v="1"/>
    <n v="25000"/>
    <n v="25000"/>
    <n v="19.95"/>
    <n v="7.98"/>
    <n v="7.98"/>
    <x v="7"/>
    <n v="28605"/>
  </r>
  <r>
    <x v="0"/>
    <d v="2017-07-11T00:00:00"/>
    <x v="140"/>
    <x v="5"/>
    <n v="1"/>
    <s v="입"/>
    <x v="140"/>
    <n v="1"/>
    <n v="25000"/>
    <n v="25000"/>
    <n v="19.95"/>
    <n v="7.98"/>
    <n v="7.98"/>
    <x v="7"/>
    <n v="28605"/>
  </r>
  <r>
    <x v="0"/>
    <d v="2017-07-11T00:00:00"/>
    <x v="141"/>
    <x v="1"/>
    <n v="1"/>
    <s v="입"/>
    <x v="141"/>
    <n v="1"/>
    <n v="25000"/>
    <n v="25000"/>
    <n v="19.95"/>
    <n v="7.98"/>
    <n v="7.98"/>
    <x v="7"/>
    <n v="28605"/>
  </r>
  <r>
    <x v="0"/>
    <d v="2017-07-11T00:00:00"/>
    <x v="141"/>
    <x v="3"/>
    <n v="1"/>
    <s v="입"/>
    <x v="141"/>
    <n v="1"/>
    <n v="25000"/>
    <n v="25000"/>
    <n v="19.95"/>
    <n v="7.98"/>
    <n v="7.98"/>
    <x v="7"/>
    <n v="28605"/>
  </r>
  <r>
    <x v="0"/>
    <d v="2017-07-11T00:00:00"/>
    <x v="141"/>
    <x v="4"/>
    <n v="1"/>
    <s v="입"/>
    <x v="141"/>
    <n v="1"/>
    <n v="25000"/>
    <n v="25000"/>
    <n v="19.95"/>
    <n v="7.98"/>
    <n v="7.98"/>
    <x v="7"/>
    <n v="28605"/>
  </r>
  <r>
    <x v="0"/>
    <d v="2017-07-11T00:00:00"/>
    <x v="141"/>
    <x v="5"/>
    <n v="1"/>
    <s v="입"/>
    <x v="141"/>
    <n v="1"/>
    <n v="25000"/>
    <n v="25000"/>
    <n v="19.95"/>
    <n v="7.98"/>
    <n v="7.98"/>
    <x v="7"/>
    <n v="28605"/>
  </r>
  <r>
    <x v="0"/>
    <d v="2017-07-11T00:00:00"/>
    <x v="142"/>
    <x v="1"/>
    <n v="1"/>
    <s v="입"/>
    <x v="142"/>
    <n v="1"/>
    <n v="25000"/>
    <n v="25000"/>
    <n v="19.95"/>
    <n v="7.98"/>
    <n v="7.98"/>
    <x v="7"/>
    <n v="28605"/>
  </r>
  <r>
    <x v="0"/>
    <d v="2017-07-11T00:00:00"/>
    <x v="142"/>
    <x v="3"/>
    <n v="1"/>
    <s v="입"/>
    <x v="142"/>
    <n v="1"/>
    <n v="25000"/>
    <n v="25000"/>
    <n v="19.95"/>
    <n v="7.98"/>
    <n v="7.98"/>
    <x v="7"/>
    <n v="28605"/>
  </r>
  <r>
    <x v="0"/>
    <d v="2017-07-11T00:00:00"/>
    <x v="142"/>
    <x v="4"/>
    <n v="1"/>
    <s v="입"/>
    <x v="142"/>
    <n v="1"/>
    <n v="25000"/>
    <n v="25000"/>
    <n v="19.95"/>
    <n v="7.98"/>
    <n v="7.98"/>
    <x v="7"/>
    <n v="28605"/>
  </r>
  <r>
    <x v="0"/>
    <d v="2017-07-11T00:00:00"/>
    <x v="142"/>
    <x v="5"/>
    <n v="1"/>
    <s v="입"/>
    <x v="142"/>
    <n v="1"/>
    <n v="25000"/>
    <n v="25000"/>
    <n v="19.95"/>
    <n v="7.98"/>
    <n v="7.98"/>
    <x v="7"/>
    <n v="28605"/>
  </r>
  <r>
    <x v="0"/>
    <d v="2017-07-11T00:00:00"/>
    <x v="143"/>
    <x v="1"/>
    <n v="1"/>
    <s v="입"/>
    <x v="143"/>
    <n v="1"/>
    <n v="25000"/>
    <n v="25000"/>
    <n v="19.95"/>
    <n v="7.98"/>
    <n v="7.98"/>
    <x v="7"/>
    <n v="28605"/>
  </r>
  <r>
    <x v="0"/>
    <d v="2017-07-11T00:00:00"/>
    <x v="143"/>
    <x v="3"/>
    <n v="1"/>
    <s v="입"/>
    <x v="143"/>
    <n v="1"/>
    <n v="25000"/>
    <n v="25000"/>
    <n v="19.95"/>
    <n v="7.98"/>
    <n v="7.98"/>
    <x v="7"/>
    <n v="28605"/>
  </r>
  <r>
    <x v="0"/>
    <d v="2017-07-11T00:00:00"/>
    <x v="143"/>
    <x v="4"/>
    <n v="1"/>
    <s v="입"/>
    <x v="143"/>
    <n v="1"/>
    <n v="25000"/>
    <n v="25000"/>
    <n v="19.95"/>
    <n v="7.98"/>
    <n v="7.98"/>
    <x v="7"/>
    <n v="28605"/>
  </r>
  <r>
    <x v="0"/>
    <d v="2017-07-11T00:00:00"/>
    <x v="143"/>
    <x v="5"/>
    <n v="1"/>
    <s v="입"/>
    <x v="143"/>
    <n v="1"/>
    <n v="25000"/>
    <n v="25000"/>
    <n v="19.95"/>
    <n v="7.98"/>
    <n v="7.98"/>
    <x v="7"/>
    <n v="28605"/>
  </r>
  <r>
    <x v="0"/>
    <d v="2017-07-11T00:00:00"/>
    <x v="144"/>
    <x v="1"/>
    <n v="1"/>
    <s v="입"/>
    <x v="144"/>
    <n v="1"/>
    <n v="25000"/>
    <n v="25000"/>
    <n v="19.95"/>
    <n v="7.98"/>
    <n v="7.98"/>
    <x v="7"/>
    <n v="28605"/>
  </r>
  <r>
    <x v="0"/>
    <d v="2017-07-11T00:00:00"/>
    <x v="144"/>
    <x v="3"/>
    <n v="1"/>
    <s v="입"/>
    <x v="144"/>
    <n v="1"/>
    <n v="25000"/>
    <n v="25000"/>
    <n v="19.95"/>
    <n v="7.98"/>
    <n v="7.98"/>
    <x v="7"/>
    <n v="28605"/>
  </r>
  <r>
    <x v="0"/>
    <d v="2017-07-11T00:00:00"/>
    <x v="144"/>
    <x v="4"/>
    <n v="1"/>
    <s v="입"/>
    <x v="144"/>
    <n v="1"/>
    <n v="25000"/>
    <n v="25000"/>
    <n v="19.95"/>
    <n v="7.98"/>
    <n v="7.98"/>
    <x v="7"/>
    <n v="28605"/>
  </r>
  <r>
    <x v="0"/>
    <d v="2017-07-11T00:00:00"/>
    <x v="144"/>
    <x v="5"/>
    <n v="1"/>
    <s v="입"/>
    <x v="144"/>
    <n v="1"/>
    <n v="25000"/>
    <n v="25000"/>
    <n v="19.95"/>
    <n v="7.98"/>
    <n v="7.98"/>
    <x v="7"/>
    <n v="28605"/>
  </r>
  <r>
    <x v="0"/>
    <d v="2017-07-11T00:00:00"/>
    <x v="145"/>
    <x v="1"/>
    <n v="1"/>
    <s v="입"/>
    <x v="145"/>
    <n v="1"/>
    <n v="25000"/>
    <n v="25000"/>
    <n v="19.95"/>
    <n v="7.98"/>
    <n v="7.98"/>
    <x v="7"/>
    <n v="28605"/>
  </r>
  <r>
    <x v="0"/>
    <d v="2017-07-11T00:00:00"/>
    <x v="145"/>
    <x v="3"/>
    <n v="1"/>
    <s v="입"/>
    <x v="145"/>
    <n v="1"/>
    <n v="25000"/>
    <n v="25000"/>
    <n v="19.95"/>
    <n v="7.98"/>
    <n v="7.98"/>
    <x v="7"/>
    <n v="28605"/>
  </r>
  <r>
    <x v="0"/>
    <d v="2017-07-11T00:00:00"/>
    <x v="145"/>
    <x v="4"/>
    <n v="1"/>
    <s v="입"/>
    <x v="145"/>
    <n v="1"/>
    <n v="25000"/>
    <n v="25000"/>
    <n v="19.95"/>
    <n v="7.98"/>
    <n v="7.98"/>
    <x v="7"/>
    <n v="28605"/>
  </r>
  <r>
    <x v="0"/>
    <d v="2017-07-11T00:00:00"/>
    <x v="145"/>
    <x v="5"/>
    <n v="1"/>
    <s v="입"/>
    <x v="145"/>
    <n v="1"/>
    <n v="25000"/>
    <n v="25000"/>
    <n v="19.95"/>
    <n v="7.98"/>
    <n v="7.98"/>
    <x v="7"/>
    <n v="28605"/>
  </r>
  <r>
    <x v="0"/>
    <d v="2017-07-11T00:00:00"/>
    <x v="146"/>
    <x v="1"/>
    <n v="1"/>
    <s v="입"/>
    <x v="146"/>
    <n v="1"/>
    <n v="25000"/>
    <n v="25000"/>
    <n v="19.95"/>
    <n v="7.98"/>
    <n v="7.98"/>
    <x v="7"/>
    <n v="28605"/>
  </r>
  <r>
    <x v="0"/>
    <d v="2017-07-11T00:00:00"/>
    <x v="146"/>
    <x v="3"/>
    <n v="1"/>
    <s v="입"/>
    <x v="146"/>
    <n v="1"/>
    <n v="25000"/>
    <n v="25000"/>
    <n v="19.95"/>
    <n v="7.98"/>
    <n v="7.98"/>
    <x v="7"/>
    <n v="28605"/>
  </r>
  <r>
    <x v="0"/>
    <d v="2017-07-11T00:00:00"/>
    <x v="146"/>
    <x v="4"/>
    <n v="1"/>
    <s v="입"/>
    <x v="146"/>
    <n v="1"/>
    <n v="25000"/>
    <n v="25000"/>
    <n v="19.95"/>
    <n v="7.98"/>
    <n v="7.98"/>
    <x v="7"/>
    <n v="28605"/>
  </r>
  <r>
    <x v="0"/>
    <d v="2017-07-11T00:00:00"/>
    <x v="146"/>
    <x v="5"/>
    <n v="1"/>
    <s v="입"/>
    <x v="146"/>
    <n v="1"/>
    <n v="25000"/>
    <n v="25000"/>
    <n v="19.95"/>
    <n v="7.98"/>
    <n v="7.98"/>
    <x v="7"/>
    <n v="28605"/>
  </r>
  <r>
    <x v="0"/>
    <d v="2017-07-11T00:00:00"/>
    <x v="147"/>
    <x v="1"/>
    <n v="1"/>
    <s v="입"/>
    <x v="147"/>
    <n v="1"/>
    <n v="25000"/>
    <n v="25000"/>
    <n v="19.95"/>
    <n v="7.98"/>
    <n v="7.98"/>
    <x v="7"/>
    <n v="28605"/>
  </r>
  <r>
    <x v="0"/>
    <d v="2017-07-11T00:00:00"/>
    <x v="147"/>
    <x v="3"/>
    <n v="1"/>
    <s v="입"/>
    <x v="147"/>
    <n v="1"/>
    <n v="25000"/>
    <n v="25000"/>
    <n v="19.95"/>
    <n v="7.98"/>
    <n v="7.98"/>
    <x v="7"/>
    <n v="28605"/>
  </r>
  <r>
    <x v="0"/>
    <d v="2017-07-11T00:00:00"/>
    <x v="147"/>
    <x v="4"/>
    <n v="1"/>
    <s v="입"/>
    <x v="147"/>
    <n v="1"/>
    <n v="25000"/>
    <n v="25000"/>
    <n v="19.95"/>
    <n v="7.98"/>
    <n v="7.98"/>
    <x v="7"/>
    <n v="28605"/>
  </r>
  <r>
    <x v="0"/>
    <d v="2017-07-11T00:00:00"/>
    <x v="147"/>
    <x v="5"/>
    <n v="1"/>
    <s v="입"/>
    <x v="147"/>
    <n v="1"/>
    <n v="25000"/>
    <n v="25000"/>
    <n v="19.95"/>
    <n v="7.98"/>
    <n v="7.98"/>
    <x v="7"/>
    <n v="28605"/>
  </r>
  <r>
    <x v="0"/>
    <d v="2017-07-11T00:00:00"/>
    <x v="148"/>
    <x v="1"/>
    <n v="1"/>
    <s v="입"/>
    <x v="148"/>
    <n v="1"/>
    <n v="25000"/>
    <n v="25000"/>
    <n v="19.95"/>
    <n v="7.98"/>
    <n v="7.98"/>
    <x v="7"/>
    <n v="28605"/>
  </r>
  <r>
    <x v="0"/>
    <d v="2017-07-11T00:00:00"/>
    <x v="148"/>
    <x v="3"/>
    <n v="1"/>
    <s v="입"/>
    <x v="148"/>
    <n v="1"/>
    <n v="25000"/>
    <n v="25000"/>
    <n v="19.95"/>
    <n v="7.98"/>
    <n v="7.98"/>
    <x v="7"/>
    <n v="28605"/>
  </r>
  <r>
    <x v="0"/>
    <d v="2017-07-11T00:00:00"/>
    <x v="148"/>
    <x v="4"/>
    <n v="1"/>
    <s v="입"/>
    <x v="148"/>
    <n v="1"/>
    <n v="25000"/>
    <n v="25000"/>
    <n v="19.95"/>
    <n v="7.98"/>
    <n v="7.98"/>
    <x v="7"/>
    <n v="28605"/>
  </r>
  <r>
    <x v="0"/>
    <d v="2017-07-11T00:00:00"/>
    <x v="148"/>
    <x v="5"/>
    <n v="1"/>
    <s v="입"/>
    <x v="148"/>
    <n v="1"/>
    <n v="25000"/>
    <n v="25000"/>
    <n v="19.95"/>
    <n v="7.98"/>
    <n v="7.98"/>
    <x v="7"/>
    <n v="28605"/>
  </r>
  <r>
    <x v="0"/>
    <d v="2017-07-11T00:00:00"/>
    <x v="149"/>
    <x v="1"/>
    <n v="1"/>
    <s v="입"/>
    <x v="149"/>
    <n v="1"/>
    <n v="25000"/>
    <n v="25000"/>
    <n v="19.95"/>
    <n v="7.98"/>
    <n v="7.98"/>
    <x v="7"/>
    <n v="28605"/>
  </r>
  <r>
    <x v="0"/>
    <d v="2017-07-11T00:00:00"/>
    <x v="149"/>
    <x v="3"/>
    <n v="1"/>
    <s v="입"/>
    <x v="149"/>
    <n v="1"/>
    <n v="25000"/>
    <n v="25000"/>
    <n v="19.95"/>
    <n v="7.98"/>
    <n v="7.98"/>
    <x v="7"/>
    <n v="28605"/>
  </r>
  <r>
    <x v="0"/>
    <d v="2017-07-11T00:00:00"/>
    <x v="149"/>
    <x v="4"/>
    <n v="1"/>
    <s v="입"/>
    <x v="149"/>
    <n v="1"/>
    <n v="25000"/>
    <n v="25000"/>
    <n v="19.95"/>
    <n v="7.98"/>
    <n v="7.98"/>
    <x v="7"/>
    <n v="28605"/>
  </r>
  <r>
    <x v="0"/>
    <d v="2017-07-11T00:00:00"/>
    <x v="149"/>
    <x v="5"/>
    <n v="1"/>
    <s v="입"/>
    <x v="149"/>
    <n v="1"/>
    <n v="25000"/>
    <n v="25000"/>
    <n v="19.95"/>
    <n v="7.98"/>
    <n v="7.98"/>
    <x v="7"/>
    <n v="28605"/>
  </r>
  <r>
    <x v="0"/>
    <d v="2017-07-11T00:00:00"/>
    <x v="150"/>
    <x v="1"/>
    <n v="1"/>
    <s v="입"/>
    <x v="150"/>
    <n v="1"/>
    <n v="25000"/>
    <n v="25000"/>
    <n v="19.95"/>
    <n v="7.98"/>
    <n v="7.98"/>
    <x v="7"/>
    <n v="28605"/>
  </r>
  <r>
    <x v="0"/>
    <d v="2017-07-11T00:00:00"/>
    <x v="150"/>
    <x v="3"/>
    <n v="1"/>
    <s v="입"/>
    <x v="150"/>
    <n v="1"/>
    <n v="25000"/>
    <n v="25000"/>
    <n v="19.95"/>
    <n v="7.98"/>
    <n v="7.98"/>
    <x v="7"/>
    <n v="28605"/>
  </r>
  <r>
    <x v="0"/>
    <d v="2017-07-11T00:00:00"/>
    <x v="150"/>
    <x v="4"/>
    <n v="1"/>
    <s v="입"/>
    <x v="150"/>
    <n v="1"/>
    <n v="25000"/>
    <n v="25000"/>
    <n v="19.95"/>
    <n v="7.98"/>
    <n v="7.98"/>
    <x v="7"/>
    <n v="28605"/>
  </r>
  <r>
    <x v="0"/>
    <d v="2017-07-11T00:00:00"/>
    <x v="150"/>
    <x v="5"/>
    <n v="1"/>
    <s v="입"/>
    <x v="150"/>
    <n v="1"/>
    <n v="25000"/>
    <n v="25000"/>
    <n v="19.95"/>
    <n v="7.98"/>
    <n v="7.98"/>
    <x v="7"/>
    <n v="28605"/>
  </r>
  <r>
    <x v="0"/>
    <d v="2017-07-11T00:00:00"/>
    <x v="151"/>
    <x v="1"/>
    <n v="2"/>
    <s v="입"/>
    <x v="151"/>
    <n v="2"/>
    <n v="7000"/>
    <n v="14000"/>
    <n v="5.95"/>
    <n v="2.3800000000000003"/>
    <n v="4.7600000000000007"/>
    <x v="8"/>
    <n v="28605"/>
  </r>
  <r>
    <x v="0"/>
    <d v="2017-07-11T00:00:00"/>
    <x v="151"/>
    <x v="3"/>
    <n v="2"/>
    <s v="입"/>
    <x v="151"/>
    <n v="2"/>
    <n v="7000"/>
    <n v="14000"/>
    <n v="5.95"/>
    <n v="2.3800000000000003"/>
    <n v="4.7600000000000007"/>
    <x v="8"/>
    <n v="28605"/>
  </r>
  <r>
    <x v="0"/>
    <d v="2017-07-11T00:00:00"/>
    <x v="152"/>
    <x v="1"/>
    <n v="2"/>
    <s v="입"/>
    <x v="152"/>
    <n v="2"/>
    <n v="7000"/>
    <n v="14000"/>
    <n v="5.95"/>
    <n v="2.3800000000000003"/>
    <n v="4.7600000000000007"/>
    <x v="8"/>
    <n v="28605"/>
  </r>
  <r>
    <x v="0"/>
    <d v="2017-07-11T00:00:00"/>
    <x v="152"/>
    <x v="3"/>
    <n v="2"/>
    <s v="입"/>
    <x v="152"/>
    <n v="2"/>
    <n v="7000"/>
    <n v="14000"/>
    <n v="5.95"/>
    <n v="2.3800000000000003"/>
    <n v="4.7600000000000007"/>
    <x v="8"/>
    <n v="28605"/>
  </r>
  <r>
    <x v="0"/>
    <d v="2017-07-11T00:00:00"/>
    <x v="153"/>
    <x v="1"/>
    <n v="2"/>
    <s v="입"/>
    <x v="153"/>
    <n v="2"/>
    <n v="7000"/>
    <n v="14000"/>
    <n v="5.95"/>
    <n v="2.3800000000000003"/>
    <n v="4.7600000000000007"/>
    <x v="8"/>
    <n v="28605"/>
  </r>
  <r>
    <x v="0"/>
    <d v="2017-07-11T00:00:00"/>
    <x v="153"/>
    <x v="3"/>
    <n v="2"/>
    <s v="입"/>
    <x v="153"/>
    <n v="2"/>
    <n v="7000"/>
    <n v="14000"/>
    <n v="5.95"/>
    <n v="2.3800000000000003"/>
    <n v="4.7600000000000007"/>
    <x v="8"/>
    <n v="28605"/>
  </r>
  <r>
    <x v="0"/>
    <d v="2017-07-11T00:00:00"/>
    <x v="154"/>
    <x v="1"/>
    <n v="2"/>
    <s v="입"/>
    <x v="154"/>
    <n v="2"/>
    <n v="7000"/>
    <n v="14000"/>
    <n v="5.95"/>
    <n v="2.3800000000000003"/>
    <n v="4.7600000000000007"/>
    <x v="8"/>
    <n v="28605"/>
  </r>
  <r>
    <x v="0"/>
    <d v="2017-07-11T00:00:00"/>
    <x v="154"/>
    <x v="3"/>
    <n v="2"/>
    <s v="입"/>
    <x v="154"/>
    <n v="2"/>
    <n v="7000"/>
    <n v="14000"/>
    <n v="5.95"/>
    <n v="2.3800000000000003"/>
    <n v="4.7600000000000007"/>
    <x v="8"/>
    <n v="28605"/>
  </r>
  <r>
    <x v="0"/>
    <d v="2017-07-11T00:00:00"/>
    <x v="155"/>
    <x v="1"/>
    <n v="2"/>
    <s v="입"/>
    <x v="155"/>
    <n v="2"/>
    <n v="7000"/>
    <n v="14000"/>
    <n v="5.95"/>
    <n v="2.3800000000000003"/>
    <n v="4.7600000000000007"/>
    <x v="8"/>
    <n v="28605"/>
  </r>
  <r>
    <x v="0"/>
    <d v="2017-07-11T00:00:00"/>
    <x v="155"/>
    <x v="3"/>
    <n v="2"/>
    <s v="입"/>
    <x v="155"/>
    <n v="2"/>
    <n v="7000"/>
    <n v="14000"/>
    <n v="5.95"/>
    <n v="2.3800000000000003"/>
    <n v="4.7600000000000007"/>
    <x v="8"/>
    <n v="28605"/>
  </r>
  <r>
    <x v="0"/>
    <d v="2017-07-11T00:00:00"/>
    <x v="156"/>
    <x v="1"/>
    <n v="2"/>
    <s v="입"/>
    <x v="156"/>
    <n v="2"/>
    <n v="7000"/>
    <n v="14000"/>
    <n v="5.95"/>
    <n v="2.3800000000000003"/>
    <n v="4.7600000000000007"/>
    <x v="8"/>
    <n v="28605"/>
  </r>
  <r>
    <x v="0"/>
    <d v="2017-07-11T00:00:00"/>
    <x v="156"/>
    <x v="3"/>
    <n v="2"/>
    <s v="입"/>
    <x v="156"/>
    <n v="2"/>
    <n v="7000"/>
    <n v="14000"/>
    <n v="5.95"/>
    <n v="2.3800000000000003"/>
    <n v="4.7600000000000007"/>
    <x v="8"/>
    <n v="28605"/>
  </r>
  <r>
    <x v="0"/>
    <d v="2017-07-11T00:00:00"/>
    <x v="157"/>
    <x v="1"/>
    <n v="2"/>
    <s v="입"/>
    <x v="157"/>
    <n v="2"/>
    <n v="7000"/>
    <n v="14000"/>
    <n v="5.95"/>
    <n v="2.3800000000000003"/>
    <n v="4.7600000000000007"/>
    <x v="8"/>
    <n v="28605"/>
  </r>
  <r>
    <x v="0"/>
    <d v="2017-07-11T00:00:00"/>
    <x v="157"/>
    <x v="3"/>
    <n v="2"/>
    <s v="입"/>
    <x v="157"/>
    <n v="2"/>
    <n v="7000"/>
    <n v="14000"/>
    <n v="5.95"/>
    <n v="2.3800000000000003"/>
    <n v="4.7600000000000007"/>
    <x v="8"/>
    <n v="28605"/>
  </r>
  <r>
    <x v="0"/>
    <d v="2017-07-11T00:00:00"/>
    <x v="158"/>
    <x v="4"/>
    <n v="3"/>
    <s v="입"/>
    <x v="158"/>
    <n v="3"/>
    <n v="5000"/>
    <n v="15000"/>
    <n v="3.95"/>
    <n v="1.58"/>
    <n v="4.74"/>
    <x v="9"/>
    <n v="28605"/>
  </r>
  <r>
    <x v="0"/>
    <d v="2017-07-11T00:00:00"/>
    <x v="159"/>
    <x v="4"/>
    <n v="3"/>
    <s v="입"/>
    <x v="159"/>
    <n v="3"/>
    <n v="5000"/>
    <n v="15000"/>
    <n v="3.95"/>
    <n v="1.58"/>
    <n v="4.74"/>
    <x v="9"/>
    <n v="28605"/>
  </r>
  <r>
    <x v="0"/>
    <d v="2017-07-11T00:00:00"/>
    <x v="159"/>
    <x v="5"/>
    <n v="3"/>
    <s v="입"/>
    <x v="159"/>
    <n v="3"/>
    <n v="5000"/>
    <n v="15000"/>
    <n v="3.95"/>
    <n v="1.58"/>
    <n v="4.74"/>
    <x v="9"/>
    <n v="28605"/>
  </r>
  <r>
    <x v="0"/>
    <d v="2017-07-11T00:00:00"/>
    <x v="160"/>
    <x v="4"/>
    <n v="3"/>
    <s v="입"/>
    <x v="160"/>
    <n v="3"/>
    <n v="5000"/>
    <n v="15000"/>
    <n v="3.95"/>
    <n v="1.58"/>
    <n v="4.74"/>
    <x v="9"/>
    <n v="28605"/>
  </r>
  <r>
    <x v="0"/>
    <d v="2017-07-11T00:00:00"/>
    <x v="160"/>
    <x v="5"/>
    <n v="3"/>
    <s v="입"/>
    <x v="160"/>
    <n v="3"/>
    <n v="5000"/>
    <n v="15000"/>
    <n v="3.95"/>
    <n v="1.58"/>
    <n v="4.74"/>
    <x v="9"/>
    <n v="28605"/>
  </r>
  <r>
    <x v="0"/>
    <d v="2017-07-11T00:00:00"/>
    <x v="161"/>
    <x v="4"/>
    <n v="3"/>
    <s v="입"/>
    <x v="161"/>
    <n v="3"/>
    <n v="5000"/>
    <n v="15000"/>
    <n v="3.95"/>
    <n v="1.58"/>
    <n v="4.74"/>
    <x v="9"/>
    <n v="28605"/>
  </r>
  <r>
    <x v="0"/>
    <d v="2017-07-11T00:00:00"/>
    <x v="161"/>
    <x v="5"/>
    <n v="3"/>
    <s v="입"/>
    <x v="161"/>
    <n v="3"/>
    <n v="5000"/>
    <n v="15000"/>
    <n v="3.95"/>
    <n v="1.58"/>
    <n v="4.74"/>
    <x v="9"/>
    <n v="28605"/>
  </r>
  <r>
    <x v="0"/>
    <d v="2017-07-11T00:00:00"/>
    <x v="162"/>
    <x v="4"/>
    <n v="3"/>
    <s v="입"/>
    <x v="162"/>
    <n v="3"/>
    <n v="5000"/>
    <n v="15000"/>
    <n v="3.95"/>
    <n v="1.58"/>
    <n v="4.74"/>
    <x v="9"/>
    <n v="28605"/>
  </r>
  <r>
    <x v="0"/>
    <d v="2017-07-11T00:00:00"/>
    <x v="162"/>
    <x v="5"/>
    <n v="3"/>
    <s v="입"/>
    <x v="162"/>
    <n v="3"/>
    <n v="5000"/>
    <n v="15000"/>
    <n v="3.95"/>
    <n v="1.58"/>
    <n v="4.74"/>
    <x v="9"/>
    <n v="28605"/>
  </r>
  <r>
    <x v="0"/>
    <d v="2017-07-11T00:00:00"/>
    <x v="163"/>
    <x v="4"/>
    <n v="3"/>
    <s v="입"/>
    <x v="163"/>
    <n v="3"/>
    <n v="5000"/>
    <n v="15000"/>
    <n v="3.95"/>
    <n v="1.58"/>
    <n v="4.74"/>
    <x v="9"/>
    <n v="28605"/>
  </r>
  <r>
    <x v="0"/>
    <d v="2017-07-11T00:00:00"/>
    <x v="163"/>
    <x v="5"/>
    <n v="3"/>
    <s v="입"/>
    <x v="163"/>
    <n v="3"/>
    <n v="5000"/>
    <n v="15000"/>
    <n v="3.95"/>
    <n v="1.58"/>
    <n v="4.74"/>
    <x v="9"/>
    <n v="28605"/>
  </r>
  <r>
    <x v="0"/>
    <d v="2017-07-11T00:00:00"/>
    <x v="164"/>
    <x v="4"/>
    <n v="3"/>
    <s v="입"/>
    <x v="164"/>
    <n v="3"/>
    <n v="5000"/>
    <n v="15000"/>
    <n v="3.95"/>
    <n v="1.58"/>
    <n v="4.74"/>
    <x v="9"/>
    <n v="28605"/>
  </r>
  <r>
    <x v="0"/>
    <d v="2017-07-11T00:00:00"/>
    <x v="164"/>
    <x v="5"/>
    <n v="3"/>
    <s v="입"/>
    <x v="164"/>
    <n v="3"/>
    <n v="5000"/>
    <n v="15000"/>
    <n v="3.95"/>
    <n v="1.58"/>
    <n v="4.74"/>
    <x v="9"/>
    <n v="28605"/>
  </r>
  <r>
    <x v="0"/>
    <d v="2017-07-11T00:00:00"/>
    <x v="165"/>
    <x v="4"/>
    <n v="3"/>
    <s v="입"/>
    <x v="165"/>
    <n v="3"/>
    <n v="5000"/>
    <n v="15000"/>
    <n v="3.95"/>
    <n v="1.58"/>
    <n v="4.74"/>
    <x v="9"/>
    <n v="28605"/>
  </r>
  <r>
    <x v="0"/>
    <d v="2017-07-11T00:00:00"/>
    <x v="165"/>
    <x v="5"/>
    <n v="3"/>
    <s v="입"/>
    <x v="165"/>
    <n v="3"/>
    <n v="5000"/>
    <n v="15000"/>
    <n v="3.95"/>
    <n v="1.58"/>
    <n v="4.74"/>
    <x v="9"/>
    <n v="28605"/>
  </r>
  <r>
    <x v="0"/>
    <d v="2017-07-11T00:00:00"/>
    <x v="166"/>
    <x v="4"/>
    <n v="3"/>
    <s v="입"/>
    <x v="166"/>
    <n v="3"/>
    <n v="5000"/>
    <n v="15000"/>
    <n v="3.95"/>
    <n v="1.58"/>
    <n v="4.74"/>
    <x v="9"/>
    <n v="28605"/>
  </r>
  <r>
    <x v="0"/>
    <d v="2017-07-11T00:00:00"/>
    <x v="166"/>
    <x v="5"/>
    <n v="3"/>
    <s v="입"/>
    <x v="166"/>
    <n v="3"/>
    <n v="5000"/>
    <n v="15000"/>
    <n v="3.95"/>
    <n v="1.58"/>
    <n v="4.74"/>
    <x v="9"/>
    <n v="28605"/>
  </r>
  <r>
    <x v="0"/>
    <d v="2017-07-11T00:00:00"/>
    <x v="167"/>
    <x v="4"/>
    <n v="3"/>
    <s v="입"/>
    <x v="167"/>
    <n v="3"/>
    <n v="5000"/>
    <n v="15000"/>
    <n v="3.95"/>
    <n v="1.58"/>
    <n v="4.74"/>
    <x v="9"/>
    <n v="28605"/>
  </r>
  <r>
    <x v="0"/>
    <d v="2017-07-11T00:00:00"/>
    <x v="167"/>
    <x v="5"/>
    <n v="3"/>
    <s v="입"/>
    <x v="167"/>
    <n v="3"/>
    <n v="5000"/>
    <n v="15000"/>
    <n v="3.95"/>
    <n v="1.58"/>
    <n v="4.74"/>
    <x v="9"/>
    <n v="28605"/>
  </r>
  <r>
    <x v="0"/>
    <d v="2017-07-11T00:00:00"/>
    <x v="168"/>
    <x v="4"/>
    <n v="3"/>
    <s v="입"/>
    <x v="168"/>
    <n v="3"/>
    <n v="5000"/>
    <n v="15000"/>
    <n v="3.95"/>
    <n v="1.58"/>
    <n v="4.74"/>
    <x v="9"/>
    <n v="28605"/>
  </r>
  <r>
    <x v="0"/>
    <d v="2017-07-11T00:00:00"/>
    <x v="168"/>
    <x v="5"/>
    <n v="3"/>
    <s v="입"/>
    <x v="168"/>
    <n v="3"/>
    <n v="5000"/>
    <n v="15000"/>
    <n v="3.95"/>
    <n v="1.58"/>
    <n v="4.74"/>
    <x v="9"/>
    <n v="28605"/>
  </r>
  <r>
    <x v="0"/>
    <d v="2017-07-11T00:00:00"/>
    <x v="169"/>
    <x v="4"/>
    <n v="3"/>
    <s v="입"/>
    <x v="169"/>
    <n v="3"/>
    <n v="5000"/>
    <n v="15000"/>
    <n v="3.95"/>
    <n v="1.58"/>
    <n v="4.74"/>
    <x v="9"/>
    <n v="28605"/>
  </r>
  <r>
    <x v="0"/>
    <d v="2017-07-11T00:00:00"/>
    <x v="169"/>
    <x v="5"/>
    <n v="3"/>
    <s v="입"/>
    <x v="169"/>
    <n v="3"/>
    <n v="5000"/>
    <n v="15000"/>
    <n v="3.95"/>
    <n v="1.58"/>
    <n v="4.74"/>
    <x v="9"/>
    <n v="28605"/>
  </r>
  <r>
    <x v="0"/>
    <d v="2017-07-11T00:00:00"/>
    <x v="170"/>
    <x v="4"/>
    <n v="3"/>
    <s v="입"/>
    <x v="170"/>
    <n v="3"/>
    <n v="5000"/>
    <n v="15000"/>
    <n v="3.95"/>
    <n v="1.58"/>
    <n v="4.74"/>
    <x v="9"/>
    <n v="28605"/>
  </r>
  <r>
    <x v="0"/>
    <d v="2017-07-11T00:00:00"/>
    <x v="170"/>
    <x v="5"/>
    <n v="3"/>
    <s v="입"/>
    <x v="170"/>
    <n v="3"/>
    <n v="5000"/>
    <n v="15000"/>
    <n v="3.95"/>
    <n v="1.58"/>
    <n v="4.74"/>
    <x v="9"/>
    <n v="28605"/>
  </r>
  <r>
    <x v="0"/>
    <d v="2017-07-11T00:00:00"/>
    <x v="171"/>
    <x v="4"/>
    <n v="3"/>
    <s v="입"/>
    <x v="171"/>
    <n v="3"/>
    <n v="5000"/>
    <n v="15000"/>
    <n v="3.95"/>
    <n v="1.58"/>
    <n v="4.74"/>
    <x v="9"/>
    <n v="28605"/>
  </r>
  <r>
    <x v="0"/>
    <d v="2017-07-11T00:00:00"/>
    <x v="171"/>
    <x v="5"/>
    <n v="3"/>
    <s v="입"/>
    <x v="171"/>
    <n v="3"/>
    <n v="5000"/>
    <n v="15000"/>
    <n v="3.95"/>
    <n v="1.58"/>
    <n v="4.74"/>
    <x v="9"/>
    <n v="28605"/>
  </r>
  <r>
    <x v="0"/>
    <d v="2017-07-11T00:00:00"/>
    <x v="172"/>
    <x v="3"/>
    <n v="3"/>
    <s v="입"/>
    <x v="172"/>
    <n v="3"/>
    <n v="7000"/>
    <n v="21000"/>
    <n v="5.95"/>
    <n v="2.3800000000000003"/>
    <n v="7.1400000000000006"/>
    <x v="10"/>
    <n v="28605"/>
  </r>
  <r>
    <x v="0"/>
    <d v="2017-07-11T00:00:00"/>
    <x v="172"/>
    <x v="4"/>
    <n v="3"/>
    <s v="입"/>
    <x v="172"/>
    <n v="3"/>
    <n v="7000"/>
    <n v="21000"/>
    <n v="5.95"/>
    <n v="2.3800000000000003"/>
    <n v="7.1400000000000006"/>
    <x v="10"/>
    <n v="28605"/>
  </r>
  <r>
    <x v="0"/>
    <d v="2017-07-11T00:00:00"/>
    <x v="172"/>
    <x v="5"/>
    <n v="3"/>
    <s v="입"/>
    <x v="172"/>
    <n v="3"/>
    <n v="7000"/>
    <n v="21000"/>
    <n v="5.95"/>
    <n v="2.3800000000000003"/>
    <n v="7.1400000000000006"/>
    <x v="10"/>
    <n v="28605"/>
  </r>
  <r>
    <x v="0"/>
    <d v="2017-07-11T00:00:00"/>
    <x v="172"/>
    <x v="6"/>
    <n v="1"/>
    <s v="입"/>
    <x v="172"/>
    <n v="1"/>
    <n v="7000"/>
    <n v="7000"/>
    <n v="5.95"/>
    <n v="2.3800000000000003"/>
    <n v="2.3800000000000003"/>
    <x v="10"/>
    <n v="28605"/>
  </r>
  <r>
    <x v="0"/>
    <d v="2017-07-11T00:00:00"/>
    <x v="173"/>
    <x v="3"/>
    <n v="3"/>
    <s v="입"/>
    <x v="173"/>
    <n v="3"/>
    <n v="7000"/>
    <n v="21000"/>
    <n v="5.95"/>
    <n v="2.3800000000000003"/>
    <n v="7.1400000000000006"/>
    <x v="10"/>
    <n v="28605"/>
  </r>
  <r>
    <x v="0"/>
    <d v="2017-07-11T00:00:00"/>
    <x v="173"/>
    <x v="4"/>
    <n v="3"/>
    <s v="입"/>
    <x v="173"/>
    <n v="3"/>
    <n v="7000"/>
    <n v="21000"/>
    <n v="5.95"/>
    <n v="2.3800000000000003"/>
    <n v="7.1400000000000006"/>
    <x v="10"/>
    <n v="28605"/>
  </r>
  <r>
    <x v="0"/>
    <d v="2017-07-11T00:00:00"/>
    <x v="173"/>
    <x v="5"/>
    <n v="3"/>
    <s v="입"/>
    <x v="173"/>
    <n v="3"/>
    <n v="7000"/>
    <n v="21000"/>
    <n v="5.95"/>
    <n v="2.3800000000000003"/>
    <n v="7.1400000000000006"/>
    <x v="10"/>
    <n v="28605"/>
  </r>
  <r>
    <x v="0"/>
    <d v="2017-07-11T00:00:00"/>
    <x v="173"/>
    <x v="6"/>
    <n v="1"/>
    <s v="입"/>
    <x v="173"/>
    <n v="1"/>
    <n v="7000"/>
    <n v="7000"/>
    <n v="5.95"/>
    <n v="2.3800000000000003"/>
    <n v="2.3800000000000003"/>
    <x v="10"/>
    <n v="28605"/>
  </r>
  <r>
    <x v="0"/>
    <d v="2017-07-11T00:00:00"/>
    <x v="174"/>
    <x v="3"/>
    <n v="3"/>
    <s v="입"/>
    <x v="174"/>
    <n v="3"/>
    <n v="7000"/>
    <n v="21000"/>
    <n v="5.95"/>
    <n v="2.3800000000000003"/>
    <n v="7.1400000000000006"/>
    <x v="10"/>
    <n v="28605"/>
  </r>
  <r>
    <x v="0"/>
    <d v="2017-07-11T00:00:00"/>
    <x v="174"/>
    <x v="4"/>
    <n v="3"/>
    <s v="입"/>
    <x v="174"/>
    <n v="3"/>
    <n v="7000"/>
    <n v="21000"/>
    <n v="5.95"/>
    <n v="2.3800000000000003"/>
    <n v="7.1400000000000006"/>
    <x v="10"/>
    <n v="28605"/>
  </r>
  <r>
    <x v="0"/>
    <d v="2017-07-11T00:00:00"/>
    <x v="174"/>
    <x v="5"/>
    <n v="3"/>
    <s v="입"/>
    <x v="174"/>
    <n v="3"/>
    <n v="7000"/>
    <n v="21000"/>
    <n v="5.95"/>
    <n v="2.3800000000000003"/>
    <n v="7.1400000000000006"/>
    <x v="10"/>
    <n v="28605"/>
  </r>
  <r>
    <x v="0"/>
    <d v="2017-07-11T00:00:00"/>
    <x v="174"/>
    <x v="6"/>
    <n v="1"/>
    <s v="입"/>
    <x v="174"/>
    <n v="1"/>
    <n v="7000"/>
    <n v="7000"/>
    <n v="5.95"/>
    <n v="2.3800000000000003"/>
    <n v="2.3800000000000003"/>
    <x v="10"/>
    <n v="28605"/>
  </r>
  <r>
    <x v="0"/>
    <d v="2017-07-11T00:00:00"/>
    <x v="175"/>
    <x v="3"/>
    <n v="3"/>
    <s v="입"/>
    <x v="175"/>
    <n v="3"/>
    <n v="7000"/>
    <n v="21000"/>
    <n v="5.95"/>
    <n v="2.3800000000000003"/>
    <n v="7.1400000000000006"/>
    <x v="10"/>
    <n v="28605"/>
  </r>
  <r>
    <x v="0"/>
    <d v="2017-07-11T00:00:00"/>
    <x v="175"/>
    <x v="4"/>
    <n v="3"/>
    <s v="입"/>
    <x v="175"/>
    <n v="3"/>
    <n v="7000"/>
    <n v="21000"/>
    <n v="5.95"/>
    <n v="2.3800000000000003"/>
    <n v="7.1400000000000006"/>
    <x v="10"/>
    <n v="28605"/>
  </r>
  <r>
    <x v="0"/>
    <d v="2017-07-11T00:00:00"/>
    <x v="175"/>
    <x v="5"/>
    <n v="3"/>
    <s v="입"/>
    <x v="175"/>
    <n v="3"/>
    <n v="7000"/>
    <n v="21000"/>
    <n v="5.95"/>
    <n v="2.3800000000000003"/>
    <n v="7.1400000000000006"/>
    <x v="10"/>
    <n v="28605"/>
  </r>
  <r>
    <x v="0"/>
    <d v="2017-07-11T00:00:00"/>
    <x v="175"/>
    <x v="6"/>
    <n v="1"/>
    <s v="입"/>
    <x v="175"/>
    <n v="1"/>
    <n v="7000"/>
    <n v="7000"/>
    <n v="5.95"/>
    <n v="2.3800000000000003"/>
    <n v="2.3800000000000003"/>
    <x v="10"/>
    <n v="28605"/>
  </r>
  <r>
    <x v="0"/>
    <d v="2017-07-11T00:00:00"/>
    <x v="176"/>
    <x v="3"/>
    <n v="3"/>
    <s v="입"/>
    <x v="176"/>
    <n v="3"/>
    <n v="7000"/>
    <n v="21000"/>
    <n v="5.95"/>
    <n v="2.3800000000000003"/>
    <n v="7.1400000000000006"/>
    <x v="10"/>
    <n v="28605"/>
  </r>
  <r>
    <x v="0"/>
    <d v="2017-07-11T00:00:00"/>
    <x v="176"/>
    <x v="4"/>
    <n v="3"/>
    <s v="입"/>
    <x v="176"/>
    <n v="3"/>
    <n v="7000"/>
    <n v="21000"/>
    <n v="5.95"/>
    <n v="2.3800000000000003"/>
    <n v="7.1400000000000006"/>
    <x v="10"/>
    <n v="28605"/>
  </r>
  <r>
    <x v="0"/>
    <d v="2017-07-11T00:00:00"/>
    <x v="176"/>
    <x v="5"/>
    <n v="3"/>
    <s v="입"/>
    <x v="176"/>
    <n v="3"/>
    <n v="7000"/>
    <n v="21000"/>
    <n v="5.95"/>
    <n v="2.3800000000000003"/>
    <n v="7.1400000000000006"/>
    <x v="10"/>
    <n v="28605"/>
  </r>
  <r>
    <x v="0"/>
    <d v="2017-07-11T00:00:00"/>
    <x v="176"/>
    <x v="6"/>
    <n v="1"/>
    <s v="입"/>
    <x v="176"/>
    <n v="1"/>
    <n v="7000"/>
    <n v="7000"/>
    <n v="5.95"/>
    <n v="2.3800000000000003"/>
    <n v="2.3800000000000003"/>
    <x v="10"/>
    <n v="28605"/>
  </r>
  <r>
    <x v="0"/>
    <d v="2017-07-11T00:00:00"/>
    <x v="177"/>
    <x v="3"/>
    <n v="3"/>
    <s v="입"/>
    <x v="177"/>
    <n v="3"/>
    <n v="7000"/>
    <n v="21000"/>
    <n v="5.95"/>
    <n v="2.3800000000000003"/>
    <n v="7.1400000000000006"/>
    <x v="10"/>
    <n v="28605"/>
  </r>
  <r>
    <x v="0"/>
    <d v="2017-07-11T00:00:00"/>
    <x v="177"/>
    <x v="4"/>
    <n v="3"/>
    <s v="입"/>
    <x v="177"/>
    <n v="3"/>
    <n v="7000"/>
    <n v="21000"/>
    <n v="5.95"/>
    <n v="2.3800000000000003"/>
    <n v="7.1400000000000006"/>
    <x v="10"/>
    <n v="28605"/>
  </r>
  <r>
    <x v="0"/>
    <d v="2017-07-11T00:00:00"/>
    <x v="177"/>
    <x v="5"/>
    <n v="3"/>
    <s v="입"/>
    <x v="177"/>
    <n v="3"/>
    <n v="7000"/>
    <n v="21000"/>
    <n v="5.95"/>
    <n v="2.3800000000000003"/>
    <n v="7.1400000000000006"/>
    <x v="10"/>
    <n v="28605"/>
  </r>
  <r>
    <x v="0"/>
    <d v="2017-07-11T00:00:00"/>
    <x v="177"/>
    <x v="6"/>
    <n v="1"/>
    <s v="입"/>
    <x v="177"/>
    <n v="1"/>
    <n v="7000"/>
    <n v="7000"/>
    <n v="5.95"/>
    <n v="2.3800000000000003"/>
    <n v="2.3800000000000003"/>
    <x v="10"/>
    <n v="28605"/>
  </r>
  <r>
    <x v="0"/>
    <d v="2017-07-11T00:00:00"/>
    <x v="178"/>
    <x v="3"/>
    <n v="3"/>
    <s v="입"/>
    <x v="178"/>
    <n v="3"/>
    <n v="7000"/>
    <n v="21000"/>
    <n v="5.95"/>
    <n v="2.3800000000000003"/>
    <n v="7.1400000000000006"/>
    <x v="10"/>
    <n v="28605"/>
  </r>
  <r>
    <x v="0"/>
    <d v="2017-07-11T00:00:00"/>
    <x v="178"/>
    <x v="4"/>
    <n v="3"/>
    <s v="입"/>
    <x v="178"/>
    <n v="3"/>
    <n v="7000"/>
    <n v="21000"/>
    <n v="5.95"/>
    <n v="2.3800000000000003"/>
    <n v="7.1400000000000006"/>
    <x v="10"/>
    <n v="28605"/>
  </r>
  <r>
    <x v="0"/>
    <d v="2017-07-11T00:00:00"/>
    <x v="178"/>
    <x v="5"/>
    <n v="3"/>
    <s v="입"/>
    <x v="178"/>
    <n v="3"/>
    <n v="7000"/>
    <n v="21000"/>
    <n v="5.95"/>
    <n v="2.3800000000000003"/>
    <n v="7.1400000000000006"/>
    <x v="10"/>
    <n v="28605"/>
  </r>
  <r>
    <x v="0"/>
    <d v="2017-07-11T00:00:00"/>
    <x v="178"/>
    <x v="6"/>
    <n v="1"/>
    <s v="입"/>
    <x v="178"/>
    <n v="1"/>
    <n v="7000"/>
    <n v="7000"/>
    <n v="5.95"/>
    <n v="2.3800000000000003"/>
    <n v="2.3800000000000003"/>
    <x v="10"/>
    <n v="28605"/>
  </r>
  <r>
    <x v="0"/>
    <d v="2017-07-11T00:00:00"/>
    <x v="179"/>
    <x v="3"/>
    <n v="3"/>
    <s v="입"/>
    <x v="179"/>
    <n v="3"/>
    <n v="7000"/>
    <n v="21000"/>
    <n v="5.95"/>
    <n v="2.3800000000000003"/>
    <n v="7.1400000000000006"/>
    <x v="10"/>
    <n v="28605"/>
  </r>
  <r>
    <x v="0"/>
    <d v="2017-07-11T00:00:00"/>
    <x v="179"/>
    <x v="4"/>
    <n v="3"/>
    <s v="입"/>
    <x v="179"/>
    <n v="3"/>
    <n v="7000"/>
    <n v="21000"/>
    <n v="5.95"/>
    <n v="2.3800000000000003"/>
    <n v="7.1400000000000006"/>
    <x v="10"/>
    <n v="28605"/>
  </r>
  <r>
    <x v="0"/>
    <d v="2017-07-11T00:00:00"/>
    <x v="179"/>
    <x v="5"/>
    <n v="3"/>
    <s v="입"/>
    <x v="179"/>
    <n v="3"/>
    <n v="7000"/>
    <n v="21000"/>
    <n v="5.95"/>
    <n v="2.3800000000000003"/>
    <n v="7.1400000000000006"/>
    <x v="10"/>
    <n v="28605"/>
  </r>
  <r>
    <x v="0"/>
    <d v="2017-07-11T00:00:00"/>
    <x v="179"/>
    <x v="6"/>
    <n v="1"/>
    <s v="입"/>
    <x v="179"/>
    <n v="1"/>
    <n v="7000"/>
    <n v="7000"/>
    <n v="5.95"/>
    <n v="2.3800000000000003"/>
    <n v="2.3800000000000003"/>
    <x v="10"/>
    <n v="28605"/>
  </r>
  <r>
    <x v="0"/>
    <d v="2017-07-11T00:00:00"/>
    <x v="180"/>
    <x v="3"/>
    <n v="3"/>
    <s v="입"/>
    <x v="180"/>
    <n v="3"/>
    <n v="6000"/>
    <n v="18000"/>
    <n v="4.95"/>
    <n v="1.9800000000000002"/>
    <n v="5.94"/>
    <x v="11"/>
    <n v="28605"/>
  </r>
  <r>
    <x v="0"/>
    <d v="2017-07-11T00:00:00"/>
    <x v="180"/>
    <x v="4"/>
    <n v="3"/>
    <s v="입"/>
    <x v="180"/>
    <n v="3"/>
    <n v="6000"/>
    <n v="18000"/>
    <n v="4.95"/>
    <n v="1.9800000000000002"/>
    <n v="5.94"/>
    <x v="11"/>
    <n v="28605"/>
  </r>
  <r>
    <x v="0"/>
    <d v="2017-07-11T00:00:00"/>
    <x v="181"/>
    <x v="3"/>
    <n v="3"/>
    <s v="입"/>
    <x v="181"/>
    <n v="3"/>
    <n v="6000"/>
    <n v="18000"/>
    <n v="4.95"/>
    <n v="1.9800000000000002"/>
    <n v="5.94"/>
    <x v="11"/>
    <n v="28605"/>
  </r>
  <r>
    <x v="0"/>
    <d v="2017-07-11T00:00:00"/>
    <x v="181"/>
    <x v="4"/>
    <n v="3"/>
    <s v="입"/>
    <x v="181"/>
    <n v="3"/>
    <n v="6000"/>
    <n v="18000"/>
    <n v="4.95"/>
    <n v="1.9800000000000002"/>
    <n v="5.94"/>
    <x v="11"/>
    <n v="28605"/>
  </r>
  <r>
    <x v="0"/>
    <d v="2017-07-11T00:00:00"/>
    <x v="182"/>
    <x v="3"/>
    <n v="3"/>
    <s v="입"/>
    <x v="182"/>
    <n v="3"/>
    <n v="6000"/>
    <n v="18000"/>
    <n v="4.95"/>
    <n v="1.9800000000000002"/>
    <n v="5.94"/>
    <x v="11"/>
    <n v="28605"/>
  </r>
  <r>
    <x v="0"/>
    <d v="2017-07-11T00:00:00"/>
    <x v="182"/>
    <x v="4"/>
    <n v="3"/>
    <s v="입"/>
    <x v="182"/>
    <n v="3"/>
    <n v="6000"/>
    <n v="18000"/>
    <n v="4.95"/>
    <n v="1.9800000000000002"/>
    <n v="5.94"/>
    <x v="11"/>
    <n v="28605"/>
  </r>
  <r>
    <x v="0"/>
    <d v="2017-07-11T00:00:00"/>
    <x v="183"/>
    <x v="3"/>
    <n v="3"/>
    <s v="입"/>
    <x v="183"/>
    <n v="3"/>
    <n v="6000"/>
    <n v="18000"/>
    <n v="4.95"/>
    <n v="1.9800000000000002"/>
    <n v="5.94"/>
    <x v="11"/>
    <n v="28605"/>
  </r>
  <r>
    <x v="0"/>
    <d v="2017-07-11T00:00:00"/>
    <x v="183"/>
    <x v="4"/>
    <n v="3"/>
    <s v="입"/>
    <x v="183"/>
    <n v="3"/>
    <n v="6000"/>
    <n v="18000"/>
    <n v="4.95"/>
    <n v="1.9800000000000002"/>
    <n v="5.94"/>
    <x v="11"/>
    <n v="28605"/>
  </r>
  <r>
    <x v="0"/>
    <d v="2017-07-11T00:00:00"/>
    <x v="184"/>
    <x v="3"/>
    <n v="3"/>
    <s v="입"/>
    <x v="184"/>
    <n v="3"/>
    <n v="6000"/>
    <n v="18000"/>
    <n v="4.95"/>
    <n v="1.9800000000000002"/>
    <n v="5.94"/>
    <x v="11"/>
    <n v="28605"/>
  </r>
  <r>
    <x v="0"/>
    <d v="2017-07-11T00:00:00"/>
    <x v="184"/>
    <x v="4"/>
    <n v="3"/>
    <s v="입"/>
    <x v="184"/>
    <n v="3"/>
    <n v="6000"/>
    <n v="18000"/>
    <n v="4.95"/>
    <n v="1.9800000000000002"/>
    <n v="5.94"/>
    <x v="11"/>
    <n v="28605"/>
  </r>
  <r>
    <x v="0"/>
    <d v="2017-07-11T00:00:00"/>
    <x v="185"/>
    <x v="3"/>
    <n v="3"/>
    <s v="입"/>
    <x v="185"/>
    <n v="3"/>
    <n v="6000"/>
    <n v="18000"/>
    <n v="4.95"/>
    <n v="1.9800000000000002"/>
    <n v="5.94"/>
    <x v="11"/>
    <n v="28605"/>
  </r>
  <r>
    <x v="0"/>
    <d v="2017-07-11T00:00:00"/>
    <x v="185"/>
    <x v="4"/>
    <n v="3"/>
    <s v="입"/>
    <x v="185"/>
    <n v="3"/>
    <n v="6000"/>
    <n v="18000"/>
    <n v="4.95"/>
    <n v="1.9800000000000002"/>
    <n v="5.94"/>
    <x v="11"/>
    <n v="28605"/>
  </r>
  <r>
    <x v="0"/>
    <d v="2017-07-11T00:00:00"/>
    <x v="186"/>
    <x v="3"/>
    <n v="3"/>
    <s v="입"/>
    <x v="186"/>
    <n v="3"/>
    <n v="6000"/>
    <n v="18000"/>
    <n v="4.95"/>
    <n v="1.9800000000000002"/>
    <n v="5.94"/>
    <x v="11"/>
    <n v="28605"/>
  </r>
  <r>
    <x v="0"/>
    <d v="2017-07-11T00:00:00"/>
    <x v="186"/>
    <x v="4"/>
    <n v="3"/>
    <s v="입"/>
    <x v="186"/>
    <n v="3"/>
    <n v="6000"/>
    <n v="18000"/>
    <n v="4.95"/>
    <n v="1.9800000000000002"/>
    <n v="5.94"/>
    <x v="11"/>
    <n v="28605"/>
  </r>
  <r>
    <x v="0"/>
    <d v="2017-07-11T00:00:00"/>
    <x v="187"/>
    <x v="3"/>
    <n v="3"/>
    <s v="입"/>
    <x v="187"/>
    <n v="3"/>
    <n v="6000"/>
    <n v="18000"/>
    <n v="4.95"/>
    <n v="1.9800000000000002"/>
    <n v="5.94"/>
    <x v="11"/>
    <n v="28605"/>
  </r>
  <r>
    <x v="0"/>
    <d v="2017-07-11T00:00:00"/>
    <x v="187"/>
    <x v="4"/>
    <n v="3"/>
    <s v="입"/>
    <x v="187"/>
    <n v="3"/>
    <n v="6000"/>
    <n v="18000"/>
    <n v="4.95"/>
    <n v="1.9800000000000002"/>
    <n v="5.94"/>
    <x v="11"/>
    <n v="28605"/>
  </r>
  <r>
    <x v="0"/>
    <d v="2017-07-11T00:00:00"/>
    <x v="188"/>
    <x v="3"/>
    <n v="3"/>
    <s v="입"/>
    <x v="188"/>
    <n v="3"/>
    <n v="6000"/>
    <n v="18000"/>
    <n v="4.95"/>
    <n v="1.9800000000000002"/>
    <n v="5.94"/>
    <x v="11"/>
    <n v="28605"/>
  </r>
  <r>
    <x v="0"/>
    <d v="2017-07-11T00:00:00"/>
    <x v="188"/>
    <x v="4"/>
    <n v="3"/>
    <s v="입"/>
    <x v="188"/>
    <n v="3"/>
    <n v="6000"/>
    <n v="18000"/>
    <n v="4.95"/>
    <n v="1.9800000000000002"/>
    <n v="5.94"/>
    <x v="11"/>
    <n v="28605"/>
  </r>
  <r>
    <x v="0"/>
    <d v="2017-07-11T00:00:00"/>
    <x v="189"/>
    <x v="3"/>
    <n v="3"/>
    <s v="입"/>
    <x v="189"/>
    <n v="3"/>
    <n v="6000"/>
    <n v="18000"/>
    <n v="4.95"/>
    <n v="1.9800000000000002"/>
    <n v="5.94"/>
    <x v="11"/>
    <n v="28605"/>
  </r>
  <r>
    <x v="0"/>
    <d v="2017-07-11T00:00:00"/>
    <x v="189"/>
    <x v="4"/>
    <n v="3"/>
    <s v="입"/>
    <x v="189"/>
    <n v="3"/>
    <n v="6000"/>
    <n v="18000"/>
    <n v="4.95"/>
    <n v="1.9800000000000002"/>
    <n v="5.94"/>
    <x v="11"/>
    <n v="28605"/>
  </r>
  <r>
    <x v="0"/>
    <d v="2017-07-11T00:00:00"/>
    <x v="190"/>
    <x v="3"/>
    <n v="6"/>
    <s v="입"/>
    <x v="190"/>
    <n v="6"/>
    <n v="8000"/>
    <n v="48000"/>
    <n v="6.95"/>
    <n v="2.7800000000000002"/>
    <n v="16.68"/>
    <x v="12"/>
    <n v="28605"/>
  </r>
  <r>
    <x v="0"/>
    <d v="2017-07-11T00:00:00"/>
    <x v="190"/>
    <x v="4"/>
    <n v="3"/>
    <s v="입"/>
    <x v="190"/>
    <n v="3"/>
    <n v="8000"/>
    <n v="24000"/>
    <n v="6.95"/>
    <n v="2.7800000000000002"/>
    <n v="8.34"/>
    <x v="12"/>
    <n v="28605"/>
  </r>
  <r>
    <x v="1"/>
    <d v="2017-08-24T00:00:00"/>
    <x v="3"/>
    <x v="0"/>
    <n v="1"/>
    <s v="출"/>
    <x v="3"/>
    <n v="-1"/>
    <n v="7000"/>
    <n v="7000"/>
    <n v="5.95"/>
    <n v="2.3800000000000003"/>
    <n v="2.3800000000000003"/>
    <x v="0"/>
    <m/>
  </r>
  <r>
    <x v="1"/>
    <d v="2017-08-24T00:00:00"/>
    <x v="122"/>
    <x v="4"/>
    <n v="1"/>
    <s v="출"/>
    <x v="122"/>
    <n v="-1"/>
    <n v="7000"/>
    <n v="7000"/>
    <n v="5.95"/>
    <n v="2.3800000000000003"/>
    <n v="2.3800000000000003"/>
    <x v="5"/>
    <m/>
  </r>
  <r>
    <x v="1"/>
    <d v="2017-08-24T00:00:00"/>
    <x v="117"/>
    <x v="4"/>
    <n v="1"/>
    <s v="출"/>
    <x v="117"/>
    <n v="-1"/>
    <n v="7000"/>
    <n v="7000"/>
    <n v="5.95"/>
    <n v="2.3800000000000003"/>
    <n v="2.3800000000000003"/>
    <x v="5"/>
    <m/>
  </r>
  <r>
    <x v="1"/>
    <d v="2017-08-27T00:00:00"/>
    <x v="142"/>
    <x v="5"/>
    <n v="1"/>
    <s v="출"/>
    <x v="142"/>
    <n v="-1"/>
    <n v="25000"/>
    <n v="25000"/>
    <n v="19.95"/>
    <n v="7.98"/>
    <n v="7.98"/>
    <x v="7"/>
    <m/>
  </r>
  <r>
    <x v="1"/>
    <d v="2017-08-31T00:00:00"/>
    <x v="65"/>
    <x v="5"/>
    <n v="1"/>
    <s v="출"/>
    <x v="65"/>
    <n v="-1"/>
    <n v="6000"/>
    <n v="6000"/>
    <n v="4.95"/>
    <n v="1.9800000000000002"/>
    <n v="1.9800000000000002"/>
    <x v="3"/>
    <m/>
  </r>
  <r>
    <x v="2"/>
    <d v="2017-09-04T00:00:00"/>
    <x v="142"/>
    <x v="4"/>
    <n v="1"/>
    <s v="출"/>
    <x v="142"/>
    <n v="-1"/>
    <n v="25000"/>
    <n v="25000"/>
    <n v="19.95"/>
    <n v="7.98"/>
    <n v="7.98"/>
    <x v="7"/>
    <m/>
  </r>
  <r>
    <x v="2"/>
    <d v="2017-09-06T00:00:00"/>
    <x v="83"/>
    <x v="3"/>
    <n v="1"/>
    <s v="출"/>
    <x v="83"/>
    <n v="-1"/>
    <n v="6000"/>
    <n v="6000"/>
    <n v="4.95"/>
    <n v="1.9800000000000002"/>
    <n v="1.9800000000000002"/>
    <x v="3"/>
    <m/>
  </r>
  <r>
    <x v="2"/>
    <d v="2017-09-07T00:00:00"/>
    <x v="162"/>
    <x v="5"/>
    <n v="2"/>
    <s v="출"/>
    <x v="162"/>
    <n v="-2"/>
    <n v="5000"/>
    <n v="10000"/>
    <n v="3.95"/>
    <n v="1.58"/>
    <n v="3.16"/>
    <x v="9"/>
    <m/>
  </r>
  <r>
    <x v="2"/>
    <d v="2017-09-07T00:00:00"/>
    <x v="190"/>
    <x v="3"/>
    <n v="1"/>
    <s v="출"/>
    <x v="190"/>
    <n v="-1"/>
    <n v="8000"/>
    <n v="8000"/>
    <n v="6.95"/>
    <n v="2.7800000000000002"/>
    <n v="2.7800000000000002"/>
    <x v="12"/>
    <m/>
  </r>
  <r>
    <x v="2"/>
    <d v="2017-09-07T00:00:00"/>
    <x v="64"/>
    <x v="4"/>
    <n v="1"/>
    <s v="출"/>
    <x v="64"/>
    <n v="-1"/>
    <n v="6000"/>
    <n v="6000"/>
    <n v="4.95"/>
    <n v="1.9800000000000002"/>
    <n v="1.9800000000000002"/>
    <x v="3"/>
    <m/>
  </r>
  <r>
    <x v="2"/>
    <d v="2017-09-01T00:00:00"/>
    <x v="115"/>
    <x v="3"/>
    <n v="2"/>
    <s v="입"/>
    <x v="115"/>
    <n v="2"/>
    <n v="7000"/>
    <n v="14000"/>
    <n v="5.95"/>
    <n v="2.3800000000000003"/>
    <n v="4.7600000000000007"/>
    <x v="5"/>
    <m/>
  </r>
  <r>
    <x v="2"/>
    <d v="2017-09-01T00:00:00"/>
    <x v="117"/>
    <x v="4"/>
    <n v="2"/>
    <s v="입"/>
    <x v="117"/>
    <n v="2"/>
    <n v="7000"/>
    <n v="14000"/>
    <n v="5.95"/>
    <n v="2.3800000000000003"/>
    <n v="4.7600000000000007"/>
    <x v="5"/>
    <m/>
  </r>
  <r>
    <x v="2"/>
    <d v="2017-09-01T00:00:00"/>
    <x v="3"/>
    <x v="0"/>
    <n v="2"/>
    <s v="입"/>
    <x v="3"/>
    <n v="2"/>
    <n v="7000"/>
    <n v="14000"/>
    <n v="5.95"/>
    <n v="2.3800000000000003"/>
    <n v="4.7600000000000007"/>
    <x v="0"/>
    <m/>
  </r>
  <r>
    <x v="2"/>
    <d v="2017-09-01T00:00:00"/>
    <x v="142"/>
    <x v="1"/>
    <n v="1"/>
    <s v="입"/>
    <x v="142"/>
    <n v="1"/>
    <n v="25000"/>
    <n v="25000"/>
    <n v="19.95"/>
    <n v="7.98"/>
    <n v="7.98"/>
    <x v="7"/>
    <m/>
  </r>
  <r>
    <x v="2"/>
    <d v="2017-09-01T00:00:00"/>
    <x v="142"/>
    <x v="3"/>
    <n v="1"/>
    <s v="입"/>
    <x v="142"/>
    <n v="1"/>
    <n v="25000"/>
    <n v="25000"/>
    <n v="19.95"/>
    <n v="7.98"/>
    <n v="7.98"/>
    <x v="7"/>
    <m/>
  </r>
  <r>
    <x v="2"/>
    <d v="2017-09-01T00:00:00"/>
    <x v="142"/>
    <x v="4"/>
    <n v="1"/>
    <s v="입"/>
    <x v="142"/>
    <n v="1"/>
    <n v="25000"/>
    <n v="25000"/>
    <n v="19.95"/>
    <n v="7.98"/>
    <n v="7.98"/>
    <x v="7"/>
    <m/>
  </r>
  <r>
    <x v="2"/>
    <d v="2017-09-01T00:00:00"/>
    <x v="142"/>
    <x v="5"/>
    <n v="1"/>
    <s v="입"/>
    <x v="142"/>
    <n v="1"/>
    <n v="25000"/>
    <n v="25000"/>
    <n v="19.95"/>
    <n v="7.98"/>
    <n v="7.98"/>
    <x v="7"/>
    <m/>
  </r>
  <r>
    <x v="2"/>
    <d v="2017-09-01T00:00:00"/>
    <x v="136"/>
    <x v="1"/>
    <n v="2"/>
    <s v="입"/>
    <x v="136"/>
    <n v="2"/>
    <n v="25000"/>
    <n v="50000"/>
    <n v="19.95"/>
    <n v="7.98"/>
    <n v="15.96"/>
    <x v="7"/>
    <m/>
  </r>
  <r>
    <x v="2"/>
    <d v="2017-09-01T00:00:00"/>
    <x v="136"/>
    <x v="3"/>
    <n v="2"/>
    <s v="입"/>
    <x v="136"/>
    <n v="2"/>
    <n v="25000"/>
    <n v="50000"/>
    <n v="19.95"/>
    <n v="7.98"/>
    <n v="15.96"/>
    <x v="7"/>
    <m/>
  </r>
  <r>
    <x v="2"/>
    <d v="2017-09-01T00:00:00"/>
    <x v="136"/>
    <x v="4"/>
    <n v="2"/>
    <s v="입"/>
    <x v="136"/>
    <n v="2"/>
    <n v="25000"/>
    <n v="50000"/>
    <n v="19.95"/>
    <n v="7.98"/>
    <n v="15.96"/>
    <x v="7"/>
    <m/>
  </r>
  <r>
    <x v="2"/>
    <d v="2017-09-01T00:00:00"/>
    <x v="136"/>
    <x v="5"/>
    <n v="2"/>
    <s v="입"/>
    <x v="136"/>
    <n v="2"/>
    <n v="25000"/>
    <n v="50000"/>
    <n v="19.95"/>
    <n v="7.98"/>
    <n v="15.96"/>
    <x v="7"/>
    <m/>
  </r>
  <r>
    <x v="2"/>
    <d v="2017-09-01T00:00:00"/>
    <x v="191"/>
    <x v="1"/>
    <n v="2"/>
    <s v="입"/>
    <x v="191"/>
    <n v="2"/>
    <n v="11000"/>
    <n v="22000"/>
    <n v="5.95"/>
    <n v="2.3800000000000003"/>
    <n v="4.7600000000000007"/>
    <x v="13"/>
    <m/>
  </r>
  <r>
    <x v="2"/>
    <d v="2017-09-01T00:00:00"/>
    <x v="191"/>
    <x v="2"/>
    <n v="2"/>
    <s v="입"/>
    <x v="191"/>
    <n v="2"/>
    <n v="11000"/>
    <n v="22000"/>
    <n v="5.95"/>
    <n v="2.3800000000000003"/>
    <n v="4.7600000000000007"/>
    <x v="13"/>
    <m/>
  </r>
  <r>
    <x v="2"/>
    <d v="2017-09-01T00:00:00"/>
    <x v="192"/>
    <x v="1"/>
    <n v="2"/>
    <s v="입"/>
    <x v="192"/>
    <n v="2"/>
    <n v="11000"/>
    <n v="22000"/>
    <n v="5.95"/>
    <n v="0"/>
    <n v="0"/>
    <x v="13"/>
    <m/>
  </r>
  <r>
    <x v="2"/>
    <d v="2017-09-01T00:00:00"/>
    <x v="192"/>
    <x v="2"/>
    <n v="2"/>
    <s v="입"/>
    <x v="192"/>
    <n v="2"/>
    <n v="11000"/>
    <n v="22000"/>
    <n v="5.95"/>
    <n v="0"/>
    <n v="0"/>
    <x v="13"/>
    <m/>
  </r>
  <r>
    <x v="2"/>
    <d v="2017-09-01T00:00:00"/>
    <x v="193"/>
    <x v="1"/>
    <n v="2"/>
    <s v="입"/>
    <x v="193"/>
    <n v="2"/>
    <n v="11000"/>
    <n v="22000"/>
    <n v="5.95"/>
    <n v="0"/>
    <n v="0"/>
    <x v="13"/>
    <m/>
  </r>
  <r>
    <x v="2"/>
    <d v="2017-09-01T00:00:00"/>
    <x v="193"/>
    <x v="2"/>
    <n v="2"/>
    <s v="입"/>
    <x v="193"/>
    <n v="2"/>
    <n v="11000"/>
    <n v="22000"/>
    <n v="5.95"/>
    <n v="0"/>
    <n v="0"/>
    <x v="13"/>
    <m/>
  </r>
  <r>
    <x v="2"/>
    <d v="2017-09-01T00:00:00"/>
    <x v="194"/>
    <x v="1"/>
    <n v="2"/>
    <s v="입"/>
    <x v="194"/>
    <n v="2"/>
    <n v="11000"/>
    <n v="22000"/>
    <n v="5.95"/>
    <n v="0"/>
    <n v="0"/>
    <x v="13"/>
    <m/>
  </r>
  <r>
    <x v="2"/>
    <d v="2017-09-01T00:00:00"/>
    <x v="194"/>
    <x v="2"/>
    <n v="2"/>
    <s v="입"/>
    <x v="194"/>
    <n v="2"/>
    <n v="11000"/>
    <n v="22000"/>
    <n v="5.95"/>
    <n v="0"/>
    <n v="0"/>
    <x v="13"/>
    <m/>
  </r>
  <r>
    <x v="2"/>
    <d v="2017-09-01T00:00:00"/>
    <x v="195"/>
    <x v="1"/>
    <n v="2"/>
    <s v="입"/>
    <x v="195"/>
    <n v="2"/>
    <n v="11000"/>
    <n v="22000"/>
    <n v="5.95"/>
    <n v="0"/>
    <n v="0"/>
    <x v="13"/>
    <m/>
  </r>
  <r>
    <x v="2"/>
    <d v="2017-09-01T00:00:00"/>
    <x v="195"/>
    <x v="2"/>
    <n v="2"/>
    <s v="입"/>
    <x v="195"/>
    <n v="2"/>
    <n v="11000"/>
    <n v="22000"/>
    <n v="5.95"/>
    <n v="0"/>
    <n v="0"/>
    <x v="13"/>
    <m/>
  </r>
  <r>
    <x v="3"/>
    <m/>
    <x v="196"/>
    <x v="3"/>
    <n v="2"/>
    <s v="입"/>
    <x v="196"/>
    <n v="2"/>
    <n v="11000"/>
    <n v="22000"/>
    <n v="6.95"/>
    <n v="0"/>
    <n v="0"/>
    <x v="4"/>
    <m/>
  </r>
  <r>
    <x v="3"/>
    <m/>
    <x v="196"/>
    <x v="4"/>
    <n v="2"/>
    <s v="입"/>
    <x v="196"/>
    <n v="2"/>
    <n v="11000"/>
    <n v="22000"/>
    <n v="6.95"/>
    <n v="0"/>
    <n v="0"/>
    <x v="4"/>
    <m/>
  </r>
  <r>
    <x v="3"/>
    <m/>
    <x v="197"/>
    <x v="3"/>
    <n v="2"/>
    <s v="입"/>
    <x v="197"/>
    <n v="2"/>
    <n v="11000"/>
    <n v="22000"/>
    <n v="6.95"/>
    <n v="0"/>
    <n v="0"/>
    <x v="4"/>
    <m/>
  </r>
  <r>
    <x v="3"/>
    <m/>
    <x v="197"/>
    <x v="4"/>
    <n v="2"/>
    <s v="입"/>
    <x v="197"/>
    <n v="2"/>
    <n v="11000"/>
    <n v="22000"/>
    <n v="6.95"/>
    <n v="0"/>
    <n v="0"/>
    <x v="4"/>
    <m/>
  </r>
  <r>
    <x v="3"/>
    <m/>
    <x v="198"/>
    <x v="3"/>
    <n v="2"/>
    <s v="입"/>
    <x v="198"/>
    <n v="2"/>
    <n v="11000"/>
    <n v="22000"/>
    <n v="6.95"/>
    <n v="0"/>
    <n v="0"/>
    <x v="4"/>
    <m/>
  </r>
  <r>
    <x v="3"/>
    <m/>
    <x v="198"/>
    <x v="4"/>
    <n v="2"/>
    <s v="입"/>
    <x v="198"/>
    <n v="2"/>
    <n v="11000"/>
    <n v="22000"/>
    <n v="6.95"/>
    <n v="0"/>
    <n v="0"/>
    <x v="4"/>
    <m/>
  </r>
  <r>
    <x v="3"/>
    <m/>
    <x v="199"/>
    <x v="3"/>
    <n v="2"/>
    <s v="입"/>
    <x v="199"/>
    <n v="2"/>
    <n v="11000"/>
    <n v="22000"/>
    <n v="6.95"/>
    <n v="0"/>
    <n v="0"/>
    <x v="4"/>
    <m/>
  </r>
  <r>
    <x v="3"/>
    <m/>
    <x v="199"/>
    <x v="4"/>
    <n v="2"/>
    <s v="입"/>
    <x v="199"/>
    <n v="2"/>
    <n v="11000"/>
    <n v="22000"/>
    <n v="6.95"/>
    <n v="0"/>
    <n v="0"/>
    <x v="4"/>
    <m/>
  </r>
  <r>
    <x v="3"/>
    <m/>
    <x v="200"/>
    <x v="7"/>
    <m/>
    <m/>
    <x v="200"/>
    <n v="0"/>
    <m/>
    <m/>
    <m/>
    <m/>
    <m/>
    <x v="14"/>
    <m/>
  </r>
  <r>
    <x v="3"/>
    <m/>
    <x v="200"/>
    <x v="7"/>
    <m/>
    <m/>
    <x v="200"/>
    <n v="0"/>
    <m/>
    <m/>
    <m/>
    <m/>
    <m/>
    <x v="14"/>
    <m/>
  </r>
  <r>
    <x v="3"/>
    <m/>
    <x v="200"/>
    <x v="7"/>
    <m/>
    <m/>
    <x v="200"/>
    <n v="0"/>
    <m/>
    <m/>
    <m/>
    <m/>
    <m/>
    <x v="14"/>
    <m/>
  </r>
  <r>
    <x v="3"/>
    <m/>
    <x v="200"/>
    <x v="7"/>
    <m/>
    <m/>
    <x v="200"/>
    <n v="0"/>
    <m/>
    <m/>
    <m/>
    <m/>
    <m/>
    <x v="14"/>
    <m/>
  </r>
  <r>
    <x v="3"/>
    <m/>
    <x v="200"/>
    <x v="7"/>
    <m/>
    <m/>
    <x v="200"/>
    <n v="0"/>
    <m/>
    <m/>
    <m/>
    <m/>
    <m/>
    <x v="14"/>
    <m/>
  </r>
  <r>
    <x v="3"/>
    <m/>
    <x v="200"/>
    <x v="7"/>
    <m/>
    <m/>
    <x v="200"/>
    <n v="0"/>
    <m/>
    <m/>
    <m/>
    <m/>
    <m/>
    <x v="14"/>
    <m/>
  </r>
  <r>
    <x v="3"/>
    <m/>
    <x v="200"/>
    <x v="7"/>
    <m/>
    <m/>
    <x v="200"/>
    <n v="0"/>
    <m/>
    <m/>
    <m/>
    <m/>
    <m/>
    <x v="14"/>
    <m/>
  </r>
  <r>
    <x v="3"/>
    <m/>
    <x v="200"/>
    <x v="7"/>
    <m/>
    <m/>
    <x v="200"/>
    <n v="0"/>
    <m/>
    <m/>
    <m/>
    <m/>
    <m/>
    <x v="14"/>
    <m/>
  </r>
  <r>
    <x v="3"/>
    <m/>
    <x v="200"/>
    <x v="7"/>
    <m/>
    <m/>
    <x v="200"/>
    <n v="0"/>
    <m/>
    <m/>
    <m/>
    <m/>
    <m/>
    <x v="14"/>
    <m/>
  </r>
  <r>
    <x v="3"/>
    <m/>
    <x v="200"/>
    <x v="7"/>
    <m/>
    <m/>
    <x v="200"/>
    <n v="0"/>
    <m/>
    <m/>
    <m/>
    <m/>
    <m/>
    <x v="14"/>
    <m/>
  </r>
  <r>
    <x v="3"/>
    <m/>
    <x v="200"/>
    <x v="7"/>
    <m/>
    <m/>
    <x v="200"/>
    <n v="0"/>
    <m/>
    <m/>
    <m/>
    <m/>
    <m/>
    <x v="14"/>
    <m/>
  </r>
  <r>
    <x v="3"/>
    <m/>
    <x v="200"/>
    <x v="7"/>
    <m/>
    <m/>
    <x v="200"/>
    <n v="0"/>
    <m/>
    <m/>
    <m/>
    <m/>
    <m/>
    <x v="14"/>
    <m/>
  </r>
  <r>
    <x v="3"/>
    <m/>
    <x v="200"/>
    <x v="7"/>
    <m/>
    <m/>
    <x v="200"/>
    <n v="0"/>
    <m/>
    <m/>
    <m/>
    <m/>
    <m/>
    <x v="14"/>
    <m/>
  </r>
  <r>
    <x v="3"/>
    <m/>
    <x v="200"/>
    <x v="7"/>
    <m/>
    <m/>
    <x v="200"/>
    <n v="0"/>
    <m/>
    <m/>
    <m/>
    <m/>
    <m/>
    <x v="14"/>
    <m/>
  </r>
  <r>
    <x v="3"/>
    <m/>
    <x v="200"/>
    <x v="7"/>
    <m/>
    <m/>
    <x v="200"/>
    <n v="0"/>
    <m/>
    <m/>
    <m/>
    <m/>
    <m/>
    <x v="14"/>
    <m/>
  </r>
  <r>
    <x v="3"/>
    <m/>
    <x v="200"/>
    <x v="7"/>
    <m/>
    <m/>
    <x v="200"/>
    <n v="0"/>
    <m/>
    <m/>
    <m/>
    <m/>
    <m/>
    <x v="14"/>
    <m/>
  </r>
  <r>
    <x v="3"/>
    <m/>
    <x v="200"/>
    <x v="7"/>
    <m/>
    <m/>
    <x v="200"/>
    <n v="0"/>
    <m/>
    <m/>
    <m/>
    <m/>
    <m/>
    <x v="14"/>
    <m/>
  </r>
  <r>
    <x v="3"/>
    <m/>
    <x v="200"/>
    <x v="7"/>
    <m/>
    <m/>
    <x v="200"/>
    <n v="0"/>
    <m/>
    <m/>
    <m/>
    <m/>
    <m/>
    <x v="14"/>
    <m/>
  </r>
  <r>
    <x v="3"/>
    <m/>
    <x v="200"/>
    <x v="7"/>
    <m/>
    <m/>
    <x v="200"/>
    <n v="0"/>
    <m/>
    <m/>
    <m/>
    <m/>
    <m/>
    <x v="14"/>
    <m/>
  </r>
  <r>
    <x v="3"/>
    <m/>
    <x v="200"/>
    <x v="7"/>
    <m/>
    <m/>
    <x v="200"/>
    <n v="0"/>
    <m/>
    <m/>
    <m/>
    <m/>
    <m/>
    <x v="14"/>
    <m/>
  </r>
  <r>
    <x v="3"/>
    <m/>
    <x v="200"/>
    <x v="7"/>
    <m/>
    <m/>
    <x v="200"/>
    <n v="0"/>
    <m/>
    <m/>
    <m/>
    <m/>
    <m/>
    <x v="14"/>
    <m/>
  </r>
  <r>
    <x v="3"/>
    <m/>
    <x v="200"/>
    <x v="7"/>
    <m/>
    <m/>
    <x v="200"/>
    <n v="0"/>
    <m/>
    <m/>
    <m/>
    <m/>
    <m/>
    <x v="14"/>
    <m/>
  </r>
  <r>
    <x v="3"/>
    <m/>
    <x v="200"/>
    <x v="7"/>
    <m/>
    <m/>
    <x v="200"/>
    <n v="0"/>
    <m/>
    <m/>
    <m/>
    <m/>
    <m/>
    <x v="14"/>
    <m/>
  </r>
  <r>
    <x v="3"/>
    <m/>
    <x v="200"/>
    <x v="7"/>
    <m/>
    <m/>
    <x v="200"/>
    <n v="0"/>
    <m/>
    <m/>
    <m/>
    <m/>
    <m/>
    <x v="14"/>
    <m/>
  </r>
  <r>
    <x v="3"/>
    <m/>
    <x v="200"/>
    <x v="7"/>
    <m/>
    <m/>
    <x v="200"/>
    <n v="0"/>
    <m/>
    <m/>
    <m/>
    <m/>
    <m/>
    <x v="14"/>
    <m/>
  </r>
  <r>
    <x v="3"/>
    <m/>
    <x v="200"/>
    <x v="7"/>
    <m/>
    <m/>
    <x v="200"/>
    <n v="0"/>
    <m/>
    <m/>
    <m/>
    <m/>
    <m/>
    <x v="14"/>
    <m/>
  </r>
  <r>
    <x v="3"/>
    <m/>
    <x v="200"/>
    <x v="7"/>
    <m/>
    <m/>
    <x v="200"/>
    <n v="0"/>
    <m/>
    <m/>
    <m/>
    <m/>
    <m/>
    <x v="14"/>
    <m/>
  </r>
  <r>
    <x v="3"/>
    <m/>
    <x v="200"/>
    <x v="7"/>
    <m/>
    <m/>
    <x v="200"/>
    <n v="0"/>
    <m/>
    <m/>
    <m/>
    <m/>
    <m/>
    <x v="14"/>
    <m/>
  </r>
  <r>
    <x v="3"/>
    <m/>
    <x v="200"/>
    <x v="7"/>
    <m/>
    <m/>
    <x v="200"/>
    <n v="0"/>
    <m/>
    <m/>
    <m/>
    <m/>
    <m/>
    <x v="14"/>
    <m/>
  </r>
  <r>
    <x v="3"/>
    <m/>
    <x v="200"/>
    <x v="7"/>
    <m/>
    <m/>
    <x v="200"/>
    <n v="0"/>
    <m/>
    <m/>
    <m/>
    <m/>
    <m/>
    <x v="14"/>
    <m/>
  </r>
  <r>
    <x v="3"/>
    <m/>
    <x v="200"/>
    <x v="7"/>
    <m/>
    <m/>
    <x v="200"/>
    <n v="0"/>
    <m/>
    <m/>
    <m/>
    <m/>
    <m/>
    <x v="14"/>
    <m/>
  </r>
  <r>
    <x v="3"/>
    <m/>
    <x v="200"/>
    <x v="7"/>
    <m/>
    <m/>
    <x v="200"/>
    <n v="0"/>
    <m/>
    <m/>
    <m/>
    <m/>
    <m/>
    <x v="14"/>
    <m/>
  </r>
  <r>
    <x v="3"/>
    <m/>
    <x v="200"/>
    <x v="7"/>
    <m/>
    <m/>
    <x v="200"/>
    <n v="0"/>
    <m/>
    <m/>
    <m/>
    <m/>
    <m/>
    <x v="14"/>
    <m/>
  </r>
  <r>
    <x v="3"/>
    <m/>
    <x v="200"/>
    <x v="7"/>
    <m/>
    <m/>
    <x v="200"/>
    <n v="0"/>
    <m/>
    <m/>
    <m/>
    <m/>
    <m/>
    <x v="14"/>
    <m/>
  </r>
  <r>
    <x v="3"/>
    <m/>
    <x v="200"/>
    <x v="7"/>
    <m/>
    <m/>
    <x v="200"/>
    <n v="0"/>
    <m/>
    <m/>
    <m/>
    <m/>
    <m/>
    <x v="14"/>
    <m/>
  </r>
  <r>
    <x v="3"/>
    <m/>
    <x v="200"/>
    <x v="7"/>
    <m/>
    <m/>
    <x v="200"/>
    <n v="0"/>
    <m/>
    <m/>
    <m/>
    <m/>
    <m/>
    <x v="14"/>
    <m/>
  </r>
  <r>
    <x v="3"/>
    <m/>
    <x v="200"/>
    <x v="7"/>
    <m/>
    <m/>
    <x v="200"/>
    <n v="0"/>
    <m/>
    <m/>
    <m/>
    <m/>
    <m/>
    <x v="14"/>
    <m/>
  </r>
  <r>
    <x v="3"/>
    <m/>
    <x v="200"/>
    <x v="7"/>
    <m/>
    <m/>
    <x v="200"/>
    <n v="0"/>
    <m/>
    <m/>
    <m/>
    <m/>
    <m/>
    <x v="14"/>
    <m/>
  </r>
  <r>
    <x v="3"/>
    <m/>
    <x v="200"/>
    <x v="7"/>
    <m/>
    <m/>
    <x v="200"/>
    <n v="0"/>
    <m/>
    <m/>
    <m/>
    <m/>
    <m/>
    <x v="14"/>
    <m/>
  </r>
  <r>
    <x v="3"/>
    <m/>
    <x v="200"/>
    <x v="7"/>
    <m/>
    <m/>
    <x v="200"/>
    <n v="0"/>
    <m/>
    <m/>
    <m/>
    <m/>
    <m/>
    <x v="14"/>
    <m/>
  </r>
  <r>
    <x v="3"/>
    <m/>
    <x v="200"/>
    <x v="7"/>
    <m/>
    <m/>
    <x v="200"/>
    <n v="0"/>
    <m/>
    <m/>
    <m/>
    <m/>
    <m/>
    <x v="14"/>
    <m/>
  </r>
  <r>
    <x v="3"/>
    <m/>
    <x v="200"/>
    <x v="7"/>
    <m/>
    <m/>
    <x v="200"/>
    <n v="0"/>
    <m/>
    <m/>
    <m/>
    <m/>
    <m/>
    <x v="14"/>
    <m/>
  </r>
  <r>
    <x v="3"/>
    <m/>
    <x v="200"/>
    <x v="7"/>
    <m/>
    <m/>
    <x v="200"/>
    <n v="0"/>
    <m/>
    <m/>
    <m/>
    <m/>
    <m/>
    <x v="14"/>
    <m/>
  </r>
  <r>
    <x v="3"/>
    <m/>
    <x v="200"/>
    <x v="7"/>
    <m/>
    <m/>
    <x v="200"/>
    <n v="0"/>
    <m/>
    <m/>
    <m/>
    <m/>
    <m/>
    <x v="14"/>
    <m/>
  </r>
  <r>
    <x v="3"/>
    <m/>
    <x v="200"/>
    <x v="7"/>
    <m/>
    <m/>
    <x v="200"/>
    <n v="0"/>
    <m/>
    <m/>
    <m/>
    <m/>
    <m/>
    <x v="14"/>
    <m/>
  </r>
  <r>
    <x v="3"/>
    <m/>
    <x v="200"/>
    <x v="7"/>
    <m/>
    <m/>
    <x v="200"/>
    <n v="0"/>
    <m/>
    <m/>
    <m/>
    <m/>
    <m/>
    <x v="14"/>
    <m/>
  </r>
  <r>
    <x v="3"/>
    <m/>
    <x v="200"/>
    <x v="7"/>
    <m/>
    <m/>
    <x v="200"/>
    <n v="0"/>
    <m/>
    <m/>
    <m/>
    <m/>
    <m/>
    <x v="14"/>
    <m/>
  </r>
  <r>
    <x v="3"/>
    <m/>
    <x v="200"/>
    <x v="7"/>
    <m/>
    <m/>
    <x v="200"/>
    <n v="0"/>
    <m/>
    <m/>
    <m/>
    <m/>
    <m/>
    <x v="14"/>
    <m/>
  </r>
  <r>
    <x v="3"/>
    <m/>
    <x v="200"/>
    <x v="7"/>
    <m/>
    <m/>
    <x v="200"/>
    <n v="0"/>
    <m/>
    <m/>
    <m/>
    <m/>
    <m/>
    <x v="14"/>
    <m/>
  </r>
  <r>
    <x v="3"/>
    <m/>
    <x v="200"/>
    <x v="7"/>
    <m/>
    <m/>
    <x v="200"/>
    <n v="0"/>
    <m/>
    <m/>
    <m/>
    <m/>
    <m/>
    <x v="14"/>
    <m/>
  </r>
  <r>
    <x v="3"/>
    <m/>
    <x v="200"/>
    <x v="7"/>
    <m/>
    <m/>
    <x v="200"/>
    <n v="0"/>
    <m/>
    <m/>
    <m/>
    <m/>
    <m/>
    <x v="14"/>
    <m/>
  </r>
  <r>
    <x v="3"/>
    <m/>
    <x v="200"/>
    <x v="7"/>
    <m/>
    <m/>
    <x v="200"/>
    <n v="0"/>
    <m/>
    <m/>
    <m/>
    <m/>
    <m/>
    <x v="14"/>
    <m/>
  </r>
  <r>
    <x v="3"/>
    <m/>
    <x v="200"/>
    <x v="7"/>
    <m/>
    <m/>
    <x v="200"/>
    <n v="0"/>
    <m/>
    <m/>
    <m/>
    <m/>
    <m/>
    <x v="14"/>
    <m/>
  </r>
  <r>
    <x v="3"/>
    <m/>
    <x v="200"/>
    <x v="7"/>
    <m/>
    <m/>
    <x v="200"/>
    <n v="0"/>
    <m/>
    <m/>
    <m/>
    <m/>
    <m/>
    <x v="14"/>
    <m/>
  </r>
  <r>
    <x v="3"/>
    <m/>
    <x v="200"/>
    <x v="7"/>
    <m/>
    <m/>
    <x v="200"/>
    <n v="0"/>
    <m/>
    <m/>
    <m/>
    <m/>
    <m/>
    <x v="14"/>
    <m/>
  </r>
  <r>
    <x v="3"/>
    <m/>
    <x v="200"/>
    <x v="7"/>
    <m/>
    <m/>
    <x v="200"/>
    <n v="0"/>
    <m/>
    <m/>
    <m/>
    <m/>
    <m/>
    <x v="14"/>
    <m/>
  </r>
  <r>
    <x v="3"/>
    <m/>
    <x v="200"/>
    <x v="7"/>
    <m/>
    <m/>
    <x v="200"/>
    <n v="0"/>
    <m/>
    <m/>
    <m/>
    <m/>
    <m/>
    <x v="14"/>
    <m/>
  </r>
  <r>
    <x v="3"/>
    <m/>
    <x v="200"/>
    <x v="7"/>
    <m/>
    <m/>
    <x v="200"/>
    <n v="0"/>
    <m/>
    <m/>
    <m/>
    <m/>
    <m/>
    <x v="14"/>
    <m/>
  </r>
  <r>
    <x v="3"/>
    <m/>
    <x v="200"/>
    <x v="7"/>
    <m/>
    <m/>
    <x v="200"/>
    <n v="0"/>
    <m/>
    <m/>
    <m/>
    <m/>
    <m/>
    <x v="14"/>
    <m/>
  </r>
  <r>
    <x v="3"/>
    <m/>
    <x v="200"/>
    <x v="7"/>
    <m/>
    <m/>
    <x v="200"/>
    <n v="0"/>
    <m/>
    <m/>
    <m/>
    <m/>
    <m/>
    <x v="14"/>
    <m/>
  </r>
  <r>
    <x v="3"/>
    <m/>
    <x v="200"/>
    <x v="7"/>
    <m/>
    <m/>
    <x v="200"/>
    <n v="0"/>
    <m/>
    <m/>
    <m/>
    <m/>
    <m/>
    <x v="14"/>
    <m/>
  </r>
  <r>
    <x v="3"/>
    <m/>
    <x v="200"/>
    <x v="7"/>
    <m/>
    <m/>
    <x v="200"/>
    <n v="0"/>
    <m/>
    <m/>
    <m/>
    <m/>
    <m/>
    <x v="14"/>
    <m/>
  </r>
  <r>
    <x v="3"/>
    <m/>
    <x v="200"/>
    <x v="7"/>
    <m/>
    <m/>
    <x v="200"/>
    <n v="0"/>
    <m/>
    <m/>
    <m/>
    <m/>
    <m/>
    <x v="14"/>
    <m/>
  </r>
  <r>
    <x v="3"/>
    <m/>
    <x v="200"/>
    <x v="7"/>
    <m/>
    <m/>
    <x v="200"/>
    <n v="0"/>
    <m/>
    <m/>
    <m/>
    <m/>
    <m/>
    <x v="14"/>
    <m/>
  </r>
  <r>
    <x v="3"/>
    <m/>
    <x v="200"/>
    <x v="7"/>
    <m/>
    <m/>
    <x v="200"/>
    <n v="0"/>
    <m/>
    <m/>
    <m/>
    <m/>
    <m/>
    <x v="14"/>
    <m/>
  </r>
  <r>
    <x v="3"/>
    <m/>
    <x v="200"/>
    <x v="7"/>
    <m/>
    <m/>
    <x v="200"/>
    <n v="0"/>
    <m/>
    <m/>
    <m/>
    <m/>
    <m/>
    <x v="14"/>
    <m/>
  </r>
  <r>
    <x v="3"/>
    <m/>
    <x v="200"/>
    <x v="7"/>
    <m/>
    <m/>
    <x v="200"/>
    <n v="0"/>
    <m/>
    <m/>
    <m/>
    <m/>
    <m/>
    <x v="14"/>
    <m/>
  </r>
  <r>
    <x v="3"/>
    <m/>
    <x v="200"/>
    <x v="7"/>
    <m/>
    <m/>
    <x v="200"/>
    <n v="0"/>
    <m/>
    <m/>
    <m/>
    <m/>
    <m/>
    <x v="14"/>
    <m/>
  </r>
  <r>
    <x v="3"/>
    <m/>
    <x v="200"/>
    <x v="7"/>
    <m/>
    <m/>
    <x v="200"/>
    <n v="0"/>
    <m/>
    <m/>
    <m/>
    <m/>
    <m/>
    <x v="14"/>
    <m/>
  </r>
  <r>
    <x v="3"/>
    <m/>
    <x v="200"/>
    <x v="7"/>
    <m/>
    <m/>
    <x v="200"/>
    <n v="0"/>
    <m/>
    <m/>
    <m/>
    <m/>
    <m/>
    <x v="14"/>
    <m/>
  </r>
  <r>
    <x v="3"/>
    <m/>
    <x v="200"/>
    <x v="7"/>
    <m/>
    <m/>
    <x v="200"/>
    <n v="0"/>
    <m/>
    <m/>
    <m/>
    <m/>
    <m/>
    <x v="14"/>
    <m/>
  </r>
  <r>
    <x v="3"/>
    <m/>
    <x v="200"/>
    <x v="7"/>
    <m/>
    <m/>
    <x v="200"/>
    <n v="0"/>
    <m/>
    <m/>
    <m/>
    <m/>
    <m/>
    <x v="14"/>
    <m/>
  </r>
  <r>
    <x v="3"/>
    <m/>
    <x v="200"/>
    <x v="7"/>
    <m/>
    <m/>
    <x v="200"/>
    <n v="0"/>
    <m/>
    <m/>
    <m/>
    <m/>
    <m/>
    <x v="14"/>
    <m/>
  </r>
  <r>
    <x v="3"/>
    <m/>
    <x v="200"/>
    <x v="7"/>
    <m/>
    <m/>
    <x v="200"/>
    <n v="0"/>
    <m/>
    <m/>
    <m/>
    <m/>
    <m/>
    <x v="14"/>
    <m/>
  </r>
  <r>
    <x v="3"/>
    <m/>
    <x v="200"/>
    <x v="7"/>
    <m/>
    <m/>
    <x v="200"/>
    <n v="0"/>
    <m/>
    <m/>
    <m/>
    <m/>
    <m/>
    <x v="14"/>
    <m/>
  </r>
  <r>
    <x v="3"/>
    <m/>
    <x v="200"/>
    <x v="7"/>
    <m/>
    <m/>
    <x v="200"/>
    <n v="0"/>
    <m/>
    <m/>
    <m/>
    <m/>
    <m/>
    <x v="14"/>
    <m/>
  </r>
  <r>
    <x v="3"/>
    <m/>
    <x v="200"/>
    <x v="7"/>
    <m/>
    <m/>
    <x v="200"/>
    <n v="0"/>
    <m/>
    <m/>
    <m/>
    <m/>
    <m/>
    <x v="14"/>
    <m/>
  </r>
  <r>
    <x v="3"/>
    <m/>
    <x v="200"/>
    <x v="7"/>
    <m/>
    <m/>
    <x v="200"/>
    <n v="0"/>
    <m/>
    <m/>
    <m/>
    <m/>
    <m/>
    <x v="14"/>
    <m/>
  </r>
  <r>
    <x v="3"/>
    <m/>
    <x v="200"/>
    <x v="7"/>
    <m/>
    <m/>
    <x v="200"/>
    <n v="0"/>
    <m/>
    <m/>
    <m/>
    <m/>
    <m/>
    <x v="14"/>
    <m/>
  </r>
  <r>
    <x v="3"/>
    <m/>
    <x v="200"/>
    <x v="7"/>
    <m/>
    <m/>
    <x v="200"/>
    <n v="0"/>
    <m/>
    <m/>
    <m/>
    <m/>
    <m/>
    <x v="14"/>
    <m/>
  </r>
  <r>
    <x v="3"/>
    <m/>
    <x v="200"/>
    <x v="7"/>
    <m/>
    <m/>
    <x v="200"/>
    <n v="0"/>
    <m/>
    <m/>
    <m/>
    <m/>
    <m/>
    <x v="14"/>
    <m/>
  </r>
  <r>
    <x v="3"/>
    <m/>
    <x v="200"/>
    <x v="7"/>
    <m/>
    <m/>
    <x v="200"/>
    <n v="0"/>
    <m/>
    <m/>
    <m/>
    <m/>
    <m/>
    <x v="14"/>
    <m/>
  </r>
  <r>
    <x v="3"/>
    <m/>
    <x v="200"/>
    <x v="7"/>
    <m/>
    <m/>
    <x v="200"/>
    <n v="0"/>
    <m/>
    <m/>
    <m/>
    <m/>
    <m/>
    <x v="14"/>
    <m/>
  </r>
  <r>
    <x v="3"/>
    <m/>
    <x v="200"/>
    <x v="7"/>
    <m/>
    <m/>
    <x v="200"/>
    <n v="0"/>
    <m/>
    <m/>
    <m/>
    <m/>
    <m/>
    <x v="14"/>
    <m/>
  </r>
  <r>
    <x v="3"/>
    <m/>
    <x v="200"/>
    <x v="7"/>
    <m/>
    <m/>
    <x v="200"/>
    <n v="0"/>
    <m/>
    <m/>
    <m/>
    <m/>
    <m/>
    <x v="14"/>
    <m/>
  </r>
  <r>
    <x v="3"/>
    <m/>
    <x v="200"/>
    <x v="7"/>
    <m/>
    <m/>
    <x v="200"/>
    <n v="0"/>
    <m/>
    <m/>
    <m/>
    <m/>
    <m/>
    <x v="14"/>
    <m/>
  </r>
  <r>
    <x v="3"/>
    <m/>
    <x v="200"/>
    <x v="7"/>
    <m/>
    <m/>
    <x v="200"/>
    <n v="0"/>
    <m/>
    <m/>
    <m/>
    <m/>
    <m/>
    <x v="14"/>
    <m/>
  </r>
  <r>
    <x v="3"/>
    <m/>
    <x v="200"/>
    <x v="7"/>
    <m/>
    <m/>
    <x v="200"/>
    <n v="0"/>
    <m/>
    <m/>
    <m/>
    <m/>
    <m/>
    <x v="14"/>
    <m/>
  </r>
  <r>
    <x v="3"/>
    <m/>
    <x v="200"/>
    <x v="7"/>
    <m/>
    <m/>
    <x v="200"/>
    <n v="0"/>
    <m/>
    <m/>
    <m/>
    <m/>
    <m/>
    <x v="14"/>
    <m/>
  </r>
  <r>
    <x v="3"/>
    <m/>
    <x v="200"/>
    <x v="7"/>
    <m/>
    <m/>
    <x v="200"/>
    <n v="0"/>
    <m/>
    <m/>
    <m/>
    <m/>
    <m/>
    <x v="14"/>
    <m/>
  </r>
  <r>
    <x v="3"/>
    <m/>
    <x v="200"/>
    <x v="7"/>
    <m/>
    <m/>
    <x v="200"/>
    <n v="0"/>
    <m/>
    <m/>
    <m/>
    <m/>
    <m/>
    <x v="14"/>
    <m/>
  </r>
  <r>
    <x v="3"/>
    <m/>
    <x v="200"/>
    <x v="7"/>
    <m/>
    <m/>
    <x v="200"/>
    <m/>
    <m/>
    <m/>
    <m/>
    <m/>
    <m/>
    <x v="14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피벗 테이블2" cacheId="8" applyNumberFormats="0" applyBorderFormats="0" applyFontFormats="0" applyPatternFormats="0" applyAlignmentFormats="0" applyWidthHeightFormats="1" dataCaption="값" updatedVersion="3" minRefreshableVersion="3" showCalcMbrs="0" useAutoFormatting="1" itemPrintTitles="1" createdVersion="3" indent="0" outline="1" outlineData="1" multipleFieldFilters="0">
  <location ref="A3:D495" firstHeaderRow="1" firstDataRow="1" firstDataCol="3" rowPageCount="1" colPageCount="1"/>
  <pivotFields count="15">
    <pivotField axis="axisPage" showAll="0" defaultSubtotal="0">
      <items count="3">
        <item x="0"/>
        <item x="1"/>
        <item x="2"/>
      </items>
    </pivotField>
    <pivotField showAll="0" defaultSubtotal="0"/>
    <pivotField axis="axisRow" outline="0" showAll="0" insertPageBreak="1" defaultSubtotal="0">
      <items count="192"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172"/>
        <item x="173"/>
        <item x="174"/>
        <item x="175"/>
        <item x="176"/>
        <item x="177"/>
        <item x="178"/>
        <item x="179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54"/>
        <item x="55"/>
        <item x="56"/>
        <item x="57"/>
        <item x="58"/>
        <item x="59"/>
        <item x="60"/>
        <item x="61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13"/>
        <item x="114"/>
        <item x="115"/>
        <item x="116"/>
        <item x="117"/>
        <item x="118"/>
        <item x="119"/>
        <item x="120"/>
        <item x="121"/>
        <item x="122"/>
        <item x="191"/>
      </items>
    </pivotField>
    <pivotField axis="axisRow" showAll="0" defaultSubtotal="0">
      <items count="8">
        <item x="0"/>
        <item x="1"/>
        <item x="2"/>
        <item x="3"/>
        <item x="4"/>
        <item x="5"/>
        <item x="6"/>
        <item x="7"/>
      </items>
    </pivotField>
    <pivotField showAll="0" defaultSubtotal="0"/>
    <pivotField showAll="0" defaultSubtotal="0"/>
    <pivotField axis="axisRow" outline="0" showAll="0" defaultSubtotal="0">
      <items count="193">
        <item x="67"/>
        <item x="33"/>
        <item x="123"/>
        <item x="83"/>
        <item x="158"/>
        <item x="102"/>
        <item x="180"/>
        <item x="113"/>
        <item x="54"/>
        <item x="39"/>
        <item x="172"/>
        <item x="136"/>
        <item x="137"/>
        <item x="138"/>
        <item x="108"/>
        <item x="98"/>
        <item x="34"/>
        <item x="124"/>
        <item x="63"/>
        <item x="190"/>
        <item x="173"/>
        <item x="174"/>
        <item x="175"/>
        <item x="16"/>
        <item x="26"/>
        <item x="181"/>
        <item x="151"/>
        <item x="3"/>
        <item x="176"/>
        <item x="24"/>
        <item x="152"/>
        <item x="0"/>
        <item x="159"/>
        <item x="100"/>
        <item x="103"/>
        <item x="56"/>
        <item x="40"/>
        <item x="153"/>
        <item x="36"/>
        <item x="6"/>
        <item x="4"/>
        <item x="125"/>
        <item x="177"/>
        <item x="84"/>
        <item x="178"/>
        <item x="29"/>
        <item x="126"/>
        <item x="160"/>
        <item x="85"/>
        <item x="58"/>
        <item x="86"/>
        <item x="127"/>
        <item x="87"/>
        <item x="17"/>
        <item x="114"/>
        <item x="105"/>
        <item x="60"/>
        <item x="47"/>
        <item x="25"/>
        <item x="128"/>
        <item x="88"/>
        <item x="89"/>
        <item x="90"/>
        <item x="91"/>
        <item x="182"/>
        <item x="92"/>
        <item x="93"/>
        <item x="115"/>
        <item x="142"/>
        <item x="143"/>
        <item x="144"/>
        <item x="94"/>
        <item x="116"/>
        <item x="161"/>
        <item x="52"/>
        <item x="154"/>
        <item x="28"/>
        <item x="15"/>
        <item x="162"/>
        <item x="43"/>
        <item x="1"/>
        <item x="2"/>
        <item x="20"/>
        <item x="129"/>
        <item x="19"/>
        <item x="183"/>
        <item x="95"/>
        <item x="117"/>
        <item x="96"/>
        <item x="163"/>
        <item x="184"/>
        <item x="118"/>
        <item x="82"/>
        <item x="81"/>
        <item x="68"/>
        <item x="69"/>
        <item x="10"/>
        <item x="9"/>
        <item x="106"/>
        <item x="59"/>
        <item x="46"/>
        <item x="13"/>
        <item x="66"/>
        <item x="7"/>
        <item x="111"/>
        <item x="185"/>
        <item x="119"/>
        <item x="38"/>
        <item x="130"/>
        <item x="70"/>
        <item x="30"/>
        <item x="131"/>
        <item x="71"/>
        <item x="132"/>
        <item x="72"/>
        <item x="44"/>
        <item x="80"/>
        <item x="11"/>
        <item x="164"/>
        <item x="50"/>
        <item x="155"/>
        <item x="8"/>
        <item x="73"/>
        <item x="74"/>
        <item x="165"/>
        <item x="51"/>
        <item x="156"/>
        <item x="75"/>
        <item x="12"/>
        <item x="166"/>
        <item x="49"/>
        <item x="76"/>
        <item x="21"/>
        <item x="179"/>
        <item x="167"/>
        <item x="99"/>
        <item x="104"/>
        <item x="186"/>
        <item x="120"/>
        <item x="57"/>
        <item x="42"/>
        <item x="145"/>
        <item x="146"/>
        <item x="147"/>
        <item x="37"/>
        <item x="133"/>
        <item x="64"/>
        <item x="18"/>
        <item x="5"/>
        <item x="168"/>
        <item x="187"/>
        <item x="121"/>
        <item x="148"/>
        <item x="149"/>
        <item x="150"/>
        <item x="65"/>
        <item x="31"/>
        <item x="112"/>
        <item x="53"/>
        <item x="109"/>
        <item x="77"/>
        <item x="78"/>
        <item x="32"/>
        <item x="169"/>
        <item x="170"/>
        <item x="107"/>
        <item x="188"/>
        <item x="61"/>
        <item x="45"/>
        <item x="157"/>
        <item x="79"/>
        <item x="14"/>
        <item x="97"/>
        <item x="101"/>
        <item x="189"/>
        <item x="122"/>
        <item x="55"/>
        <item x="41"/>
        <item x="139"/>
        <item x="140"/>
        <item x="141"/>
        <item x="110"/>
        <item x="35"/>
        <item x="134"/>
        <item x="62"/>
        <item x="27"/>
        <item x="171"/>
        <item x="48"/>
        <item x="135"/>
        <item x="22"/>
        <item x="23"/>
        <item x="191"/>
        <item x="192"/>
      </items>
    </pivotField>
    <pivotField dataField="1" showAll="0" defaultSubtotal="0">
      <items count="7">
        <item x="5"/>
        <item x="3"/>
        <item x="0"/>
        <item x="2"/>
        <item x="1"/>
        <item x="4"/>
        <item x="6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</pivotFields>
  <rowFields count="3">
    <field x="2"/>
    <field x="6"/>
    <field x="3"/>
  </rowFields>
  <rowItems count="492">
    <i>
      <x/>
      <x v="9"/>
      <x/>
    </i>
    <i r="2">
      <x v="1"/>
    </i>
    <i r="2">
      <x v="2"/>
    </i>
    <i r="2">
      <x v="3"/>
    </i>
    <i r="2">
      <x v="4"/>
    </i>
    <i>
      <x v="1"/>
      <x v="36"/>
      <x/>
    </i>
    <i r="2">
      <x v="1"/>
    </i>
    <i r="2">
      <x v="3"/>
    </i>
    <i r="2">
      <x v="4"/>
    </i>
    <i>
      <x v="2"/>
      <x v="177"/>
      <x/>
    </i>
    <i r="2">
      <x v="1"/>
    </i>
    <i r="2">
      <x v="2"/>
    </i>
    <i r="2">
      <x v="3"/>
    </i>
    <i r="2">
      <x v="4"/>
    </i>
    <i>
      <x v="3"/>
      <x v="140"/>
      <x/>
    </i>
    <i r="2">
      <x v="1"/>
    </i>
    <i r="2">
      <x v="3"/>
    </i>
    <i r="2">
      <x v="4"/>
    </i>
    <i>
      <x v="4"/>
      <x v="79"/>
      <x v="4"/>
    </i>
    <i>
      <x v="5"/>
      <x v="115"/>
      <x v="1"/>
    </i>
    <i r="2">
      <x v="3"/>
    </i>
    <i r="2">
      <x v="4"/>
    </i>
    <i>
      <x v="6"/>
      <x v="168"/>
      <x v="1"/>
    </i>
    <i r="2">
      <x v="3"/>
    </i>
    <i r="2">
      <x v="4"/>
    </i>
    <i>
      <x v="7"/>
      <x v="100"/>
      <x/>
    </i>
    <i r="2">
      <x v="1"/>
    </i>
    <i r="2">
      <x v="3"/>
    </i>
    <i r="2">
      <x v="4"/>
    </i>
    <i>
      <x v="8"/>
      <x v="57"/>
      <x/>
    </i>
    <i r="2">
      <x v="1"/>
    </i>
    <i r="2">
      <x v="3"/>
    </i>
    <i r="2">
      <x v="4"/>
    </i>
    <i>
      <x v="9"/>
      <x v="187"/>
      <x v="3"/>
    </i>
    <i r="2">
      <x v="4"/>
    </i>
    <i>
      <x v="10"/>
      <x v="130"/>
      <x v="3"/>
    </i>
    <i r="2">
      <x v="4"/>
    </i>
    <i>
      <x v="11"/>
      <x v="119"/>
      <x v="4"/>
    </i>
    <i>
      <x v="12"/>
      <x v="125"/>
      <x/>
    </i>
    <i r="2">
      <x v="1"/>
    </i>
    <i r="2">
      <x v="3"/>
    </i>
    <i r="2">
      <x v="4"/>
    </i>
    <i>
      <x v="13"/>
      <x v="74"/>
      <x v="1"/>
    </i>
    <i r="2">
      <x v="3"/>
    </i>
    <i r="2">
      <x v="4"/>
    </i>
    <i>
      <x v="14"/>
      <x v="158"/>
      <x v="1"/>
    </i>
    <i r="2">
      <x v="3"/>
    </i>
    <i r="2">
      <x v="4"/>
    </i>
    <i>
      <x v="15"/>
      <x v="10"/>
      <x v="3"/>
    </i>
    <i r="2">
      <x v="4"/>
    </i>
    <i r="2">
      <x v="5"/>
    </i>
    <i r="2">
      <x v="6"/>
    </i>
    <i>
      <x v="16"/>
      <x v="20"/>
      <x v="3"/>
    </i>
    <i r="2">
      <x v="4"/>
    </i>
    <i r="2">
      <x v="5"/>
    </i>
    <i r="2">
      <x v="6"/>
    </i>
    <i>
      <x v="17"/>
      <x v="21"/>
      <x v="3"/>
    </i>
    <i r="2">
      <x v="4"/>
    </i>
    <i r="2">
      <x v="5"/>
    </i>
    <i r="2">
      <x v="6"/>
    </i>
    <i>
      <x v="18"/>
      <x v="22"/>
      <x v="3"/>
    </i>
    <i r="2">
      <x v="4"/>
    </i>
    <i r="2">
      <x v="5"/>
    </i>
    <i r="2">
      <x v="6"/>
    </i>
    <i>
      <x v="19"/>
      <x v="28"/>
      <x v="3"/>
    </i>
    <i r="2">
      <x v="4"/>
    </i>
    <i r="2">
      <x v="5"/>
    </i>
    <i r="2">
      <x v="6"/>
    </i>
    <i>
      <x v="20"/>
      <x v="42"/>
      <x v="3"/>
    </i>
    <i r="2">
      <x v="4"/>
    </i>
    <i r="2">
      <x v="5"/>
    </i>
    <i r="2">
      <x v="6"/>
    </i>
    <i>
      <x v="21"/>
      <x v="44"/>
      <x v="3"/>
    </i>
    <i r="2">
      <x v="4"/>
    </i>
    <i r="2">
      <x v="5"/>
    </i>
    <i r="2">
      <x v="6"/>
    </i>
    <i>
      <x v="22"/>
      <x v="133"/>
      <x v="3"/>
    </i>
    <i r="2">
      <x v="4"/>
    </i>
    <i r="2">
      <x v="5"/>
    </i>
    <i r="2">
      <x v="6"/>
    </i>
    <i>
      <x v="23"/>
      <x v="184"/>
      <x v="3"/>
    </i>
    <i r="2">
      <x v="4"/>
    </i>
    <i r="2">
      <x v="5"/>
    </i>
    <i>
      <x v="24"/>
      <x v="18"/>
      <x v="3"/>
    </i>
    <i r="2">
      <x v="4"/>
    </i>
    <i r="2">
      <x v="5"/>
    </i>
    <i>
      <x v="25"/>
      <x v="146"/>
      <x v="3"/>
    </i>
    <i r="2">
      <x v="4"/>
    </i>
    <i r="2">
      <x v="5"/>
    </i>
    <i>
      <x v="26"/>
      <x v="155"/>
      <x v="3"/>
    </i>
    <i r="2">
      <x v="4"/>
    </i>
    <i r="2">
      <x v="5"/>
    </i>
    <i>
      <x v="27"/>
      <x v="102"/>
      <x v="3"/>
    </i>
    <i r="2">
      <x v="4"/>
    </i>
    <i>
      <x v="28"/>
      <x/>
      <x v="3"/>
    </i>
    <i r="2">
      <x v="4"/>
    </i>
    <i>
      <x v="29"/>
      <x v="94"/>
      <x v="3"/>
    </i>
    <i r="2">
      <x v="4"/>
    </i>
    <i>
      <x v="30"/>
      <x v="95"/>
      <x v="3"/>
    </i>
    <i r="2">
      <x v="4"/>
    </i>
    <i>
      <x v="31"/>
      <x v="109"/>
      <x v="3"/>
    </i>
    <i r="2">
      <x v="4"/>
    </i>
    <i r="2">
      <x v="5"/>
    </i>
    <i>
      <x v="32"/>
      <x v="112"/>
      <x v="3"/>
    </i>
    <i r="2">
      <x v="4"/>
    </i>
    <i>
      <x v="33"/>
      <x v="114"/>
      <x v="3"/>
    </i>
    <i r="2">
      <x v="4"/>
    </i>
    <i>
      <x v="34"/>
      <x v="122"/>
      <x v="3"/>
    </i>
    <i r="2">
      <x v="4"/>
    </i>
    <i>
      <x v="35"/>
      <x v="123"/>
      <x v="3"/>
    </i>
    <i r="2">
      <x v="4"/>
    </i>
    <i>
      <x v="36"/>
      <x v="127"/>
      <x v="3"/>
    </i>
    <i r="2">
      <x v="4"/>
    </i>
    <i>
      <x v="37"/>
      <x v="131"/>
      <x v="3"/>
    </i>
    <i r="2">
      <x v="4"/>
    </i>
    <i>
      <x v="38"/>
      <x v="160"/>
      <x v="3"/>
    </i>
    <i r="2">
      <x v="4"/>
    </i>
    <i>
      <x v="39"/>
      <x v="161"/>
      <x v="3"/>
    </i>
    <i r="2">
      <x v="4"/>
    </i>
    <i>
      <x v="40"/>
      <x v="170"/>
      <x v="3"/>
    </i>
    <i r="2">
      <x v="4"/>
    </i>
    <i>
      <x v="41"/>
      <x v="116"/>
      <x v="3"/>
    </i>
    <i r="2">
      <x v="4"/>
    </i>
    <i>
      <x v="42"/>
      <x v="93"/>
      <x v="3"/>
    </i>
    <i r="2">
      <x v="4"/>
    </i>
    <i>
      <x v="43"/>
      <x v="92"/>
      <x v="3"/>
    </i>
    <i r="2">
      <x v="4"/>
    </i>
    <i>
      <x v="44"/>
      <x v="3"/>
      <x v="3"/>
    </i>
    <i r="2">
      <x v="4"/>
    </i>
    <i>
      <x v="45"/>
      <x v="43"/>
      <x v="3"/>
    </i>
    <i r="2">
      <x v="4"/>
    </i>
    <i>
      <x v="46"/>
      <x v="48"/>
      <x v="3"/>
    </i>
    <i r="2">
      <x v="4"/>
    </i>
    <i>
      <x v="47"/>
      <x v="50"/>
      <x v="3"/>
    </i>
    <i r="2">
      <x v="4"/>
    </i>
    <i>
      <x v="48"/>
      <x v="52"/>
      <x v="3"/>
    </i>
    <i r="2">
      <x v="4"/>
    </i>
    <i>
      <x v="49"/>
      <x v="60"/>
      <x v="3"/>
    </i>
    <i r="2">
      <x v="4"/>
    </i>
    <i>
      <x v="50"/>
      <x v="61"/>
      <x v="3"/>
    </i>
    <i r="2">
      <x v="4"/>
    </i>
    <i>
      <x v="51"/>
      <x v="62"/>
      <x v="3"/>
    </i>
    <i r="2">
      <x v="4"/>
    </i>
    <i>
      <x v="52"/>
      <x v="63"/>
      <x v="3"/>
    </i>
    <i r="2">
      <x v="4"/>
    </i>
    <i>
      <x v="53"/>
      <x v="65"/>
      <x v="3"/>
    </i>
    <i r="2">
      <x v="4"/>
    </i>
    <i>
      <x v="54"/>
      <x v="66"/>
      <x v="3"/>
    </i>
    <i r="2">
      <x v="4"/>
    </i>
    <i>
      <x v="55"/>
      <x v="71"/>
      <x v="3"/>
    </i>
    <i r="2">
      <x v="4"/>
    </i>
    <i>
      <x v="56"/>
      <x v="86"/>
      <x v="3"/>
    </i>
    <i r="2">
      <x v="4"/>
    </i>
    <i>
      <x v="57"/>
      <x v="88"/>
      <x v="3"/>
    </i>
    <i r="2">
      <x v="4"/>
    </i>
    <i>
      <x v="58"/>
      <x v="8"/>
      <x/>
    </i>
    <i r="2">
      <x v="1"/>
    </i>
    <i r="2">
      <x v="2"/>
    </i>
    <i r="2">
      <x v="3"/>
    </i>
    <i r="2">
      <x v="4"/>
    </i>
    <i>
      <x v="59"/>
      <x v="176"/>
      <x/>
    </i>
    <i r="2">
      <x v="1"/>
    </i>
    <i r="2">
      <x v="2"/>
    </i>
    <i r="2">
      <x v="3"/>
    </i>
    <i r="2">
      <x v="4"/>
    </i>
    <i>
      <x v="60"/>
      <x v="35"/>
      <x v="1"/>
    </i>
    <i r="2">
      <x v="3"/>
    </i>
    <i r="2">
      <x v="4"/>
    </i>
    <i>
      <x v="61"/>
      <x v="139"/>
      <x v="1"/>
    </i>
    <i r="2">
      <x v="3"/>
    </i>
    <i r="2">
      <x v="4"/>
    </i>
    <i>
      <x v="62"/>
      <x v="49"/>
      <x v="1"/>
    </i>
    <i r="2">
      <x v="3"/>
    </i>
    <i r="2">
      <x v="4"/>
    </i>
    <i>
      <x v="63"/>
      <x v="99"/>
      <x v="1"/>
    </i>
    <i r="2">
      <x v="3"/>
    </i>
    <i r="2">
      <x v="4"/>
    </i>
    <i>
      <x v="64"/>
      <x v="56"/>
      <x v="1"/>
    </i>
    <i r="2">
      <x v="3"/>
    </i>
    <i r="2">
      <x v="4"/>
    </i>
    <i>
      <x v="65"/>
      <x v="167"/>
      <x v="1"/>
    </i>
    <i r="2">
      <x v="3"/>
    </i>
    <i r="2">
      <x v="4"/>
    </i>
    <i>
      <x v="66"/>
      <x v="11"/>
      <x v="1"/>
    </i>
    <i r="2">
      <x v="3"/>
    </i>
    <i r="2">
      <x v="4"/>
    </i>
    <i r="2">
      <x v="5"/>
    </i>
    <i>
      <x v="67"/>
      <x v="12"/>
      <x v="1"/>
    </i>
    <i r="2">
      <x v="3"/>
    </i>
    <i r="2">
      <x v="4"/>
    </i>
    <i r="2">
      <x v="5"/>
    </i>
    <i>
      <x v="68"/>
      <x v="13"/>
      <x v="1"/>
    </i>
    <i r="2">
      <x v="3"/>
    </i>
    <i r="2">
      <x v="4"/>
    </i>
    <i r="2">
      <x v="5"/>
    </i>
    <i>
      <x v="69"/>
      <x v="178"/>
      <x v="1"/>
    </i>
    <i r="2">
      <x v="3"/>
    </i>
    <i r="2">
      <x v="4"/>
    </i>
    <i r="2">
      <x v="5"/>
    </i>
    <i>
      <x v="70"/>
      <x v="179"/>
      <x v="1"/>
    </i>
    <i r="2">
      <x v="3"/>
    </i>
    <i r="2">
      <x v="4"/>
    </i>
    <i r="2">
      <x v="5"/>
    </i>
    <i>
      <x v="71"/>
      <x v="180"/>
      <x v="1"/>
    </i>
    <i r="2">
      <x v="3"/>
    </i>
    <i r="2">
      <x v="4"/>
    </i>
    <i r="2">
      <x v="5"/>
    </i>
    <i>
      <x v="72"/>
      <x v="68"/>
      <x v="1"/>
    </i>
    <i r="2">
      <x v="3"/>
    </i>
    <i r="2">
      <x v="4"/>
    </i>
    <i r="2">
      <x v="5"/>
    </i>
    <i>
      <x v="73"/>
      <x v="69"/>
      <x v="1"/>
    </i>
    <i r="2">
      <x v="3"/>
    </i>
    <i r="2">
      <x v="4"/>
    </i>
    <i r="2">
      <x v="5"/>
    </i>
    <i>
      <x v="74"/>
      <x v="70"/>
      <x v="1"/>
    </i>
    <i r="2">
      <x v="3"/>
    </i>
    <i r="2">
      <x v="4"/>
    </i>
    <i r="2">
      <x v="5"/>
    </i>
    <i>
      <x v="75"/>
      <x v="141"/>
      <x v="1"/>
    </i>
    <i r="2">
      <x v="3"/>
    </i>
    <i r="2">
      <x v="4"/>
    </i>
    <i r="2">
      <x v="5"/>
    </i>
    <i>
      <x v="76"/>
      <x v="142"/>
      <x v="1"/>
    </i>
    <i r="2">
      <x v="3"/>
    </i>
    <i r="2">
      <x v="4"/>
    </i>
    <i r="2">
      <x v="5"/>
    </i>
    <i>
      <x v="77"/>
      <x v="143"/>
      <x v="1"/>
    </i>
    <i r="2">
      <x v="3"/>
    </i>
    <i r="2">
      <x v="4"/>
    </i>
    <i r="2">
      <x v="5"/>
    </i>
    <i>
      <x v="78"/>
      <x v="152"/>
      <x v="1"/>
    </i>
    <i r="2">
      <x v="3"/>
    </i>
    <i r="2">
      <x v="4"/>
    </i>
    <i r="2">
      <x v="5"/>
    </i>
    <i>
      <x v="79"/>
      <x v="153"/>
      <x v="1"/>
    </i>
    <i r="2">
      <x v="3"/>
    </i>
    <i r="2">
      <x v="4"/>
    </i>
    <i r="2">
      <x v="5"/>
    </i>
    <i>
      <x v="80"/>
      <x v="154"/>
      <x v="1"/>
    </i>
    <i r="2">
      <x v="3"/>
    </i>
    <i r="2">
      <x v="4"/>
    </i>
    <i r="2">
      <x v="5"/>
    </i>
    <i>
      <x v="81"/>
      <x v="26"/>
      <x v="1"/>
    </i>
    <i r="2">
      <x v="3"/>
    </i>
    <i>
      <x v="82"/>
      <x v="30"/>
      <x v="1"/>
    </i>
    <i r="2">
      <x v="3"/>
    </i>
    <i>
      <x v="83"/>
      <x v="37"/>
      <x v="1"/>
    </i>
    <i r="2">
      <x v="3"/>
    </i>
    <i>
      <x v="84"/>
      <x v="75"/>
      <x v="1"/>
    </i>
    <i r="2">
      <x v="3"/>
    </i>
    <i>
      <x v="85"/>
      <x v="120"/>
      <x v="1"/>
    </i>
    <i r="2">
      <x v="3"/>
    </i>
    <i>
      <x v="86"/>
      <x v="126"/>
      <x v="1"/>
    </i>
    <i r="2">
      <x v="3"/>
    </i>
    <i>
      <x v="87"/>
      <x v="169"/>
      <x v="1"/>
    </i>
    <i r="2">
      <x v="3"/>
    </i>
    <i>
      <x v="88"/>
      <x v="4"/>
      <x v="4"/>
    </i>
    <i>
      <x v="89"/>
      <x v="32"/>
      <x v="4"/>
    </i>
    <i r="2">
      <x v="5"/>
    </i>
    <i>
      <x v="90"/>
      <x v="47"/>
      <x v="4"/>
    </i>
    <i r="2">
      <x v="5"/>
    </i>
    <i>
      <x v="91"/>
      <x v="73"/>
      <x v="4"/>
    </i>
    <i r="2">
      <x v="5"/>
    </i>
    <i>
      <x v="92"/>
      <x v="78"/>
      <x v="4"/>
    </i>
    <i r="2">
      <x v="5"/>
    </i>
    <i>
      <x v="93"/>
      <x v="89"/>
      <x v="4"/>
    </i>
    <i r="2">
      <x v="5"/>
    </i>
    <i>
      <x v="94"/>
      <x v="118"/>
      <x v="4"/>
    </i>
    <i r="2">
      <x v="5"/>
    </i>
    <i>
      <x v="95"/>
      <x v="124"/>
      <x v="4"/>
    </i>
    <i r="2">
      <x v="5"/>
    </i>
    <i>
      <x v="96"/>
      <x v="129"/>
      <x v="4"/>
    </i>
    <i r="2">
      <x v="5"/>
    </i>
    <i>
      <x v="97"/>
      <x v="134"/>
      <x v="4"/>
    </i>
    <i r="2">
      <x v="5"/>
    </i>
    <i>
      <x v="98"/>
      <x v="149"/>
      <x v="4"/>
    </i>
    <i r="2">
      <x v="5"/>
    </i>
    <i>
      <x v="99"/>
      <x v="163"/>
      <x v="4"/>
    </i>
    <i r="2">
      <x v="5"/>
    </i>
    <i>
      <x v="100"/>
      <x v="164"/>
      <x v="4"/>
    </i>
    <i r="2">
      <x v="5"/>
    </i>
    <i>
      <x v="101"/>
      <x v="186"/>
      <x v="4"/>
    </i>
    <i r="2">
      <x v="5"/>
    </i>
    <i>
      <x v="102"/>
      <x v="31"/>
      <x/>
    </i>
    <i r="2">
      <x v="1"/>
    </i>
    <i r="2">
      <x v="2"/>
    </i>
    <i r="2">
      <x v="3"/>
    </i>
    <i r="2">
      <x v="4"/>
    </i>
    <i>
      <x v="103"/>
      <x v="80"/>
      <x/>
    </i>
    <i r="2">
      <x v="1"/>
    </i>
    <i r="2">
      <x v="2"/>
    </i>
    <i r="2">
      <x v="3"/>
    </i>
    <i r="2">
      <x v="4"/>
    </i>
    <i>
      <x v="104"/>
      <x v="81"/>
      <x/>
    </i>
    <i r="2">
      <x v="1"/>
    </i>
    <i r="2">
      <x v="2"/>
    </i>
    <i r="2">
      <x v="3"/>
    </i>
    <i r="2">
      <x v="4"/>
    </i>
    <i>
      <x v="105"/>
      <x v="27"/>
      <x/>
    </i>
    <i r="2">
      <x v="1"/>
    </i>
    <i r="2">
      <x v="3"/>
    </i>
    <i r="2">
      <x v="4"/>
    </i>
    <i>
      <x v="106"/>
      <x v="40"/>
      <x v="3"/>
    </i>
    <i r="2">
      <x v="4"/>
    </i>
    <i>
      <x v="107"/>
      <x v="148"/>
      <x v="3"/>
    </i>
    <i r="2">
      <x v="4"/>
    </i>
    <i>
      <x v="108"/>
      <x v="39"/>
      <x v="1"/>
    </i>
    <i r="2">
      <x v="3"/>
    </i>
    <i r="2">
      <x v="4"/>
    </i>
    <i>
      <x v="109"/>
      <x v="103"/>
      <x v="1"/>
    </i>
    <i r="2">
      <x v="3"/>
    </i>
    <i r="2">
      <x v="4"/>
    </i>
    <i>
      <x v="110"/>
      <x v="121"/>
      <x/>
    </i>
    <i r="2">
      <x v="1"/>
    </i>
    <i r="2">
      <x v="3"/>
    </i>
    <i r="2">
      <x v="4"/>
    </i>
    <i>
      <x v="111"/>
      <x v="97"/>
      <x v="1"/>
    </i>
    <i r="2">
      <x v="3"/>
    </i>
    <i r="2">
      <x v="4"/>
    </i>
    <i>
      <x v="112"/>
      <x v="96"/>
      <x v="1"/>
    </i>
    <i r="2">
      <x v="3"/>
    </i>
    <i r="2">
      <x v="4"/>
    </i>
    <i>
      <x v="113"/>
      <x v="117"/>
      <x v="1"/>
    </i>
    <i r="2">
      <x v="3"/>
    </i>
    <i r="2">
      <x v="4"/>
    </i>
    <i>
      <x v="114"/>
      <x v="128"/>
      <x/>
    </i>
    <i r="2">
      <x v="1"/>
    </i>
    <i r="2">
      <x v="3"/>
    </i>
    <i r="2">
      <x v="4"/>
    </i>
    <i>
      <x v="115"/>
      <x v="101"/>
      <x v="1"/>
    </i>
    <i r="2">
      <x v="3"/>
    </i>
    <i r="2">
      <x v="4"/>
    </i>
    <i>
      <x v="116"/>
      <x v="171"/>
      <x v="1"/>
    </i>
    <i r="2">
      <x v="3"/>
    </i>
    <i r="2">
      <x v="4"/>
    </i>
    <i>
      <x v="117"/>
      <x v="77"/>
      <x v="1"/>
    </i>
    <i r="2">
      <x v="3"/>
    </i>
    <i r="2">
      <x v="4"/>
    </i>
    <i>
      <x v="118"/>
      <x v="23"/>
      <x v="3"/>
    </i>
    <i r="2">
      <x v="4"/>
    </i>
    <i>
      <x v="119"/>
      <x v="53"/>
      <x/>
    </i>
    <i r="2">
      <x v="3"/>
    </i>
    <i r="2">
      <x v="4"/>
    </i>
    <i>
      <x v="120"/>
      <x v="147"/>
      <x v="3"/>
    </i>
    <i r="2">
      <x v="4"/>
    </i>
    <i>
      <x v="121"/>
      <x v="84"/>
      <x v="1"/>
    </i>
    <i r="2">
      <x v="3"/>
    </i>
    <i r="2">
      <x v="4"/>
    </i>
    <i>
      <x v="122"/>
      <x v="82"/>
      <x v="1"/>
    </i>
    <i r="2">
      <x v="3"/>
    </i>
    <i r="2">
      <x v="4"/>
    </i>
    <i>
      <x v="123"/>
      <x v="132"/>
      <x v="3"/>
    </i>
    <i r="2">
      <x v="4"/>
    </i>
    <i>
      <x v="124"/>
      <x v="189"/>
      <x v="3"/>
    </i>
    <i r="2">
      <x v="4"/>
    </i>
    <i>
      <x v="125"/>
      <x v="190"/>
      <x v="3"/>
    </i>
    <i r="2">
      <x v="4"/>
    </i>
    <i>
      <x v="126"/>
      <x v="29"/>
      <x v="3"/>
    </i>
    <i r="2">
      <x v="4"/>
    </i>
    <i>
      <x v="127"/>
      <x v="58"/>
      <x v="3"/>
    </i>
    <i r="2">
      <x v="4"/>
    </i>
    <i>
      <x v="128"/>
      <x v="24"/>
      <x v="1"/>
    </i>
    <i r="2">
      <x v="3"/>
    </i>
    <i r="2">
      <x v="4"/>
    </i>
    <i>
      <x v="129"/>
      <x v="185"/>
      <x v="1"/>
    </i>
    <i r="2">
      <x v="3"/>
    </i>
    <i r="2">
      <x v="4"/>
    </i>
    <i>
      <x v="130"/>
      <x v="76"/>
      <x v="3"/>
    </i>
    <i r="2">
      <x v="4"/>
    </i>
    <i>
      <x v="131"/>
      <x v="45"/>
      <x v="3"/>
    </i>
    <i r="2">
      <x v="4"/>
    </i>
    <i>
      <x v="132"/>
      <x v="110"/>
      <x v="3"/>
    </i>
    <i r="2">
      <x v="4"/>
    </i>
    <i>
      <x v="133"/>
      <x v="156"/>
      <x v="1"/>
    </i>
    <i>
      <x v="134"/>
      <x v="162"/>
      <x v="1"/>
    </i>
    <i>
      <x v="135"/>
      <x v="1"/>
      <x/>
    </i>
    <i r="2">
      <x v="1"/>
    </i>
    <i r="2">
      <x v="3"/>
    </i>
    <i>
      <x v="136"/>
      <x v="16"/>
      <x/>
    </i>
    <i r="2">
      <x v="1"/>
    </i>
    <i r="2">
      <x v="2"/>
    </i>
    <i r="2">
      <x v="3"/>
    </i>
    <i r="2">
      <x v="4"/>
    </i>
    <i>
      <x v="137"/>
      <x v="182"/>
      <x/>
    </i>
    <i r="2">
      <x v="1"/>
    </i>
    <i r="2">
      <x v="2"/>
    </i>
    <i r="2">
      <x v="3"/>
    </i>
    <i r="2">
      <x v="4"/>
    </i>
    <i>
      <x v="138"/>
      <x v="38"/>
      <x/>
    </i>
    <i r="2">
      <x v="1"/>
    </i>
    <i r="2">
      <x v="3"/>
    </i>
    <i>
      <x v="139"/>
      <x v="144"/>
      <x/>
    </i>
    <i r="2">
      <x v="1"/>
    </i>
    <i r="2">
      <x v="3"/>
    </i>
    <i>
      <x v="140"/>
      <x v="107"/>
      <x/>
    </i>
    <i r="2">
      <x v="1"/>
    </i>
    <i r="2">
      <x v="3"/>
    </i>
    <i>
      <x v="141"/>
      <x v="172"/>
      <x v="2"/>
    </i>
    <i r="2">
      <x v="3"/>
    </i>
    <i r="2">
      <x v="4"/>
    </i>
    <i>
      <x v="142"/>
      <x v="15"/>
      <x v="2"/>
    </i>
    <i r="2">
      <x v="3"/>
    </i>
    <i r="2">
      <x v="4"/>
    </i>
    <i>
      <x v="143"/>
      <x v="135"/>
      <x v="3"/>
    </i>
    <i r="2">
      <x v="4"/>
    </i>
    <i>
      <x v="144"/>
      <x v="33"/>
      <x v="3"/>
    </i>
    <i r="2">
      <x v="4"/>
    </i>
    <i>
      <x v="145"/>
      <x v="173"/>
      <x v="2"/>
    </i>
    <i r="2">
      <x v="3"/>
    </i>
    <i r="2">
      <x v="4"/>
    </i>
    <i>
      <x v="146"/>
      <x v="5"/>
      <x v="2"/>
    </i>
    <i r="2">
      <x v="3"/>
    </i>
    <i r="2">
      <x v="4"/>
    </i>
    <i>
      <x v="147"/>
      <x v="34"/>
      <x v="3"/>
    </i>
    <i r="2">
      <x v="4"/>
    </i>
    <i>
      <x v="148"/>
      <x v="136"/>
      <x v="3"/>
    </i>
    <i r="2">
      <x v="4"/>
    </i>
    <i>
      <x v="149"/>
      <x v="55"/>
      <x v="3"/>
    </i>
    <i r="2">
      <x v="4"/>
    </i>
    <i>
      <x v="150"/>
      <x v="98"/>
      <x v="3"/>
    </i>
    <i r="2">
      <x v="4"/>
    </i>
    <i>
      <x v="151"/>
      <x v="165"/>
      <x v="3"/>
    </i>
    <i r="2">
      <x v="4"/>
    </i>
    <i>
      <x v="152"/>
      <x v="14"/>
      <x v="3"/>
    </i>
    <i r="2">
      <x v="4"/>
    </i>
    <i>
      <x v="153"/>
      <x v="159"/>
      <x v="3"/>
    </i>
    <i r="2">
      <x v="4"/>
    </i>
    <i>
      <x v="154"/>
      <x v="181"/>
      <x v="3"/>
    </i>
    <i r="2">
      <x v="4"/>
    </i>
    <i>
      <x v="155"/>
      <x v="104"/>
      <x v="3"/>
    </i>
    <i r="2">
      <x v="4"/>
    </i>
    <i>
      <x v="156"/>
      <x v="157"/>
      <x v="3"/>
    </i>
    <i r="2">
      <x v="4"/>
    </i>
    <i>
      <x v="157"/>
      <x v="2"/>
      <x v="1"/>
    </i>
    <i>
      <x v="158"/>
      <x v="17"/>
      <x v="1"/>
    </i>
    <i>
      <x v="159"/>
      <x v="41"/>
      <x v="1"/>
    </i>
    <i>
      <x v="160"/>
      <x v="46"/>
      <x v="1"/>
    </i>
    <i>
      <x v="161"/>
      <x v="51"/>
      <x v="1"/>
    </i>
    <i>
      <x v="162"/>
      <x v="59"/>
      <x v="1"/>
    </i>
    <i>
      <x v="163"/>
      <x v="83"/>
      <x v="1"/>
    </i>
    <i>
      <x v="164"/>
      <x v="108"/>
      <x v="1"/>
    </i>
    <i>
      <x v="165"/>
      <x v="111"/>
      <x v="1"/>
    </i>
    <i>
      <x v="166"/>
      <x v="113"/>
      <x v="1"/>
    </i>
    <i>
      <x v="167"/>
      <x v="145"/>
      <x v="1"/>
    </i>
    <i>
      <x v="168"/>
      <x v="183"/>
      <x v="1"/>
    </i>
    <i>
      <x v="169"/>
      <x v="188"/>
      <x v="1"/>
    </i>
    <i>
      <x v="170"/>
      <x v="6"/>
      <x v="3"/>
    </i>
    <i r="2">
      <x v="4"/>
    </i>
    <i>
      <x v="171"/>
      <x v="25"/>
      <x v="3"/>
    </i>
    <i r="2">
      <x v="4"/>
    </i>
    <i>
      <x v="172"/>
      <x v="64"/>
      <x v="3"/>
    </i>
    <i r="2">
      <x v="4"/>
    </i>
    <i>
      <x v="173"/>
      <x v="85"/>
      <x v="3"/>
    </i>
    <i r="2">
      <x v="4"/>
    </i>
    <i>
      <x v="174"/>
      <x v="90"/>
      <x v="3"/>
    </i>
    <i r="2">
      <x v="4"/>
    </i>
    <i>
      <x v="175"/>
      <x v="105"/>
      <x v="3"/>
    </i>
    <i r="2">
      <x v="4"/>
    </i>
    <i>
      <x v="176"/>
      <x v="137"/>
      <x v="3"/>
    </i>
    <i r="2">
      <x v="4"/>
    </i>
    <i>
      <x v="177"/>
      <x v="150"/>
      <x v="3"/>
    </i>
    <i r="2">
      <x v="4"/>
    </i>
    <i>
      <x v="178"/>
      <x v="166"/>
      <x v="3"/>
    </i>
    <i r="2">
      <x v="4"/>
    </i>
    <i>
      <x v="179"/>
      <x v="174"/>
      <x v="3"/>
    </i>
    <i r="2">
      <x v="4"/>
    </i>
    <i>
      <x v="180"/>
      <x v="19"/>
      <x v="3"/>
    </i>
    <i r="2">
      <x v="4"/>
    </i>
    <i>
      <x v="181"/>
      <x v="7"/>
      <x v="3"/>
    </i>
    <i r="2">
      <x v="4"/>
    </i>
    <i>
      <x v="182"/>
      <x v="54"/>
      <x v="3"/>
    </i>
    <i r="2">
      <x v="4"/>
    </i>
    <i>
      <x v="183"/>
      <x v="67"/>
      <x v="3"/>
    </i>
    <i r="2">
      <x v="4"/>
    </i>
    <i>
      <x v="184"/>
      <x v="72"/>
      <x v="3"/>
    </i>
    <i r="2">
      <x v="4"/>
    </i>
    <i>
      <x v="185"/>
      <x v="87"/>
      <x v="3"/>
    </i>
    <i r="2">
      <x v="4"/>
    </i>
    <i>
      <x v="186"/>
      <x v="91"/>
      <x v="3"/>
    </i>
    <i r="2">
      <x v="4"/>
    </i>
    <i>
      <x v="187"/>
      <x v="106"/>
      <x v="3"/>
    </i>
    <i r="2">
      <x v="4"/>
    </i>
    <i>
      <x v="188"/>
      <x v="138"/>
      <x v="3"/>
    </i>
    <i r="2">
      <x v="4"/>
    </i>
    <i>
      <x v="189"/>
      <x v="151"/>
      <x v="3"/>
    </i>
    <i r="2">
      <x v="4"/>
    </i>
    <i>
      <x v="190"/>
      <x v="175"/>
      <x v="3"/>
    </i>
    <i r="2">
      <x v="4"/>
    </i>
    <i>
      <x v="191"/>
      <x v="191"/>
      <x v="7"/>
    </i>
    <i r="1">
      <x v="192"/>
      <x v="7"/>
    </i>
    <i t="grand">
      <x/>
    </i>
  </rowItems>
  <colItems count="1">
    <i/>
  </colItems>
  <pageFields count="1">
    <pageField fld="0" hier="-1"/>
  </pageFields>
  <dataFields count="1">
    <dataField name="합계 : 실수량" fld="7" baseField="0" baseItem="0"/>
  </dataFields>
  <formats count="12">
    <format dxfId="1803">
      <pivotArea outline="0" collapsedLevelsAreSubtotals="1" fieldPosition="0"/>
    </format>
    <format dxfId="1802">
      <pivotArea dataOnly="0" labelOnly="1" grandRow="1" outline="0" fieldPosition="0"/>
    </format>
    <format dxfId="1801">
      <pivotArea outline="0" collapsedLevelsAreSubtotals="1" fieldPosition="0"/>
    </format>
    <format dxfId="1800">
      <pivotArea dataOnly="0" labelOnly="1" grandRow="1" outline="0" fieldPosition="0"/>
    </format>
    <format dxfId="1799">
      <pivotArea outline="0" collapsedLevelsAreSubtotals="1" fieldPosition="0"/>
    </format>
    <format dxfId="1798">
      <pivotArea dataOnly="0" labelOnly="1" grandRow="1" outline="0" fieldPosition="0"/>
    </format>
    <format dxfId="1797">
      <pivotArea outline="0" collapsedLevelsAreSubtotals="1" fieldPosition="0"/>
    </format>
    <format dxfId="1796">
      <pivotArea dataOnly="0" labelOnly="1" grandRow="1" outline="0" fieldPosition="0"/>
    </format>
    <format dxfId="1795">
      <pivotArea outline="0" collapsedLevelsAreSubtotals="1" fieldPosition="0"/>
    </format>
    <format dxfId="1794">
      <pivotArea type="topRight" dataOnly="0" labelOnly="1" outline="0" fieldPosition="0"/>
    </format>
    <format dxfId="1793">
      <pivotArea dataOnly="0" labelOnly="1" grandCol="1" outline="0" fieldPosition="0"/>
    </format>
    <format dxfId="1792">
      <pivotArea type="all" dataOnly="0" outline="0" fieldPosition="0"/>
    </format>
  </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피벗 테이블2" cacheId="30" applyNumberFormats="0" applyBorderFormats="0" applyFontFormats="0" applyPatternFormats="0" applyAlignmentFormats="0" applyWidthHeightFormats="1" dataCaption="값" updatedVersion="3" minRefreshableVersion="3" showCalcMbrs="0" useAutoFormatting="1" itemPrintTitles="1" createdVersion="3" indent="0" outline="1" outlineData="1" multipleFieldFilters="0">
  <location ref="A3:K221" firstHeaderRow="1" firstDataRow="2" firstDataCol="2" rowPageCount="1" colPageCount="1"/>
  <pivotFields count="15">
    <pivotField axis="axisPage" showAll="0">
      <items count="5">
        <item x="0"/>
        <item x="3"/>
        <item x="1"/>
        <item x="2"/>
        <item t="default"/>
      </items>
    </pivotField>
    <pivotField showAll="0"/>
    <pivotField axis="axisRow" outline="0" showAll="0" defaultSubtotal="0">
      <items count="201"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172"/>
        <item x="173"/>
        <item x="174"/>
        <item x="175"/>
        <item x="176"/>
        <item x="177"/>
        <item x="178"/>
        <item x="179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54"/>
        <item x="55"/>
        <item x="56"/>
        <item x="57"/>
        <item x="58"/>
        <item x="59"/>
        <item x="60"/>
        <item x="61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13"/>
        <item x="114"/>
        <item x="115"/>
        <item x="116"/>
        <item x="117"/>
        <item x="118"/>
        <item x="119"/>
        <item x="120"/>
        <item x="121"/>
        <item x="122"/>
        <item x="200"/>
        <item x="191"/>
        <item x="192"/>
        <item x="193"/>
        <item x="194"/>
        <item x="195"/>
        <item x="196"/>
        <item x="197"/>
        <item x="198"/>
        <item x="199"/>
      </items>
    </pivotField>
    <pivotField axis="axisCol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axis="axisRow" showAll="0" defaultSubtotal="0">
      <items count="202">
        <item x="67"/>
        <item x="33"/>
        <item x="123"/>
        <item x="83"/>
        <item x="158"/>
        <item x="102"/>
        <item x="180"/>
        <item x="113"/>
        <item x="54"/>
        <item x="39"/>
        <item x="172"/>
        <item x="136"/>
        <item x="137"/>
        <item x="138"/>
        <item x="108"/>
        <item x="98"/>
        <item x="34"/>
        <item x="124"/>
        <item x="63"/>
        <item x="190"/>
        <item x="173"/>
        <item x="174"/>
        <item x="175"/>
        <item x="16"/>
        <item x="26"/>
        <item x="181"/>
        <item x="151"/>
        <item x="3"/>
        <item x="176"/>
        <item x="24"/>
        <item x="152"/>
        <item x="0"/>
        <item x="159"/>
        <item x="100"/>
        <item x="103"/>
        <item x="56"/>
        <item x="40"/>
        <item x="153"/>
        <item x="36"/>
        <item x="6"/>
        <item x="4"/>
        <item x="125"/>
        <item x="177"/>
        <item x="84"/>
        <item x="178"/>
        <item x="29"/>
        <item x="126"/>
        <item x="160"/>
        <item x="85"/>
        <item x="58"/>
        <item x="86"/>
        <item x="127"/>
        <item x="87"/>
        <item x="17"/>
        <item x="114"/>
        <item x="105"/>
        <item x="60"/>
        <item x="47"/>
        <item x="25"/>
        <item x="128"/>
        <item x="88"/>
        <item x="89"/>
        <item x="90"/>
        <item x="91"/>
        <item x="182"/>
        <item x="92"/>
        <item x="93"/>
        <item x="115"/>
        <item x="142"/>
        <item x="143"/>
        <item x="144"/>
        <item x="94"/>
        <item x="116"/>
        <item x="161"/>
        <item x="52"/>
        <item x="154"/>
        <item x="28"/>
        <item x="15"/>
        <item x="162"/>
        <item x="43"/>
        <item x="1"/>
        <item x="2"/>
        <item x="20"/>
        <item x="129"/>
        <item x="19"/>
        <item x="183"/>
        <item x="95"/>
        <item x="117"/>
        <item x="96"/>
        <item x="163"/>
        <item x="184"/>
        <item x="118"/>
        <item x="82"/>
        <item x="81"/>
        <item x="68"/>
        <item x="69"/>
        <item x="10"/>
        <item x="9"/>
        <item x="106"/>
        <item x="59"/>
        <item x="46"/>
        <item x="13"/>
        <item x="66"/>
        <item x="7"/>
        <item x="111"/>
        <item x="185"/>
        <item x="119"/>
        <item x="38"/>
        <item x="130"/>
        <item x="70"/>
        <item x="30"/>
        <item x="131"/>
        <item x="71"/>
        <item x="132"/>
        <item x="72"/>
        <item x="44"/>
        <item x="80"/>
        <item x="11"/>
        <item x="164"/>
        <item x="50"/>
        <item x="155"/>
        <item x="8"/>
        <item x="73"/>
        <item x="74"/>
        <item x="165"/>
        <item x="51"/>
        <item x="156"/>
        <item x="75"/>
        <item x="12"/>
        <item x="166"/>
        <item x="49"/>
        <item x="76"/>
        <item x="21"/>
        <item x="179"/>
        <item x="167"/>
        <item x="99"/>
        <item x="104"/>
        <item x="186"/>
        <item x="120"/>
        <item x="57"/>
        <item x="42"/>
        <item x="145"/>
        <item x="146"/>
        <item x="147"/>
        <item x="37"/>
        <item x="133"/>
        <item x="64"/>
        <item x="18"/>
        <item x="5"/>
        <item x="168"/>
        <item x="187"/>
        <item x="121"/>
        <item x="148"/>
        <item x="149"/>
        <item x="150"/>
        <item x="65"/>
        <item x="31"/>
        <item x="112"/>
        <item x="53"/>
        <item x="109"/>
        <item x="77"/>
        <item x="78"/>
        <item x="32"/>
        <item x="169"/>
        <item x="170"/>
        <item x="107"/>
        <item x="188"/>
        <item x="61"/>
        <item x="45"/>
        <item x="157"/>
        <item x="79"/>
        <item x="14"/>
        <item x="97"/>
        <item x="101"/>
        <item x="189"/>
        <item x="122"/>
        <item x="55"/>
        <item x="41"/>
        <item x="139"/>
        <item x="140"/>
        <item x="141"/>
        <item x="110"/>
        <item x="35"/>
        <item x="134"/>
        <item x="62"/>
        <item x="27"/>
        <item x="171"/>
        <item x="48"/>
        <item x="135"/>
        <item x="22"/>
        <item x="23"/>
        <item x="200"/>
        <item m="1" x="201"/>
        <item x="191"/>
        <item x="192"/>
        <item x="193"/>
        <item x="194"/>
        <item x="195"/>
        <item x="196"/>
        <item x="197"/>
        <item x="198"/>
        <item x="199"/>
      </items>
    </pivotField>
    <pivotField dataField="1" showAll="0" defaultSubtotal="0"/>
    <pivotField showAll="0"/>
    <pivotField showAll="0"/>
    <pivotField showAll="0"/>
    <pivotField showAll="0"/>
    <pivotField showAll="0"/>
    <pivotField axis="axisRow" showAll="0">
      <items count="17">
        <item x="2"/>
        <item x="1"/>
        <item x="10"/>
        <item x="7"/>
        <item x="8"/>
        <item x="9"/>
        <item x="4"/>
        <item x="0"/>
        <item x="6"/>
        <item x="3"/>
        <item x="11"/>
        <item x="12"/>
        <item x="5"/>
        <item x="14"/>
        <item m="1" x="15"/>
        <item x="13"/>
        <item t="default"/>
      </items>
    </pivotField>
    <pivotField showAll="0"/>
  </pivotFields>
  <rowFields count="3">
    <field x="13"/>
    <field x="2"/>
    <field x="6"/>
  </rowFields>
  <rowItems count="217">
    <i>
      <x/>
    </i>
    <i r="1">
      <x v="58"/>
      <x v="8"/>
    </i>
    <i r="1">
      <x v="59"/>
      <x v="176"/>
    </i>
    <i r="1">
      <x v="60"/>
      <x v="35"/>
    </i>
    <i r="1">
      <x v="61"/>
      <x v="139"/>
    </i>
    <i r="1">
      <x v="62"/>
      <x v="49"/>
    </i>
    <i r="1">
      <x v="63"/>
      <x v="99"/>
    </i>
    <i r="1">
      <x v="64"/>
      <x v="56"/>
    </i>
    <i r="1">
      <x v="65"/>
      <x v="167"/>
    </i>
    <i>
      <x v="1"/>
    </i>
    <i r="1">
      <x/>
      <x v="9"/>
    </i>
    <i r="1">
      <x v="1"/>
      <x v="36"/>
    </i>
    <i r="1">
      <x v="2"/>
      <x v="177"/>
    </i>
    <i r="1">
      <x v="3"/>
      <x v="140"/>
    </i>
    <i r="1">
      <x v="4"/>
      <x v="79"/>
    </i>
    <i r="1">
      <x v="5"/>
      <x v="115"/>
    </i>
    <i r="1">
      <x v="6"/>
      <x v="168"/>
    </i>
    <i r="1">
      <x v="7"/>
      <x v="100"/>
    </i>
    <i r="1">
      <x v="8"/>
      <x v="57"/>
    </i>
    <i r="1">
      <x v="9"/>
      <x v="187"/>
    </i>
    <i r="1">
      <x v="10"/>
      <x v="130"/>
    </i>
    <i r="1">
      <x v="11"/>
      <x v="119"/>
    </i>
    <i r="1">
      <x v="12"/>
      <x v="125"/>
    </i>
    <i r="1">
      <x v="13"/>
      <x v="74"/>
    </i>
    <i r="1">
      <x v="14"/>
      <x v="158"/>
    </i>
    <i>
      <x v="2"/>
    </i>
    <i r="1">
      <x v="15"/>
      <x v="10"/>
    </i>
    <i r="1">
      <x v="16"/>
      <x v="20"/>
    </i>
    <i r="1">
      <x v="17"/>
      <x v="21"/>
    </i>
    <i r="1">
      <x v="18"/>
      <x v="22"/>
    </i>
    <i r="1">
      <x v="19"/>
      <x v="28"/>
    </i>
    <i r="1">
      <x v="20"/>
      <x v="42"/>
    </i>
    <i r="1">
      <x v="21"/>
      <x v="44"/>
    </i>
    <i r="1">
      <x v="22"/>
      <x v="133"/>
    </i>
    <i>
      <x v="3"/>
    </i>
    <i r="1">
      <x v="66"/>
      <x v="11"/>
    </i>
    <i r="1">
      <x v="67"/>
      <x v="12"/>
    </i>
    <i r="1">
      <x v="68"/>
      <x v="13"/>
    </i>
    <i r="1">
      <x v="69"/>
      <x v="178"/>
    </i>
    <i r="1">
      <x v="70"/>
      <x v="179"/>
    </i>
    <i r="1">
      <x v="71"/>
      <x v="180"/>
    </i>
    <i r="1">
      <x v="72"/>
      <x v="68"/>
    </i>
    <i r="1">
      <x v="73"/>
      <x v="69"/>
    </i>
    <i r="1">
      <x v="74"/>
      <x v="70"/>
    </i>
    <i r="1">
      <x v="75"/>
      <x v="141"/>
    </i>
    <i r="1">
      <x v="76"/>
      <x v="142"/>
    </i>
    <i r="1">
      <x v="77"/>
      <x v="143"/>
    </i>
    <i r="1">
      <x v="78"/>
      <x v="152"/>
    </i>
    <i r="1">
      <x v="79"/>
      <x v="153"/>
    </i>
    <i r="1">
      <x v="80"/>
      <x v="154"/>
    </i>
    <i>
      <x v="4"/>
    </i>
    <i r="1">
      <x v="81"/>
      <x v="26"/>
    </i>
    <i r="1">
      <x v="82"/>
      <x v="30"/>
    </i>
    <i r="1">
      <x v="83"/>
      <x v="37"/>
    </i>
    <i r="1">
      <x v="84"/>
      <x v="75"/>
    </i>
    <i r="1">
      <x v="85"/>
      <x v="120"/>
    </i>
    <i r="1">
      <x v="86"/>
      <x v="126"/>
    </i>
    <i r="1">
      <x v="87"/>
      <x v="169"/>
    </i>
    <i>
      <x v="5"/>
    </i>
    <i r="1">
      <x v="88"/>
      <x v="4"/>
    </i>
    <i r="1">
      <x v="89"/>
      <x v="32"/>
    </i>
    <i r="1">
      <x v="90"/>
      <x v="47"/>
    </i>
    <i r="1">
      <x v="91"/>
      <x v="73"/>
    </i>
    <i r="1">
      <x v="92"/>
      <x v="78"/>
    </i>
    <i r="1">
      <x v="93"/>
      <x v="89"/>
    </i>
    <i r="1">
      <x v="94"/>
      <x v="118"/>
    </i>
    <i r="1">
      <x v="95"/>
      <x v="124"/>
    </i>
    <i r="1">
      <x v="96"/>
      <x v="129"/>
    </i>
    <i r="1">
      <x v="97"/>
      <x v="134"/>
    </i>
    <i r="1">
      <x v="98"/>
      <x v="149"/>
    </i>
    <i r="1">
      <x v="99"/>
      <x v="163"/>
    </i>
    <i r="1">
      <x v="100"/>
      <x v="164"/>
    </i>
    <i r="1">
      <x v="101"/>
      <x v="186"/>
    </i>
    <i>
      <x v="6"/>
    </i>
    <i r="1">
      <x v="141"/>
      <x v="172"/>
    </i>
    <i r="1">
      <x v="142"/>
      <x v="15"/>
    </i>
    <i r="1">
      <x v="143"/>
      <x v="135"/>
    </i>
    <i r="1">
      <x v="144"/>
      <x v="33"/>
    </i>
    <i r="1">
      <x v="145"/>
      <x v="173"/>
    </i>
    <i r="1">
      <x v="146"/>
      <x v="5"/>
    </i>
    <i r="1">
      <x v="147"/>
      <x v="34"/>
    </i>
    <i r="1">
      <x v="148"/>
      <x v="136"/>
    </i>
    <i r="1">
      <x v="149"/>
      <x v="55"/>
    </i>
    <i r="1">
      <x v="150"/>
      <x v="98"/>
    </i>
    <i r="1">
      <x v="151"/>
      <x v="165"/>
    </i>
    <i r="1">
      <x v="152"/>
      <x v="14"/>
    </i>
    <i r="1">
      <x v="153"/>
      <x v="159"/>
    </i>
    <i r="1">
      <x v="154"/>
      <x v="181"/>
    </i>
    <i r="1">
      <x v="155"/>
      <x v="104"/>
    </i>
    <i r="1">
      <x v="156"/>
      <x v="157"/>
    </i>
    <i r="1">
      <x v="197"/>
      <x v="198"/>
    </i>
    <i r="1">
      <x v="198"/>
      <x v="199"/>
    </i>
    <i r="1">
      <x v="199"/>
      <x v="200"/>
    </i>
    <i r="1">
      <x v="200"/>
      <x v="201"/>
    </i>
    <i>
      <x v="7"/>
    </i>
    <i r="1">
      <x v="102"/>
      <x v="31"/>
    </i>
    <i r="1">
      <x v="103"/>
      <x v="80"/>
    </i>
    <i r="1">
      <x v="104"/>
      <x v="81"/>
    </i>
    <i r="1">
      <x v="105"/>
      <x v="27"/>
    </i>
    <i r="1">
      <x v="106"/>
      <x v="40"/>
    </i>
    <i r="1">
      <x v="107"/>
      <x v="148"/>
    </i>
    <i r="1">
      <x v="108"/>
      <x v="39"/>
    </i>
    <i r="1">
      <x v="109"/>
      <x v="103"/>
    </i>
    <i r="1">
      <x v="110"/>
      <x v="121"/>
    </i>
    <i r="1">
      <x v="111"/>
      <x v="97"/>
    </i>
    <i r="1">
      <x v="112"/>
      <x v="96"/>
    </i>
    <i r="1">
      <x v="113"/>
      <x v="117"/>
    </i>
    <i r="1">
      <x v="114"/>
      <x v="128"/>
    </i>
    <i r="1">
      <x v="115"/>
      <x v="101"/>
    </i>
    <i r="1">
      <x v="116"/>
      <x v="171"/>
    </i>
    <i r="1">
      <x v="117"/>
      <x v="77"/>
    </i>
    <i r="1">
      <x v="118"/>
      <x v="23"/>
    </i>
    <i r="1">
      <x v="119"/>
      <x v="53"/>
    </i>
    <i r="1">
      <x v="120"/>
      <x v="147"/>
    </i>
    <i r="1">
      <x v="121"/>
      <x v="84"/>
    </i>
    <i r="1">
      <x v="122"/>
      <x v="82"/>
    </i>
    <i r="1">
      <x v="123"/>
      <x v="132"/>
    </i>
    <i r="1">
      <x v="124"/>
      <x v="189"/>
    </i>
    <i r="1">
      <x v="125"/>
      <x v="190"/>
    </i>
    <i r="1">
      <x v="126"/>
      <x v="29"/>
    </i>
    <i r="1">
      <x v="127"/>
      <x v="58"/>
    </i>
    <i r="1">
      <x v="128"/>
      <x v="24"/>
    </i>
    <i r="1">
      <x v="129"/>
      <x v="185"/>
    </i>
    <i r="1">
      <x v="130"/>
      <x v="76"/>
    </i>
    <i r="1">
      <x v="131"/>
      <x v="45"/>
    </i>
    <i r="1">
      <x v="132"/>
      <x v="110"/>
    </i>
    <i r="1">
      <x v="133"/>
      <x v="156"/>
    </i>
    <i r="1">
      <x v="134"/>
      <x v="162"/>
    </i>
    <i r="1">
      <x v="135"/>
      <x v="1"/>
    </i>
    <i r="1">
      <x v="136"/>
      <x v="16"/>
    </i>
    <i r="1">
      <x v="137"/>
      <x v="182"/>
    </i>
    <i r="1">
      <x v="138"/>
      <x v="38"/>
    </i>
    <i r="1">
      <x v="139"/>
      <x v="144"/>
    </i>
    <i r="1">
      <x v="140"/>
      <x v="107"/>
    </i>
    <i>
      <x v="8"/>
    </i>
    <i r="1">
      <x v="157"/>
      <x v="2"/>
    </i>
    <i r="1">
      <x v="158"/>
      <x v="17"/>
    </i>
    <i r="1">
      <x v="159"/>
      <x v="41"/>
    </i>
    <i r="1">
      <x v="160"/>
      <x v="46"/>
    </i>
    <i r="1">
      <x v="161"/>
      <x v="51"/>
    </i>
    <i r="1">
      <x v="162"/>
      <x v="59"/>
    </i>
    <i r="1">
      <x v="163"/>
      <x v="83"/>
    </i>
    <i r="1">
      <x v="164"/>
      <x v="108"/>
    </i>
    <i r="1">
      <x v="165"/>
      <x v="111"/>
    </i>
    <i r="1">
      <x v="166"/>
      <x v="113"/>
    </i>
    <i r="1">
      <x v="167"/>
      <x v="145"/>
    </i>
    <i r="1">
      <x v="168"/>
      <x v="183"/>
    </i>
    <i r="1">
      <x v="169"/>
      <x v="188"/>
    </i>
    <i>
      <x v="9"/>
    </i>
    <i r="1">
      <x v="23"/>
      <x v="184"/>
    </i>
    <i r="1">
      <x v="24"/>
      <x v="18"/>
    </i>
    <i r="1">
      <x v="25"/>
      <x v="146"/>
    </i>
    <i r="1">
      <x v="26"/>
      <x v="155"/>
    </i>
    <i r="1">
      <x v="27"/>
      <x v="102"/>
    </i>
    <i r="1">
      <x v="28"/>
      <x/>
    </i>
    <i r="1">
      <x v="29"/>
      <x v="94"/>
    </i>
    <i r="1">
      <x v="30"/>
      <x v="95"/>
    </i>
    <i r="1">
      <x v="31"/>
      <x v="109"/>
    </i>
    <i r="1">
      <x v="32"/>
      <x v="112"/>
    </i>
    <i r="1">
      <x v="33"/>
      <x v="114"/>
    </i>
    <i r="1">
      <x v="34"/>
      <x v="122"/>
    </i>
    <i r="1">
      <x v="35"/>
      <x v="123"/>
    </i>
    <i r="1">
      <x v="36"/>
      <x v="127"/>
    </i>
    <i r="1">
      <x v="37"/>
      <x v="131"/>
    </i>
    <i r="1">
      <x v="38"/>
      <x v="160"/>
    </i>
    <i r="1">
      <x v="39"/>
      <x v="161"/>
    </i>
    <i r="1">
      <x v="40"/>
      <x v="170"/>
    </i>
    <i r="1">
      <x v="41"/>
      <x v="116"/>
    </i>
    <i r="1">
      <x v="42"/>
      <x v="93"/>
    </i>
    <i r="1">
      <x v="43"/>
      <x v="92"/>
    </i>
    <i r="1">
      <x v="44"/>
      <x v="3"/>
    </i>
    <i r="1">
      <x v="45"/>
      <x v="43"/>
    </i>
    <i r="1">
      <x v="46"/>
      <x v="48"/>
    </i>
    <i r="1">
      <x v="47"/>
      <x v="50"/>
    </i>
    <i r="1">
      <x v="48"/>
      <x v="52"/>
    </i>
    <i r="1">
      <x v="49"/>
      <x v="60"/>
    </i>
    <i r="1">
      <x v="50"/>
      <x v="61"/>
    </i>
    <i r="1">
      <x v="51"/>
      <x v="62"/>
    </i>
    <i r="1">
      <x v="52"/>
      <x v="63"/>
    </i>
    <i r="1">
      <x v="53"/>
      <x v="65"/>
    </i>
    <i r="1">
      <x v="54"/>
      <x v="66"/>
    </i>
    <i r="1">
      <x v="55"/>
      <x v="71"/>
    </i>
    <i r="1">
      <x v="56"/>
      <x v="86"/>
    </i>
    <i r="1">
      <x v="57"/>
      <x v="88"/>
    </i>
    <i>
      <x v="10"/>
    </i>
    <i r="1">
      <x v="170"/>
      <x v="6"/>
    </i>
    <i r="1">
      <x v="171"/>
      <x v="25"/>
    </i>
    <i r="1">
      <x v="172"/>
      <x v="64"/>
    </i>
    <i r="1">
      <x v="173"/>
      <x v="85"/>
    </i>
    <i r="1">
      <x v="174"/>
      <x v="90"/>
    </i>
    <i r="1">
      <x v="175"/>
      <x v="105"/>
    </i>
    <i r="1">
      <x v="176"/>
      <x v="137"/>
    </i>
    <i r="1">
      <x v="177"/>
      <x v="150"/>
    </i>
    <i r="1">
      <x v="178"/>
      <x v="166"/>
    </i>
    <i r="1">
      <x v="179"/>
      <x v="174"/>
    </i>
    <i>
      <x v="11"/>
    </i>
    <i r="1">
      <x v="180"/>
      <x v="19"/>
    </i>
    <i>
      <x v="12"/>
    </i>
    <i r="1">
      <x v="181"/>
      <x v="7"/>
    </i>
    <i r="1">
      <x v="182"/>
      <x v="54"/>
    </i>
    <i r="1">
      <x v="183"/>
      <x v="67"/>
    </i>
    <i r="1">
      <x v="184"/>
      <x v="72"/>
    </i>
    <i r="1">
      <x v="185"/>
      <x v="87"/>
    </i>
    <i r="1">
      <x v="186"/>
      <x v="91"/>
    </i>
    <i r="1">
      <x v="187"/>
      <x v="106"/>
    </i>
    <i r="1">
      <x v="188"/>
      <x v="138"/>
    </i>
    <i r="1">
      <x v="189"/>
      <x v="151"/>
    </i>
    <i r="1">
      <x v="190"/>
      <x v="175"/>
    </i>
    <i>
      <x v="13"/>
    </i>
    <i r="1">
      <x v="191"/>
      <x v="191"/>
    </i>
    <i>
      <x v="15"/>
    </i>
    <i r="1">
      <x v="192"/>
      <x v="193"/>
    </i>
    <i r="1">
      <x v="193"/>
      <x v="194"/>
    </i>
    <i r="1">
      <x v="194"/>
      <x v="195"/>
    </i>
    <i r="1">
      <x v="195"/>
      <x v="196"/>
    </i>
    <i r="1">
      <x v="196"/>
      <x v="197"/>
    </i>
    <i t="grand">
      <x/>
    </i>
  </rowItems>
  <colFields count="1">
    <field x="3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pageFields count="1">
    <pageField fld="0" hier="-1"/>
  </pageFields>
  <dataFields count="1">
    <dataField name="합계 : 실수량" fld="7" baseField="0" baseItem="0"/>
  </dataFields>
  <formats count="463">
    <format dxfId="1791">
      <pivotArea collapsedLevelsAreSubtotals="1" fieldPosition="0">
        <references count="2">
          <reference field="2" count="1" selected="0">
            <x v="0"/>
          </reference>
          <reference field="6" count="1">
            <x v="9"/>
          </reference>
        </references>
      </pivotArea>
    </format>
    <format dxfId="1790">
      <pivotArea collapsedLevelsAreSubtotals="1" fieldPosition="0">
        <references count="2">
          <reference field="2" count="1" selected="0">
            <x v="1"/>
          </reference>
          <reference field="6" count="1">
            <x v="36"/>
          </reference>
        </references>
      </pivotArea>
    </format>
    <format dxfId="1789">
      <pivotArea collapsedLevelsAreSubtotals="1" fieldPosition="0">
        <references count="2">
          <reference field="2" count="1" selected="0">
            <x v="2"/>
          </reference>
          <reference field="6" count="1">
            <x v="177"/>
          </reference>
        </references>
      </pivotArea>
    </format>
    <format dxfId="1788">
      <pivotArea collapsedLevelsAreSubtotals="1" fieldPosition="0">
        <references count="2">
          <reference field="2" count="1" selected="0">
            <x v="3"/>
          </reference>
          <reference field="6" count="1">
            <x v="140"/>
          </reference>
        </references>
      </pivotArea>
    </format>
    <format dxfId="1787">
      <pivotArea collapsedLevelsAreSubtotals="1" fieldPosition="0">
        <references count="2">
          <reference field="2" count="1" selected="0">
            <x v="4"/>
          </reference>
          <reference field="6" count="1">
            <x v="79"/>
          </reference>
        </references>
      </pivotArea>
    </format>
    <format dxfId="1786">
      <pivotArea collapsedLevelsAreSubtotals="1" fieldPosition="0">
        <references count="2">
          <reference field="2" count="1" selected="0">
            <x v="5"/>
          </reference>
          <reference field="6" count="1">
            <x v="115"/>
          </reference>
        </references>
      </pivotArea>
    </format>
    <format dxfId="1785">
      <pivotArea collapsedLevelsAreSubtotals="1" fieldPosition="0">
        <references count="2">
          <reference field="2" count="1" selected="0">
            <x v="6"/>
          </reference>
          <reference field="6" count="1">
            <x v="168"/>
          </reference>
        </references>
      </pivotArea>
    </format>
    <format dxfId="1784">
      <pivotArea collapsedLevelsAreSubtotals="1" fieldPosition="0">
        <references count="2">
          <reference field="2" count="1" selected="0">
            <x v="7"/>
          </reference>
          <reference field="6" count="1">
            <x v="100"/>
          </reference>
        </references>
      </pivotArea>
    </format>
    <format dxfId="1783">
      <pivotArea collapsedLevelsAreSubtotals="1" fieldPosition="0">
        <references count="2">
          <reference field="2" count="1" selected="0">
            <x v="8"/>
          </reference>
          <reference field="6" count="1">
            <x v="57"/>
          </reference>
        </references>
      </pivotArea>
    </format>
    <format dxfId="1782">
      <pivotArea collapsedLevelsAreSubtotals="1" fieldPosition="0">
        <references count="2">
          <reference field="2" count="1" selected="0">
            <x v="9"/>
          </reference>
          <reference field="6" count="1">
            <x v="187"/>
          </reference>
        </references>
      </pivotArea>
    </format>
    <format dxfId="1781">
      <pivotArea collapsedLevelsAreSubtotals="1" fieldPosition="0">
        <references count="2">
          <reference field="2" count="1" selected="0">
            <x v="10"/>
          </reference>
          <reference field="6" count="1">
            <x v="130"/>
          </reference>
        </references>
      </pivotArea>
    </format>
    <format dxfId="1780">
      <pivotArea collapsedLevelsAreSubtotals="1" fieldPosition="0">
        <references count="2">
          <reference field="2" count="1" selected="0">
            <x v="11"/>
          </reference>
          <reference field="6" count="1">
            <x v="119"/>
          </reference>
        </references>
      </pivotArea>
    </format>
    <format dxfId="1779">
      <pivotArea collapsedLevelsAreSubtotals="1" fieldPosition="0">
        <references count="2">
          <reference field="2" count="1" selected="0">
            <x v="12"/>
          </reference>
          <reference field="6" count="1">
            <x v="125"/>
          </reference>
        </references>
      </pivotArea>
    </format>
    <format dxfId="1778">
      <pivotArea collapsedLevelsAreSubtotals="1" fieldPosition="0">
        <references count="2">
          <reference field="2" count="1" selected="0">
            <x v="13"/>
          </reference>
          <reference field="6" count="1">
            <x v="74"/>
          </reference>
        </references>
      </pivotArea>
    </format>
    <format dxfId="1777">
      <pivotArea collapsedLevelsAreSubtotals="1" fieldPosition="0">
        <references count="2">
          <reference field="2" count="1" selected="0">
            <x v="14"/>
          </reference>
          <reference field="6" count="1">
            <x v="158"/>
          </reference>
        </references>
      </pivotArea>
    </format>
    <format dxfId="1776">
      <pivotArea collapsedLevelsAreSubtotals="1" fieldPosition="0">
        <references count="2">
          <reference field="2" count="1" selected="0">
            <x v="15"/>
          </reference>
          <reference field="6" count="1">
            <x v="10"/>
          </reference>
        </references>
      </pivotArea>
    </format>
    <format dxfId="1775">
      <pivotArea collapsedLevelsAreSubtotals="1" fieldPosition="0">
        <references count="2">
          <reference field="2" count="1" selected="0">
            <x v="16"/>
          </reference>
          <reference field="6" count="1">
            <x v="20"/>
          </reference>
        </references>
      </pivotArea>
    </format>
    <format dxfId="1774">
      <pivotArea collapsedLevelsAreSubtotals="1" fieldPosition="0">
        <references count="2">
          <reference field="2" count="1" selected="0">
            <x v="17"/>
          </reference>
          <reference field="6" count="1">
            <x v="21"/>
          </reference>
        </references>
      </pivotArea>
    </format>
    <format dxfId="1773">
      <pivotArea collapsedLevelsAreSubtotals="1" fieldPosition="0">
        <references count="2">
          <reference field="2" count="1" selected="0">
            <x v="18"/>
          </reference>
          <reference field="6" count="1">
            <x v="22"/>
          </reference>
        </references>
      </pivotArea>
    </format>
    <format dxfId="1772">
      <pivotArea collapsedLevelsAreSubtotals="1" fieldPosition="0">
        <references count="2">
          <reference field="2" count="1" selected="0">
            <x v="19"/>
          </reference>
          <reference field="6" count="1">
            <x v="28"/>
          </reference>
        </references>
      </pivotArea>
    </format>
    <format dxfId="1771">
      <pivotArea collapsedLevelsAreSubtotals="1" fieldPosition="0">
        <references count="2">
          <reference field="2" count="1" selected="0">
            <x v="20"/>
          </reference>
          <reference field="6" count="1">
            <x v="42"/>
          </reference>
        </references>
      </pivotArea>
    </format>
    <format dxfId="1770">
      <pivotArea collapsedLevelsAreSubtotals="1" fieldPosition="0">
        <references count="2">
          <reference field="2" count="1" selected="0">
            <x v="21"/>
          </reference>
          <reference field="6" count="1">
            <x v="44"/>
          </reference>
        </references>
      </pivotArea>
    </format>
    <format dxfId="1769">
      <pivotArea collapsedLevelsAreSubtotals="1" fieldPosition="0">
        <references count="2">
          <reference field="2" count="1" selected="0">
            <x v="22"/>
          </reference>
          <reference field="6" count="1">
            <x v="133"/>
          </reference>
        </references>
      </pivotArea>
    </format>
    <format dxfId="1768">
      <pivotArea collapsedLevelsAreSubtotals="1" fieldPosition="0">
        <references count="2">
          <reference field="2" count="1" selected="0">
            <x v="23"/>
          </reference>
          <reference field="6" count="1">
            <x v="184"/>
          </reference>
        </references>
      </pivotArea>
    </format>
    <format dxfId="1767">
      <pivotArea collapsedLevelsAreSubtotals="1" fieldPosition="0">
        <references count="2">
          <reference field="2" count="1" selected="0">
            <x v="24"/>
          </reference>
          <reference field="6" count="1">
            <x v="18"/>
          </reference>
        </references>
      </pivotArea>
    </format>
    <format dxfId="1766">
      <pivotArea collapsedLevelsAreSubtotals="1" fieldPosition="0">
        <references count="2">
          <reference field="2" count="1" selected="0">
            <x v="25"/>
          </reference>
          <reference field="6" count="1">
            <x v="146"/>
          </reference>
        </references>
      </pivotArea>
    </format>
    <format dxfId="1765">
      <pivotArea collapsedLevelsAreSubtotals="1" fieldPosition="0">
        <references count="2">
          <reference field="2" count="1" selected="0">
            <x v="26"/>
          </reference>
          <reference field="6" count="1">
            <x v="155"/>
          </reference>
        </references>
      </pivotArea>
    </format>
    <format dxfId="1764">
      <pivotArea collapsedLevelsAreSubtotals="1" fieldPosition="0">
        <references count="2">
          <reference field="2" count="1" selected="0">
            <x v="27"/>
          </reference>
          <reference field="6" count="1">
            <x v="102"/>
          </reference>
        </references>
      </pivotArea>
    </format>
    <format dxfId="1763">
      <pivotArea collapsedLevelsAreSubtotals="1" fieldPosition="0">
        <references count="2">
          <reference field="2" count="1" selected="0">
            <x v="28"/>
          </reference>
          <reference field="6" count="1">
            <x v="0"/>
          </reference>
        </references>
      </pivotArea>
    </format>
    <format dxfId="1762">
      <pivotArea collapsedLevelsAreSubtotals="1" fieldPosition="0">
        <references count="2">
          <reference field="2" count="1" selected="0">
            <x v="29"/>
          </reference>
          <reference field="6" count="1">
            <x v="94"/>
          </reference>
        </references>
      </pivotArea>
    </format>
    <format dxfId="1761">
      <pivotArea collapsedLevelsAreSubtotals="1" fieldPosition="0">
        <references count="2">
          <reference field="2" count="1" selected="0">
            <x v="30"/>
          </reference>
          <reference field="6" count="1">
            <x v="95"/>
          </reference>
        </references>
      </pivotArea>
    </format>
    <format dxfId="1760">
      <pivotArea collapsedLevelsAreSubtotals="1" fieldPosition="0">
        <references count="2">
          <reference field="2" count="1" selected="0">
            <x v="31"/>
          </reference>
          <reference field="6" count="1">
            <x v="109"/>
          </reference>
        </references>
      </pivotArea>
    </format>
    <format dxfId="1759">
      <pivotArea collapsedLevelsAreSubtotals="1" fieldPosition="0">
        <references count="2">
          <reference field="2" count="1" selected="0">
            <x v="32"/>
          </reference>
          <reference field="6" count="1">
            <x v="112"/>
          </reference>
        </references>
      </pivotArea>
    </format>
    <format dxfId="1758">
      <pivotArea collapsedLevelsAreSubtotals="1" fieldPosition="0">
        <references count="2">
          <reference field="2" count="1" selected="0">
            <x v="33"/>
          </reference>
          <reference field="6" count="1">
            <x v="114"/>
          </reference>
        </references>
      </pivotArea>
    </format>
    <format dxfId="1757">
      <pivotArea collapsedLevelsAreSubtotals="1" fieldPosition="0">
        <references count="2">
          <reference field="2" count="1" selected="0">
            <x v="34"/>
          </reference>
          <reference field="6" count="1">
            <x v="122"/>
          </reference>
        </references>
      </pivotArea>
    </format>
    <format dxfId="1756">
      <pivotArea collapsedLevelsAreSubtotals="1" fieldPosition="0">
        <references count="2">
          <reference field="2" count="1" selected="0">
            <x v="35"/>
          </reference>
          <reference field="6" count="1">
            <x v="123"/>
          </reference>
        </references>
      </pivotArea>
    </format>
    <format dxfId="1755">
      <pivotArea collapsedLevelsAreSubtotals="1" fieldPosition="0">
        <references count="2">
          <reference field="2" count="1" selected="0">
            <x v="36"/>
          </reference>
          <reference field="6" count="1">
            <x v="127"/>
          </reference>
        </references>
      </pivotArea>
    </format>
    <format dxfId="1754">
      <pivotArea collapsedLevelsAreSubtotals="1" fieldPosition="0">
        <references count="2">
          <reference field="2" count="1" selected="0">
            <x v="37"/>
          </reference>
          <reference field="6" count="1">
            <x v="131"/>
          </reference>
        </references>
      </pivotArea>
    </format>
    <format dxfId="1753">
      <pivotArea collapsedLevelsAreSubtotals="1" fieldPosition="0">
        <references count="2">
          <reference field="2" count="1" selected="0">
            <x v="38"/>
          </reference>
          <reference field="6" count="1">
            <x v="160"/>
          </reference>
        </references>
      </pivotArea>
    </format>
    <format dxfId="1752">
      <pivotArea collapsedLevelsAreSubtotals="1" fieldPosition="0">
        <references count="2">
          <reference field="2" count="1" selected="0">
            <x v="39"/>
          </reference>
          <reference field="6" count="1">
            <x v="161"/>
          </reference>
        </references>
      </pivotArea>
    </format>
    <format dxfId="1751">
      <pivotArea collapsedLevelsAreSubtotals="1" fieldPosition="0">
        <references count="2">
          <reference field="2" count="1" selected="0">
            <x v="40"/>
          </reference>
          <reference field="6" count="1">
            <x v="170"/>
          </reference>
        </references>
      </pivotArea>
    </format>
    <format dxfId="1750">
      <pivotArea collapsedLevelsAreSubtotals="1" fieldPosition="0">
        <references count="2">
          <reference field="2" count="1" selected="0">
            <x v="41"/>
          </reference>
          <reference field="6" count="1">
            <x v="116"/>
          </reference>
        </references>
      </pivotArea>
    </format>
    <format dxfId="1749">
      <pivotArea collapsedLevelsAreSubtotals="1" fieldPosition="0">
        <references count="2">
          <reference field="2" count="1" selected="0">
            <x v="42"/>
          </reference>
          <reference field="6" count="1">
            <x v="93"/>
          </reference>
        </references>
      </pivotArea>
    </format>
    <format dxfId="1748">
      <pivotArea collapsedLevelsAreSubtotals="1" fieldPosition="0">
        <references count="2">
          <reference field="2" count="1" selected="0">
            <x v="43"/>
          </reference>
          <reference field="6" count="1">
            <x v="92"/>
          </reference>
        </references>
      </pivotArea>
    </format>
    <format dxfId="1747">
      <pivotArea collapsedLevelsAreSubtotals="1" fieldPosition="0">
        <references count="2">
          <reference field="2" count="1" selected="0">
            <x v="44"/>
          </reference>
          <reference field="6" count="1">
            <x v="3"/>
          </reference>
        </references>
      </pivotArea>
    </format>
    <format dxfId="1746">
      <pivotArea collapsedLevelsAreSubtotals="1" fieldPosition="0">
        <references count="2">
          <reference field="2" count="1" selected="0">
            <x v="45"/>
          </reference>
          <reference field="6" count="1">
            <x v="43"/>
          </reference>
        </references>
      </pivotArea>
    </format>
    <format dxfId="1745">
      <pivotArea collapsedLevelsAreSubtotals="1" fieldPosition="0">
        <references count="2">
          <reference field="2" count="1" selected="0">
            <x v="46"/>
          </reference>
          <reference field="6" count="1">
            <x v="48"/>
          </reference>
        </references>
      </pivotArea>
    </format>
    <format dxfId="1744">
      <pivotArea collapsedLevelsAreSubtotals="1" fieldPosition="0">
        <references count="2">
          <reference field="2" count="1" selected="0">
            <x v="47"/>
          </reference>
          <reference field="6" count="1">
            <x v="50"/>
          </reference>
        </references>
      </pivotArea>
    </format>
    <format dxfId="1743">
      <pivotArea collapsedLevelsAreSubtotals="1" fieldPosition="0">
        <references count="2">
          <reference field="2" count="1" selected="0">
            <x v="48"/>
          </reference>
          <reference field="6" count="1">
            <x v="52"/>
          </reference>
        </references>
      </pivotArea>
    </format>
    <format dxfId="1742">
      <pivotArea collapsedLevelsAreSubtotals="1" fieldPosition="0">
        <references count="2">
          <reference field="2" count="1" selected="0">
            <x v="49"/>
          </reference>
          <reference field="6" count="1">
            <x v="60"/>
          </reference>
        </references>
      </pivotArea>
    </format>
    <format dxfId="1741">
      <pivotArea collapsedLevelsAreSubtotals="1" fieldPosition="0">
        <references count="2">
          <reference field="2" count="1" selected="0">
            <x v="50"/>
          </reference>
          <reference field="6" count="1">
            <x v="61"/>
          </reference>
        </references>
      </pivotArea>
    </format>
    <format dxfId="1740">
      <pivotArea collapsedLevelsAreSubtotals="1" fieldPosition="0">
        <references count="2">
          <reference field="2" count="1" selected="0">
            <x v="51"/>
          </reference>
          <reference field="6" count="1">
            <x v="62"/>
          </reference>
        </references>
      </pivotArea>
    </format>
    <format dxfId="1739">
      <pivotArea collapsedLevelsAreSubtotals="1" fieldPosition="0">
        <references count="2">
          <reference field="2" count="1" selected="0">
            <x v="52"/>
          </reference>
          <reference field="6" count="1">
            <x v="63"/>
          </reference>
        </references>
      </pivotArea>
    </format>
    <format dxfId="1738">
      <pivotArea collapsedLevelsAreSubtotals="1" fieldPosition="0">
        <references count="2">
          <reference field="2" count="1" selected="0">
            <x v="53"/>
          </reference>
          <reference field="6" count="1">
            <x v="65"/>
          </reference>
        </references>
      </pivotArea>
    </format>
    <format dxfId="1737">
      <pivotArea collapsedLevelsAreSubtotals="1" fieldPosition="0">
        <references count="2">
          <reference field="2" count="1" selected="0">
            <x v="54"/>
          </reference>
          <reference field="6" count="1">
            <x v="66"/>
          </reference>
        </references>
      </pivotArea>
    </format>
    <format dxfId="1736">
      <pivotArea collapsedLevelsAreSubtotals="1" fieldPosition="0">
        <references count="2">
          <reference field="2" count="1" selected="0">
            <x v="55"/>
          </reference>
          <reference field="6" count="1">
            <x v="71"/>
          </reference>
        </references>
      </pivotArea>
    </format>
    <format dxfId="1735">
      <pivotArea collapsedLevelsAreSubtotals="1" fieldPosition="0">
        <references count="2">
          <reference field="2" count="1" selected="0">
            <x v="56"/>
          </reference>
          <reference field="6" count="1">
            <x v="86"/>
          </reference>
        </references>
      </pivotArea>
    </format>
    <format dxfId="1734">
      <pivotArea collapsedLevelsAreSubtotals="1" fieldPosition="0">
        <references count="2">
          <reference field="2" count="1" selected="0">
            <x v="57"/>
          </reference>
          <reference field="6" count="1">
            <x v="88"/>
          </reference>
        </references>
      </pivotArea>
    </format>
    <format dxfId="1733">
      <pivotArea collapsedLevelsAreSubtotals="1" fieldPosition="0">
        <references count="2">
          <reference field="2" count="1" selected="0">
            <x v="58"/>
          </reference>
          <reference field="6" count="1">
            <x v="8"/>
          </reference>
        </references>
      </pivotArea>
    </format>
    <format dxfId="1732">
      <pivotArea collapsedLevelsAreSubtotals="1" fieldPosition="0">
        <references count="2">
          <reference field="2" count="1" selected="0">
            <x v="59"/>
          </reference>
          <reference field="6" count="1">
            <x v="176"/>
          </reference>
        </references>
      </pivotArea>
    </format>
    <format dxfId="1731">
      <pivotArea collapsedLevelsAreSubtotals="1" fieldPosition="0">
        <references count="2">
          <reference field="2" count="1" selected="0">
            <x v="60"/>
          </reference>
          <reference field="6" count="1">
            <x v="35"/>
          </reference>
        </references>
      </pivotArea>
    </format>
    <format dxfId="1730">
      <pivotArea collapsedLevelsAreSubtotals="1" fieldPosition="0">
        <references count="2">
          <reference field="2" count="1" selected="0">
            <x v="61"/>
          </reference>
          <reference field="6" count="1">
            <x v="139"/>
          </reference>
        </references>
      </pivotArea>
    </format>
    <format dxfId="1729">
      <pivotArea collapsedLevelsAreSubtotals="1" fieldPosition="0">
        <references count="2">
          <reference field="2" count="1" selected="0">
            <x v="62"/>
          </reference>
          <reference field="6" count="1">
            <x v="49"/>
          </reference>
        </references>
      </pivotArea>
    </format>
    <format dxfId="1728">
      <pivotArea collapsedLevelsAreSubtotals="1" fieldPosition="0">
        <references count="2">
          <reference field="2" count="1" selected="0">
            <x v="63"/>
          </reference>
          <reference field="6" count="1">
            <x v="99"/>
          </reference>
        </references>
      </pivotArea>
    </format>
    <format dxfId="1727">
      <pivotArea collapsedLevelsAreSubtotals="1" fieldPosition="0">
        <references count="2">
          <reference field="2" count="1" selected="0">
            <x v="64"/>
          </reference>
          <reference field="6" count="1">
            <x v="56"/>
          </reference>
        </references>
      </pivotArea>
    </format>
    <format dxfId="1726">
      <pivotArea collapsedLevelsAreSubtotals="1" fieldPosition="0">
        <references count="2">
          <reference field="2" count="1" selected="0">
            <x v="65"/>
          </reference>
          <reference field="6" count="1">
            <x v="167"/>
          </reference>
        </references>
      </pivotArea>
    </format>
    <format dxfId="1725">
      <pivotArea collapsedLevelsAreSubtotals="1" fieldPosition="0">
        <references count="2">
          <reference field="2" count="1" selected="0">
            <x v="66"/>
          </reference>
          <reference field="6" count="1">
            <x v="11"/>
          </reference>
        </references>
      </pivotArea>
    </format>
    <format dxfId="1724">
      <pivotArea collapsedLevelsAreSubtotals="1" fieldPosition="0">
        <references count="2">
          <reference field="2" count="1" selected="0">
            <x v="67"/>
          </reference>
          <reference field="6" count="1">
            <x v="12"/>
          </reference>
        </references>
      </pivotArea>
    </format>
    <format dxfId="1723">
      <pivotArea collapsedLevelsAreSubtotals="1" fieldPosition="0">
        <references count="2">
          <reference field="2" count="1" selected="0">
            <x v="68"/>
          </reference>
          <reference field="6" count="1">
            <x v="13"/>
          </reference>
        </references>
      </pivotArea>
    </format>
    <format dxfId="1722">
      <pivotArea collapsedLevelsAreSubtotals="1" fieldPosition="0">
        <references count="2">
          <reference field="2" count="1" selected="0">
            <x v="69"/>
          </reference>
          <reference field="6" count="1">
            <x v="178"/>
          </reference>
        </references>
      </pivotArea>
    </format>
    <format dxfId="1721">
      <pivotArea collapsedLevelsAreSubtotals="1" fieldPosition="0">
        <references count="2">
          <reference field="2" count="1" selected="0">
            <x v="70"/>
          </reference>
          <reference field="6" count="1">
            <x v="179"/>
          </reference>
        </references>
      </pivotArea>
    </format>
    <format dxfId="1720">
      <pivotArea collapsedLevelsAreSubtotals="1" fieldPosition="0">
        <references count="2">
          <reference field="2" count="1" selected="0">
            <x v="71"/>
          </reference>
          <reference field="6" count="1">
            <x v="180"/>
          </reference>
        </references>
      </pivotArea>
    </format>
    <format dxfId="1719">
      <pivotArea collapsedLevelsAreSubtotals="1" fieldPosition="0">
        <references count="2">
          <reference field="2" count="1" selected="0">
            <x v="72"/>
          </reference>
          <reference field="6" count="1">
            <x v="68"/>
          </reference>
        </references>
      </pivotArea>
    </format>
    <format dxfId="1718">
      <pivotArea collapsedLevelsAreSubtotals="1" fieldPosition="0">
        <references count="2">
          <reference field="2" count="1" selected="0">
            <x v="73"/>
          </reference>
          <reference field="6" count="1">
            <x v="69"/>
          </reference>
        </references>
      </pivotArea>
    </format>
    <format dxfId="1717">
      <pivotArea collapsedLevelsAreSubtotals="1" fieldPosition="0">
        <references count="2">
          <reference field="2" count="1" selected="0">
            <x v="74"/>
          </reference>
          <reference field="6" count="1">
            <x v="70"/>
          </reference>
        </references>
      </pivotArea>
    </format>
    <format dxfId="1716">
      <pivotArea collapsedLevelsAreSubtotals="1" fieldPosition="0">
        <references count="2">
          <reference field="2" count="1" selected="0">
            <x v="75"/>
          </reference>
          <reference field="6" count="1">
            <x v="141"/>
          </reference>
        </references>
      </pivotArea>
    </format>
    <format dxfId="1715">
      <pivotArea collapsedLevelsAreSubtotals="1" fieldPosition="0">
        <references count="2">
          <reference field="2" count="1" selected="0">
            <x v="76"/>
          </reference>
          <reference field="6" count="1">
            <x v="142"/>
          </reference>
        </references>
      </pivotArea>
    </format>
    <format dxfId="1714">
      <pivotArea collapsedLevelsAreSubtotals="1" fieldPosition="0">
        <references count="2">
          <reference field="2" count="1" selected="0">
            <x v="77"/>
          </reference>
          <reference field="6" count="1">
            <x v="143"/>
          </reference>
        </references>
      </pivotArea>
    </format>
    <format dxfId="1713">
      <pivotArea collapsedLevelsAreSubtotals="1" fieldPosition="0">
        <references count="2">
          <reference field="2" count="1" selected="0">
            <x v="78"/>
          </reference>
          <reference field="6" count="1">
            <x v="152"/>
          </reference>
        </references>
      </pivotArea>
    </format>
    <format dxfId="1712">
      <pivotArea collapsedLevelsAreSubtotals="1" fieldPosition="0">
        <references count="2">
          <reference field="2" count="1" selected="0">
            <x v="79"/>
          </reference>
          <reference field="6" count="1">
            <x v="153"/>
          </reference>
        </references>
      </pivotArea>
    </format>
    <format dxfId="1711">
      <pivotArea collapsedLevelsAreSubtotals="1" fieldPosition="0">
        <references count="2">
          <reference field="2" count="1" selected="0">
            <x v="80"/>
          </reference>
          <reference field="6" count="1">
            <x v="154"/>
          </reference>
        </references>
      </pivotArea>
    </format>
    <format dxfId="1710">
      <pivotArea collapsedLevelsAreSubtotals="1" fieldPosition="0">
        <references count="2">
          <reference field="2" count="1" selected="0">
            <x v="81"/>
          </reference>
          <reference field="6" count="1">
            <x v="26"/>
          </reference>
        </references>
      </pivotArea>
    </format>
    <format dxfId="1709">
      <pivotArea collapsedLevelsAreSubtotals="1" fieldPosition="0">
        <references count="2">
          <reference field="2" count="1" selected="0">
            <x v="82"/>
          </reference>
          <reference field="6" count="1">
            <x v="30"/>
          </reference>
        </references>
      </pivotArea>
    </format>
    <format dxfId="1708">
      <pivotArea collapsedLevelsAreSubtotals="1" fieldPosition="0">
        <references count="2">
          <reference field="2" count="1" selected="0">
            <x v="83"/>
          </reference>
          <reference field="6" count="1">
            <x v="37"/>
          </reference>
        </references>
      </pivotArea>
    </format>
    <format dxfId="1707">
      <pivotArea collapsedLevelsAreSubtotals="1" fieldPosition="0">
        <references count="2">
          <reference field="2" count="1" selected="0">
            <x v="84"/>
          </reference>
          <reference field="6" count="1">
            <x v="75"/>
          </reference>
        </references>
      </pivotArea>
    </format>
    <format dxfId="1706">
      <pivotArea collapsedLevelsAreSubtotals="1" fieldPosition="0">
        <references count="2">
          <reference field="2" count="1" selected="0">
            <x v="85"/>
          </reference>
          <reference field="6" count="1">
            <x v="120"/>
          </reference>
        </references>
      </pivotArea>
    </format>
    <format dxfId="1705">
      <pivotArea collapsedLevelsAreSubtotals="1" fieldPosition="0">
        <references count="2">
          <reference field="2" count="1" selected="0">
            <x v="86"/>
          </reference>
          <reference field="6" count="1">
            <x v="126"/>
          </reference>
        </references>
      </pivotArea>
    </format>
    <format dxfId="1704">
      <pivotArea collapsedLevelsAreSubtotals="1" fieldPosition="0">
        <references count="2">
          <reference field="2" count="1" selected="0">
            <x v="87"/>
          </reference>
          <reference field="6" count="1">
            <x v="169"/>
          </reference>
        </references>
      </pivotArea>
    </format>
    <format dxfId="1703">
      <pivotArea collapsedLevelsAreSubtotals="1" fieldPosition="0">
        <references count="2">
          <reference field="2" count="1" selected="0">
            <x v="88"/>
          </reference>
          <reference field="6" count="1">
            <x v="4"/>
          </reference>
        </references>
      </pivotArea>
    </format>
    <format dxfId="1702">
      <pivotArea collapsedLevelsAreSubtotals="1" fieldPosition="0">
        <references count="2">
          <reference field="2" count="1" selected="0">
            <x v="89"/>
          </reference>
          <reference field="6" count="1">
            <x v="32"/>
          </reference>
        </references>
      </pivotArea>
    </format>
    <format dxfId="1701">
      <pivotArea collapsedLevelsAreSubtotals="1" fieldPosition="0">
        <references count="2">
          <reference field="2" count="1" selected="0">
            <x v="90"/>
          </reference>
          <reference field="6" count="1">
            <x v="47"/>
          </reference>
        </references>
      </pivotArea>
    </format>
    <format dxfId="1700">
      <pivotArea collapsedLevelsAreSubtotals="1" fieldPosition="0">
        <references count="2">
          <reference field="2" count="1" selected="0">
            <x v="91"/>
          </reference>
          <reference field="6" count="1">
            <x v="73"/>
          </reference>
        </references>
      </pivotArea>
    </format>
    <format dxfId="1699">
      <pivotArea collapsedLevelsAreSubtotals="1" fieldPosition="0">
        <references count="2">
          <reference field="2" count="1" selected="0">
            <x v="92"/>
          </reference>
          <reference field="6" count="1">
            <x v="78"/>
          </reference>
        </references>
      </pivotArea>
    </format>
    <format dxfId="1698">
      <pivotArea collapsedLevelsAreSubtotals="1" fieldPosition="0">
        <references count="2">
          <reference field="2" count="1" selected="0">
            <x v="93"/>
          </reference>
          <reference field="6" count="1">
            <x v="89"/>
          </reference>
        </references>
      </pivotArea>
    </format>
    <format dxfId="1697">
      <pivotArea collapsedLevelsAreSubtotals="1" fieldPosition="0">
        <references count="2">
          <reference field="2" count="1" selected="0">
            <x v="94"/>
          </reference>
          <reference field="6" count="1">
            <x v="118"/>
          </reference>
        </references>
      </pivotArea>
    </format>
    <format dxfId="1696">
      <pivotArea collapsedLevelsAreSubtotals="1" fieldPosition="0">
        <references count="2">
          <reference field="2" count="1" selected="0">
            <x v="95"/>
          </reference>
          <reference field="6" count="1">
            <x v="124"/>
          </reference>
        </references>
      </pivotArea>
    </format>
    <format dxfId="1695">
      <pivotArea collapsedLevelsAreSubtotals="1" fieldPosition="0">
        <references count="2">
          <reference field="2" count="1" selected="0">
            <x v="96"/>
          </reference>
          <reference field="6" count="1">
            <x v="129"/>
          </reference>
        </references>
      </pivotArea>
    </format>
    <format dxfId="1694">
      <pivotArea collapsedLevelsAreSubtotals="1" fieldPosition="0">
        <references count="2">
          <reference field="2" count="1" selected="0">
            <x v="97"/>
          </reference>
          <reference field="6" count="1">
            <x v="134"/>
          </reference>
        </references>
      </pivotArea>
    </format>
    <format dxfId="1693">
      <pivotArea collapsedLevelsAreSubtotals="1" fieldPosition="0">
        <references count="2">
          <reference field="2" count="1" selected="0">
            <x v="98"/>
          </reference>
          <reference field="6" count="1">
            <x v="149"/>
          </reference>
        </references>
      </pivotArea>
    </format>
    <format dxfId="1692">
      <pivotArea collapsedLevelsAreSubtotals="1" fieldPosition="0">
        <references count="2">
          <reference field="2" count="1" selected="0">
            <x v="99"/>
          </reference>
          <reference field="6" count="1">
            <x v="163"/>
          </reference>
        </references>
      </pivotArea>
    </format>
    <format dxfId="1691">
      <pivotArea collapsedLevelsAreSubtotals="1" fieldPosition="0">
        <references count="2">
          <reference field="2" count="1" selected="0">
            <x v="100"/>
          </reference>
          <reference field="6" count="1">
            <x v="164"/>
          </reference>
        </references>
      </pivotArea>
    </format>
    <format dxfId="1690">
      <pivotArea collapsedLevelsAreSubtotals="1" fieldPosition="0">
        <references count="2">
          <reference field="2" count="1" selected="0">
            <x v="101"/>
          </reference>
          <reference field="6" count="1">
            <x v="186"/>
          </reference>
        </references>
      </pivotArea>
    </format>
    <format dxfId="1689">
      <pivotArea collapsedLevelsAreSubtotals="1" fieldPosition="0">
        <references count="2">
          <reference field="2" count="1" selected="0">
            <x v="102"/>
          </reference>
          <reference field="6" count="1">
            <x v="31"/>
          </reference>
        </references>
      </pivotArea>
    </format>
    <format dxfId="1688">
      <pivotArea collapsedLevelsAreSubtotals="1" fieldPosition="0">
        <references count="2">
          <reference field="2" count="1" selected="0">
            <x v="103"/>
          </reference>
          <reference field="6" count="1">
            <x v="80"/>
          </reference>
        </references>
      </pivotArea>
    </format>
    <format dxfId="1687">
      <pivotArea collapsedLevelsAreSubtotals="1" fieldPosition="0">
        <references count="2">
          <reference field="2" count="1" selected="0">
            <x v="104"/>
          </reference>
          <reference field="6" count="1">
            <x v="81"/>
          </reference>
        </references>
      </pivotArea>
    </format>
    <format dxfId="1686">
      <pivotArea collapsedLevelsAreSubtotals="1" fieldPosition="0">
        <references count="2">
          <reference field="2" count="1" selected="0">
            <x v="105"/>
          </reference>
          <reference field="6" count="1">
            <x v="27"/>
          </reference>
        </references>
      </pivotArea>
    </format>
    <format dxfId="1685">
      <pivotArea collapsedLevelsAreSubtotals="1" fieldPosition="0">
        <references count="2">
          <reference field="2" count="1" selected="0">
            <x v="106"/>
          </reference>
          <reference field="6" count="1">
            <x v="40"/>
          </reference>
        </references>
      </pivotArea>
    </format>
    <format dxfId="1684">
      <pivotArea collapsedLevelsAreSubtotals="1" fieldPosition="0">
        <references count="2">
          <reference field="2" count="1" selected="0">
            <x v="107"/>
          </reference>
          <reference field="6" count="1">
            <x v="148"/>
          </reference>
        </references>
      </pivotArea>
    </format>
    <format dxfId="1683">
      <pivotArea collapsedLevelsAreSubtotals="1" fieldPosition="0">
        <references count="2">
          <reference field="2" count="1" selected="0">
            <x v="108"/>
          </reference>
          <reference field="6" count="1">
            <x v="39"/>
          </reference>
        </references>
      </pivotArea>
    </format>
    <format dxfId="1682">
      <pivotArea collapsedLevelsAreSubtotals="1" fieldPosition="0">
        <references count="2">
          <reference field="2" count="1" selected="0">
            <x v="109"/>
          </reference>
          <reference field="6" count="1">
            <x v="103"/>
          </reference>
        </references>
      </pivotArea>
    </format>
    <format dxfId="1681">
      <pivotArea collapsedLevelsAreSubtotals="1" fieldPosition="0">
        <references count="2">
          <reference field="2" count="1" selected="0">
            <x v="110"/>
          </reference>
          <reference field="6" count="1">
            <x v="121"/>
          </reference>
        </references>
      </pivotArea>
    </format>
    <format dxfId="1680">
      <pivotArea collapsedLevelsAreSubtotals="1" fieldPosition="0">
        <references count="2">
          <reference field="2" count="1" selected="0">
            <x v="111"/>
          </reference>
          <reference field="6" count="1">
            <x v="97"/>
          </reference>
        </references>
      </pivotArea>
    </format>
    <format dxfId="1679">
      <pivotArea collapsedLevelsAreSubtotals="1" fieldPosition="0">
        <references count="2">
          <reference field="2" count="1" selected="0">
            <x v="112"/>
          </reference>
          <reference field="6" count="1">
            <x v="96"/>
          </reference>
        </references>
      </pivotArea>
    </format>
    <format dxfId="1678">
      <pivotArea collapsedLevelsAreSubtotals="1" fieldPosition="0">
        <references count="2">
          <reference field="2" count="1" selected="0">
            <x v="113"/>
          </reference>
          <reference field="6" count="1">
            <x v="117"/>
          </reference>
        </references>
      </pivotArea>
    </format>
    <format dxfId="1677">
      <pivotArea collapsedLevelsAreSubtotals="1" fieldPosition="0">
        <references count="2">
          <reference field="2" count="1" selected="0">
            <x v="114"/>
          </reference>
          <reference field="6" count="1">
            <x v="128"/>
          </reference>
        </references>
      </pivotArea>
    </format>
    <format dxfId="1676">
      <pivotArea collapsedLevelsAreSubtotals="1" fieldPosition="0">
        <references count="2">
          <reference field="2" count="1" selected="0">
            <x v="115"/>
          </reference>
          <reference field="6" count="1">
            <x v="101"/>
          </reference>
        </references>
      </pivotArea>
    </format>
    <format dxfId="1675">
      <pivotArea collapsedLevelsAreSubtotals="1" fieldPosition="0">
        <references count="2">
          <reference field="2" count="1" selected="0">
            <x v="116"/>
          </reference>
          <reference field="6" count="1">
            <x v="171"/>
          </reference>
        </references>
      </pivotArea>
    </format>
    <format dxfId="1674">
      <pivotArea collapsedLevelsAreSubtotals="1" fieldPosition="0">
        <references count="2">
          <reference field="2" count="1" selected="0">
            <x v="117"/>
          </reference>
          <reference field="6" count="1">
            <x v="77"/>
          </reference>
        </references>
      </pivotArea>
    </format>
    <format dxfId="1673">
      <pivotArea collapsedLevelsAreSubtotals="1" fieldPosition="0">
        <references count="2">
          <reference field="2" count="1" selected="0">
            <x v="118"/>
          </reference>
          <reference field="6" count="1">
            <x v="23"/>
          </reference>
        </references>
      </pivotArea>
    </format>
    <format dxfId="1672">
      <pivotArea collapsedLevelsAreSubtotals="1" fieldPosition="0">
        <references count="2">
          <reference field="2" count="1" selected="0">
            <x v="119"/>
          </reference>
          <reference field="6" count="1">
            <x v="53"/>
          </reference>
        </references>
      </pivotArea>
    </format>
    <format dxfId="1671">
      <pivotArea collapsedLevelsAreSubtotals="1" fieldPosition="0">
        <references count="2">
          <reference field="2" count="1" selected="0">
            <x v="120"/>
          </reference>
          <reference field="6" count="1">
            <x v="147"/>
          </reference>
        </references>
      </pivotArea>
    </format>
    <format dxfId="1670">
      <pivotArea collapsedLevelsAreSubtotals="1" fieldPosition="0">
        <references count="2">
          <reference field="2" count="1" selected="0">
            <x v="121"/>
          </reference>
          <reference field="6" count="1">
            <x v="84"/>
          </reference>
        </references>
      </pivotArea>
    </format>
    <format dxfId="1669">
      <pivotArea collapsedLevelsAreSubtotals="1" fieldPosition="0">
        <references count="2">
          <reference field="2" count="1" selected="0">
            <x v="122"/>
          </reference>
          <reference field="6" count="1">
            <x v="82"/>
          </reference>
        </references>
      </pivotArea>
    </format>
    <format dxfId="1668">
      <pivotArea collapsedLevelsAreSubtotals="1" fieldPosition="0">
        <references count="2">
          <reference field="2" count="1" selected="0">
            <x v="123"/>
          </reference>
          <reference field="6" count="1">
            <x v="132"/>
          </reference>
        </references>
      </pivotArea>
    </format>
    <format dxfId="1667">
      <pivotArea collapsedLevelsAreSubtotals="1" fieldPosition="0">
        <references count="2">
          <reference field="2" count="1" selected="0">
            <x v="124"/>
          </reference>
          <reference field="6" count="1">
            <x v="189"/>
          </reference>
        </references>
      </pivotArea>
    </format>
    <format dxfId="1666">
      <pivotArea collapsedLevelsAreSubtotals="1" fieldPosition="0">
        <references count="2">
          <reference field="2" count="1" selected="0">
            <x v="125"/>
          </reference>
          <reference field="6" count="1">
            <x v="190"/>
          </reference>
        </references>
      </pivotArea>
    </format>
    <format dxfId="1665">
      <pivotArea collapsedLevelsAreSubtotals="1" fieldPosition="0">
        <references count="2">
          <reference field="2" count="1" selected="0">
            <x v="126"/>
          </reference>
          <reference field="6" count="1">
            <x v="29"/>
          </reference>
        </references>
      </pivotArea>
    </format>
    <format dxfId="1664">
      <pivotArea collapsedLevelsAreSubtotals="1" fieldPosition="0">
        <references count="2">
          <reference field="2" count="1" selected="0">
            <x v="127"/>
          </reference>
          <reference field="6" count="1">
            <x v="58"/>
          </reference>
        </references>
      </pivotArea>
    </format>
    <format dxfId="1663">
      <pivotArea collapsedLevelsAreSubtotals="1" fieldPosition="0">
        <references count="2">
          <reference field="2" count="1" selected="0">
            <x v="128"/>
          </reference>
          <reference field="6" count="1">
            <x v="24"/>
          </reference>
        </references>
      </pivotArea>
    </format>
    <format dxfId="1662">
      <pivotArea collapsedLevelsAreSubtotals="1" fieldPosition="0">
        <references count="2">
          <reference field="2" count="1" selected="0">
            <x v="129"/>
          </reference>
          <reference field="6" count="1">
            <x v="185"/>
          </reference>
        </references>
      </pivotArea>
    </format>
    <format dxfId="1661">
      <pivotArea collapsedLevelsAreSubtotals="1" fieldPosition="0">
        <references count="2">
          <reference field="2" count="1" selected="0">
            <x v="130"/>
          </reference>
          <reference field="6" count="1">
            <x v="76"/>
          </reference>
        </references>
      </pivotArea>
    </format>
    <format dxfId="1660">
      <pivotArea collapsedLevelsAreSubtotals="1" fieldPosition="0">
        <references count="2">
          <reference field="2" count="1" selected="0">
            <x v="131"/>
          </reference>
          <reference field="6" count="1">
            <x v="45"/>
          </reference>
        </references>
      </pivotArea>
    </format>
    <format dxfId="1659">
      <pivotArea collapsedLevelsAreSubtotals="1" fieldPosition="0">
        <references count="2">
          <reference field="2" count="1" selected="0">
            <x v="132"/>
          </reference>
          <reference field="6" count="1">
            <x v="110"/>
          </reference>
        </references>
      </pivotArea>
    </format>
    <format dxfId="1658">
      <pivotArea collapsedLevelsAreSubtotals="1" fieldPosition="0">
        <references count="2">
          <reference field="2" count="1" selected="0">
            <x v="133"/>
          </reference>
          <reference field="6" count="1">
            <x v="156"/>
          </reference>
        </references>
      </pivotArea>
    </format>
    <format dxfId="1657">
      <pivotArea collapsedLevelsAreSubtotals="1" fieldPosition="0">
        <references count="2">
          <reference field="2" count="1" selected="0">
            <x v="134"/>
          </reference>
          <reference field="6" count="1">
            <x v="162"/>
          </reference>
        </references>
      </pivotArea>
    </format>
    <format dxfId="1656">
      <pivotArea collapsedLevelsAreSubtotals="1" fieldPosition="0">
        <references count="2">
          <reference field="2" count="1" selected="0">
            <x v="135"/>
          </reference>
          <reference field="6" count="1">
            <x v="1"/>
          </reference>
        </references>
      </pivotArea>
    </format>
    <format dxfId="1655">
      <pivotArea collapsedLevelsAreSubtotals="1" fieldPosition="0">
        <references count="2">
          <reference field="2" count="1" selected="0">
            <x v="136"/>
          </reference>
          <reference field="6" count="1">
            <x v="16"/>
          </reference>
        </references>
      </pivotArea>
    </format>
    <format dxfId="1654">
      <pivotArea collapsedLevelsAreSubtotals="1" fieldPosition="0">
        <references count="2">
          <reference field="2" count="1" selected="0">
            <x v="137"/>
          </reference>
          <reference field="6" count="1">
            <x v="182"/>
          </reference>
        </references>
      </pivotArea>
    </format>
    <format dxfId="1653">
      <pivotArea collapsedLevelsAreSubtotals="1" fieldPosition="0">
        <references count="2">
          <reference field="2" count="1" selected="0">
            <x v="138"/>
          </reference>
          <reference field="6" count="1">
            <x v="38"/>
          </reference>
        </references>
      </pivotArea>
    </format>
    <format dxfId="1652">
      <pivotArea collapsedLevelsAreSubtotals="1" fieldPosition="0">
        <references count="2">
          <reference field="2" count="1" selected="0">
            <x v="139"/>
          </reference>
          <reference field="6" count="1">
            <x v="144"/>
          </reference>
        </references>
      </pivotArea>
    </format>
    <format dxfId="1651">
      <pivotArea collapsedLevelsAreSubtotals="1" fieldPosition="0">
        <references count="2">
          <reference field="2" count="1" selected="0">
            <x v="140"/>
          </reference>
          <reference field="6" count="1">
            <x v="107"/>
          </reference>
        </references>
      </pivotArea>
    </format>
    <format dxfId="1650">
      <pivotArea collapsedLevelsAreSubtotals="1" fieldPosition="0">
        <references count="2">
          <reference field="2" count="1" selected="0">
            <x v="141"/>
          </reference>
          <reference field="6" count="1">
            <x v="172"/>
          </reference>
        </references>
      </pivotArea>
    </format>
    <format dxfId="1649">
      <pivotArea collapsedLevelsAreSubtotals="1" fieldPosition="0">
        <references count="2">
          <reference field="2" count="1" selected="0">
            <x v="142"/>
          </reference>
          <reference field="6" count="1">
            <x v="15"/>
          </reference>
        </references>
      </pivotArea>
    </format>
    <format dxfId="1648">
      <pivotArea collapsedLevelsAreSubtotals="1" fieldPosition="0">
        <references count="2">
          <reference field="2" count="1" selected="0">
            <x v="143"/>
          </reference>
          <reference field="6" count="1">
            <x v="135"/>
          </reference>
        </references>
      </pivotArea>
    </format>
    <format dxfId="1647">
      <pivotArea collapsedLevelsAreSubtotals="1" fieldPosition="0">
        <references count="2">
          <reference field="2" count="1" selected="0">
            <x v="144"/>
          </reference>
          <reference field="6" count="1">
            <x v="33"/>
          </reference>
        </references>
      </pivotArea>
    </format>
    <format dxfId="1646">
      <pivotArea collapsedLevelsAreSubtotals="1" fieldPosition="0">
        <references count="2">
          <reference field="2" count="1" selected="0">
            <x v="145"/>
          </reference>
          <reference field="6" count="1">
            <x v="173"/>
          </reference>
        </references>
      </pivotArea>
    </format>
    <format dxfId="1645">
      <pivotArea collapsedLevelsAreSubtotals="1" fieldPosition="0">
        <references count="2">
          <reference field="2" count="1" selected="0">
            <x v="146"/>
          </reference>
          <reference field="6" count="1">
            <x v="5"/>
          </reference>
        </references>
      </pivotArea>
    </format>
    <format dxfId="1644">
      <pivotArea collapsedLevelsAreSubtotals="1" fieldPosition="0">
        <references count="2">
          <reference field="2" count="1" selected="0">
            <x v="147"/>
          </reference>
          <reference field="6" count="1">
            <x v="34"/>
          </reference>
        </references>
      </pivotArea>
    </format>
    <format dxfId="1643">
      <pivotArea collapsedLevelsAreSubtotals="1" fieldPosition="0">
        <references count="2">
          <reference field="2" count="1" selected="0">
            <x v="148"/>
          </reference>
          <reference field="6" count="1">
            <x v="136"/>
          </reference>
        </references>
      </pivotArea>
    </format>
    <format dxfId="1642">
      <pivotArea collapsedLevelsAreSubtotals="1" fieldPosition="0">
        <references count="2">
          <reference field="2" count="1" selected="0">
            <x v="149"/>
          </reference>
          <reference field="6" count="1">
            <x v="55"/>
          </reference>
        </references>
      </pivotArea>
    </format>
    <format dxfId="1641">
      <pivotArea collapsedLevelsAreSubtotals="1" fieldPosition="0">
        <references count="2">
          <reference field="2" count="1" selected="0">
            <x v="150"/>
          </reference>
          <reference field="6" count="1">
            <x v="98"/>
          </reference>
        </references>
      </pivotArea>
    </format>
    <format dxfId="1640">
      <pivotArea collapsedLevelsAreSubtotals="1" fieldPosition="0">
        <references count="2">
          <reference field="2" count="1" selected="0">
            <x v="151"/>
          </reference>
          <reference field="6" count="1">
            <x v="165"/>
          </reference>
        </references>
      </pivotArea>
    </format>
    <format dxfId="1639">
      <pivotArea collapsedLevelsAreSubtotals="1" fieldPosition="0">
        <references count="2">
          <reference field="2" count="1" selected="0">
            <x v="152"/>
          </reference>
          <reference field="6" count="1">
            <x v="14"/>
          </reference>
        </references>
      </pivotArea>
    </format>
    <format dxfId="1638">
      <pivotArea collapsedLevelsAreSubtotals="1" fieldPosition="0">
        <references count="2">
          <reference field="2" count="1" selected="0">
            <x v="153"/>
          </reference>
          <reference field="6" count="1">
            <x v="159"/>
          </reference>
        </references>
      </pivotArea>
    </format>
    <format dxfId="1637">
      <pivotArea collapsedLevelsAreSubtotals="1" fieldPosition="0">
        <references count="2">
          <reference field="2" count="1" selected="0">
            <x v="154"/>
          </reference>
          <reference field="6" count="1">
            <x v="181"/>
          </reference>
        </references>
      </pivotArea>
    </format>
    <format dxfId="1636">
      <pivotArea collapsedLevelsAreSubtotals="1" fieldPosition="0">
        <references count="2">
          <reference field="2" count="1" selected="0">
            <x v="155"/>
          </reference>
          <reference field="6" count="1">
            <x v="104"/>
          </reference>
        </references>
      </pivotArea>
    </format>
    <format dxfId="1635">
      <pivotArea collapsedLevelsAreSubtotals="1" fieldPosition="0">
        <references count="2">
          <reference field="2" count="1" selected="0">
            <x v="156"/>
          </reference>
          <reference field="6" count="1">
            <x v="157"/>
          </reference>
        </references>
      </pivotArea>
    </format>
    <format dxfId="1634">
      <pivotArea collapsedLevelsAreSubtotals="1" fieldPosition="0">
        <references count="2">
          <reference field="2" count="1" selected="0">
            <x v="157"/>
          </reference>
          <reference field="6" count="1">
            <x v="2"/>
          </reference>
        </references>
      </pivotArea>
    </format>
    <format dxfId="1633">
      <pivotArea collapsedLevelsAreSubtotals="1" fieldPosition="0">
        <references count="2">
          <reference field="2" count="1" selected="0">
            <x v="158"/>
          </reference>
          <reference field="6" count="1">
            <x v="17"/>
          </reference>
        </references>
      </pivotArea>
    </format>
    <format dxfId="1632">
      <pivotArea collapsedLevelsAreSubtotals="1" fieldPosition="0">
        <references count="2">
          <reference field="2" count="1" selected="0">
            <x v="159"/>
          </reference>
          <reference field="6" count="1">
            <x v="41"/>
          </reference>
        </references>
      </pivotArea>
    </format>
    <format dxfId="1631">
      <pivotArea collapsedLevelsAreSubtotals="1" fieldPosition="0">
        <references count="2">
          <reference field="2" count="1" selected="0">
            <x v="160"/>
          </reference>
          <reference field="6" count="1">
            <x v="46"/>
          </reference>
        </references>
      </pivotArea>
    </format>
    <format dxfId="1630">
      <pivotArea collapsedLevelsAreSubtotals="1" fieldPosition="0">
        <references count="2">
          <reference field="2" count="1" selected="0">
            <x v="161"/>
          </reference>
          <reference field="6" count="1">
            <x v="51"/>
          </reference>
        </references>
      </pivotArea>
    </format>
    <format dxfId="1629">
      <pivotArea collapsedLevelsAreSubtotals="1" fieldPosition="0">
        <references count="2">
          <reference field="2" count="1" selected="0">
            <x v="162"/>
          </reference>
          <reference field="6" count="1">
            <x v="59"/>
          </reference>
        </references>
      </pivotArea>
    </format>
    <format dxfId="1628">
      <pivotArea collapsedLevelsAreSubtotals="1" fieldPosition="0">
        <references count="2">
          <reference field="2" count="1" selected="0">
            <x v="163"/>
          </reference>
          <reference field="6" count="1">
            <x v="83"/>
          </reference>
        </references>
      </pivotArea>
    </format>
    <format dxfId="1627">
      <pivotArea collapsedLevelsAreSubtotals="1" fieldPosition="0">
        <references count="2">
          <reference field="2" count="1" selected="0">
            <x v="164"/>
          </reference>
          <reference field="6" count="1">
            <x v="108"/>
          </reference>
        </references>
      </pivotArea>
    </format>
    <format dxfId="1626">
      <pivotArea collapsedLevelsAreSubtotals="1" fieldPosition="0">
        <references count="2">
          <reference field="2" count="1" selected="0">
            <x v="165"/>
          </reference>
          <reference field="6" count="1">
            <x v="111"/>
          </reference>
        </references>
      </pivotArea>
    </format>
    <format dxfId="1625">
      <pivotArea collapsedLevelsAreSubtotals="1" fieldPosition="0">
        <references count="2">
          <reference field="2" count="1" selected="0">
            <x v="166"/>
          </reference>
          <reference field="6" count="1">
            <x v="113"/>
          </reference>
        </references>
      </pivotArea>
    </format>
    <format dxfId="1624">
      <pivotArea collapsedLevelsAreSubtotals="1" fieldPosition="0">
        <references count="2">
          <reference field="2" count="1" selected="0">
            <x v="167"/>
          </reference>
          <reference field="6" count="1">
            <x v="145"/>
          </reference>
        </references>
      </pivotArea>
    </format>
    <format dxfId="1623">
      <pivotArea collapsedLevelsAreSubtotals="1" fieldPosition="0">
        <references count="2">
          <reference field="2" count="1" selected="0">
            <x v="168"/>
          </reference>
          <reference field="6" count="1">
            <x v="183"/>
          </reference>
        </references>
      </pivotArea>
    </format>
    <format dxfId="1622">
      <pivotArea collapsedLevelsAreSubtotals="1" fieldPosition="0">
        <references count="2">
          <reference field="2" count="1" selected="0">
            <x v="169"/>
          </reference>
          <reference field="6" count="1">
            <x v="188"/>
          </reference>
        </references>
      </pivotArea>
    </format>
    <format dxfId="1621">
      <pivotArea collapsedLevelsAreSubtotals="1" fieldPosition="0">
        <references count="2">
          <reference field="2" count="1" selected="0">
            <x v="170"/>
          </reference>
          <reference field="6" count="1">
            <x v="6"/>
          </reference>
        </references>
      </pivotArea>
    </format>
    <format dxfId="1620">
      <pivotArea collapsedLevelsAreSubtotals="1" fieldPosition="0">
        <references count="2">
          <reference field="2" count="1" selected="0">
            <x v="171"/>
          </reference>
          <reference field="6" count="1">
            <x v="25"/>
          </reference>
        </references>
      </pivotArea>
    </format>
    <format dxfId="1619">
      <pivotArea collapsedLevelsAreSubtotals="1" fieldPosition="0">
        <references count="2">
          <reference field="2" count="1" selected="0">
            <x v="172"/>
          </reference>
          <reference field="6" count="1">
            <x v="64"/>
          </reference>
        </references>
      </pivotArea>
    </format>
    <format dxfId="1618">
      <pivotArea collapsedLevelsAreSubtotals="1" fieldPosition="0">
        <references count="2">
          <reference field="2" count="1" selected="0">
            <x v="173"/>
          </reference>
          <reference field="6" count="1">
            <x v="85"/>
          </reference>
        </references>
      </pivotArea>
    </format>
    <format dxfId="1617">
      <pivotArea collapsedLevelsAreSubtotals="1" fieldPosition="0">
        <references count="2">
          <reference field="2" count="1" selected="0">
            <x v="174"/>
          </reference>
          <reference field="6" count="1">
            <x v="90"/>
          </reference>
        </references>
      </pivotArea>
    </format>
    <format dxfId="1616">
      <pivotArea collapsedLevelsAreSubtotals="1" fieldPosition="0">
        <references count="2">
          <reference field="2" count="1" selected="0">
            <x v="175"/>
          </reference>
          <reference field="6" count="1">
            <x v="105"/>
          </reference>
        </references>
      </pivotArea>
    </format>
    <format dxfId="1615">
      <pivotArea collapsedLevelsAreSubtotals="1" fieldPosition="0">
        <references count="2">
          <reference field="2" count="1" selected="0">
            <x v="176"/>
          </reference>
          <reference field="6" count="1">
            <x v="137"/>
          </reference>
        </references>
      </pivotArea>
    </format>
    <format dxfId="1614">
      <pivotArea collapsedLevelsAreSubtotals="1" fieldPosition="0">
        <references count="2">
          <reference field="2" count="1" selected="0">
            <x v="177"/>
          </reference>
          <reference field="6" count="1">
            <x v="150"/>
          </reference>
        </references>
      </pivotArea>
    </format>
    <format dxfId="1613">
      <pivotArea collapsedLevelsAreSubtotals="1" fieldPosition="0">
        <references count="2">
          <reference field="2" count="1" selected="0">
            <x v="178"/>
          </reference>
          <reference field="6" count="1">
            <x v="166"/>
          </reference>
        </references>
      </pivotArea>
    </format>
    <format dxfId="1612">
      <pivotArea collapsedLevelsAreSubtotals="1" fieldPosition="0">
        <references count="2">
          <reference field="2" count="1" selected="0">
            <x v="179"/>
          </reference>
          <reference field="6" count="1">
            <x v="174"/>
          </reference>
        </references>
      </pivotArea>
    </format>
    <format dxfId="1611">
      <pivotArea collapsedLevelsAreSubtotals="1" fieldPosition="0">
        <references count="2">
          <reference field="2" count="1" selected="0">
            <x v="180"/>
          </reference>
          <reference field="6" count="1">
            <x v="19"/>
          </reference>
        </references>
      </pivotArea>
    </format>
    <format dxfId="1610">
      <pivotArea collapsedLevelsAreSubtotals="1" fieldPosition="0">
        <references count="2">
          <reference field="2" count="1" selected="0">
            <x v="181"/>
          </reference>
          <reference field="6" count="1">
            <x v="7"/>
          </reference>
        </references>
      </pivotArea>
    </format>
    <format dxfId="1609">
      <pivotArea collapsedLevelsAreSubtotals="1" fieldPosition="0">
        <references count="2">
          <reference field="2" count="1" selected="0">
            <x v="182"/>
          </reference>
          <reference field="6" count="1">
            <x v="54"/>
          </reference>
        </references>
      </pivotArea>
    </format>
    <format dxfId="1608">
      <pivotArea collapsedLevelsAreSubtotals="1" fieldPosition="0">
        <references count="2">
          <reference field="2" count="1" selected="0">
            <x v="183"/>
          </reference>
          <reference field="6" count="1">
            <x v="67"/>
          </reference>
        </references>
      </pivotArea>
    </format>
    <format dxfId="1607">
      <pivotArea collapsedLevelsAreSubtotals="1" fieldPosition="0">
        <references count="2">
          <reference field="2" count="1" selected="0">
            <x v="184"/>
          </reference>
          <reference field="6" count="1">
            <x v="72"/>
          </reference>
        </references>
      </pivotArea>
    </format>
    <format dxfId="1606">
      <pivotArea collapsedLevelsAreSubtotals="1" fieldPosition="0">
        <references count="2">
          <reference field="2" count="1" selected="0">
            <x v="185"/>
          </reference>
          <reference field="6" count="1">
            <x v="87"/>
          </reference>
        </references>
      </pivotArea>
    </format>
    <format dxfId="1605">
      <pivotArea collapsedLevelsAreSubtotals="1" fieldPosition="0">
        <references count="2">
          <reference field="2" count="1" selected="0">
            <x v="186"/>
          </reference>
          <reference field="6" count="1">
            <x v="91"/>
          </reference>
        </references>
      </pivotArea>
    </format>
    <format dxfId="1604">
      <pivotArea collapsedLevelsAreSubtotals="1" fieldPosition="0">
        <references count="2">
          <reference field="2" count="1" selected="0">
            <x v="187"/>
          </reference>
          <reference field="6" count="1">
            <x v="106"/>
          </reference>
        </references>
      </pivotArea>
    </format>
    <format dxfId="1603">
      <pivotArea collapsedLevelsAreSubtotals="1" fieldPosition="0">
        <references count="2">
          <reference field="2" count="1" selected="0">
            <x v="188"/>
          </reference>
          <reference field="6" count="1">
            <x v="138"/>
          </reference>
        </references>
      </pivotArea>
    </format>
    <format dxfId="1602">
      <pivotArea collapsedLevelsAreSubtotals="1" fieldPosition="0">
        <references count="2">
          <reference field="2" count="1" selected="0">
            <x v="189"/>
          </reference>
          <reference field="6" count="1">
            <x v="151"/>
          </reference>
        </references>
      </pivotArea>
    </format>
    <format dxfId="1601">
      <pivotArea collapsedLevelsAreSubtotals="1" fieldPosition="0">
        <references count="2">
          <reference field="2" count="1" selected="0">
            <x v="190"/>
          </reference>
          <reference field="6" count="1">
            <x v="175"/>
          </reference>
        </references>
      </pivotArea>
    </format>
    <format dxfId="1600">
      <pivotArea collapsedLevelsAreSubtotals="1" fieldPosition="0">
        <references count="2">
          <reference field="2" count="1" selected="0">
            <x v="191"/>
          </reference>
          <reference field="6" count="1">
            <x v="191"/>
          </reference>
        </references>
      </pivotArea>
    </format>
    <format dxfId="1599">
      <pivotArea dataOnly="0" labelOnly="1" fieldPosition="0">
        <references count="1">
          <reference field="2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598">
      <pivotArea dataOnly="0" labelOnly="1" fieldPosition="0">
        <references count="1">
          <reference field="2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1597">
      <pivotArea dataOnly="0" labelOnly="1" fieldPosition="0">
        <references count="1">
          <reference field="2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1596">
      <pivotArea dataOnly="0" labelOnly="1" fieldPosition="0">
        <references count="1">
          <reference field="2" count="42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</reference>
        </references>
      </pivotArea>
    </format>
    <format dxfId="1595">
      <pivotArea dataOnly="0" labelOnly="1" fieldPosition="0">
        <references count="2">
          <reference field="2" count="1" selected="0">
            <x v="0"/>
          </reference>
          <reference field="6" count="1">
            <x v="9"/>
          </reference>
        </references>
      </pivotArea>
    </format>
    <format dxfId="1594">
      <pivotArea dataOnly="0" labelOnly="1" fieldPosition="0">
        <references count="2">
          <reference field="2" count="1" selected="0">
            <x v="1"/>
          </reference>
          <reference field="6" count="1">
            <x v="36"/>
          </reference>
        </references>
      </pivotArea>
    </format>
    <format dxfId="1593">
      <pivotArea dataOnly="0" labelOnly="1" fieldPosition="0">
        <references count="2">
          <reference field="2" count="1" selected="0">
            <x v="2"/>
          </reference>
          <reference field="6" count="1">
            <x v="177"/>
          </reference>
        </references>
      </pivotArea>
    </format>
    <format dxfId="1592">
      <pivotArea dataOnly="0" labelOnly="1" fieldPosition="0">
        <references count="2">
          <reference field="2" count="1" selected="0">
            <x v="3"/>
          </reference>
          <reference field="6" count="1">
            <x v="140"/>
          </reference>
        </references>
      </pivotArea>
    </format>
    <format dxfId="1591">
      <pivotArea dataOnly="0" labelOnly="1" fieldPosition="0">
        <references count="2">
          <reference field="2" count="1" selected="0">
            <x v="4"/>
          </reference>
          <reference field="6" count="1">
            <x v="79"/>
          </reference>
        </references>
      </pivotArea>
    </format>
    <format dxfId="1590">
      <pivotArea dataOnly="0" labelOnly="1" fieldPosition="0">
        <references count="2">
          <reference field="2" count="1" selected="0">
            <x v="5"/>
          </reference>
          <reference field="6" count="1">
            <x v="115"/>
          </reference>
        </references>
      </pivotArea>
    </format>
    <format dxfId="1589">
      <pivotArea dataOnly="0" labelOnly="1" fieldPosition="0">
        <references count="2">
          <reference field="2" count="1" selected="0">
            <x v="6"/>
          </reference>
          <reference field="6" count="1">
            <x v="168"/>
          </reference>
        </references>
      </pivotArea>
    </format>
    <format dxfId="1588">
      <pivotArea dataOnly="0" labelOnly="1" fieldPosition="0">
        <references count="2">
          <reference field="2" count="1" selected="0">
            <x v="7"/>
          </reference>
          <reference field="6" count="1">
            <x v="100"/>
          </reference>
        </references>
      </pivotArea>
    </format>
    <format dxfId="1587">
      <pivotArea dataOnly="0" labelOnly="1" fieldPosition="0">
        <references count="2">
          <reference field="2" count="1" selected="0">
            <x v="8"/>
          </reference>
          <reference field="6" count="1">
            <x v="57"/>
          </reference>
        </references>
      </pivotArea>
    </format>
    <format dxfId="1586">
      <pivotArea dataOnly="0" labelOnly="1" fieldPosition="0">
        <references count="2">
          <reference field="2" count="1" selected="0">
            <x v="9"/>
          </reference>
          <reference field="6" count="1">
            <x v="187"/>
          </reference>
        </references>
      </pivotArea>
    </format>
    <format dxfId="1585">
      <pivotArea dataOnly="0" labelOnly="1" fieldPosition="0">
        <references count="2">
          <reference field="2" count="1" selected="0">
            <x v="10"/>
          </reference>
          <reference field="6" count="1">
            <x v="130"/>
          </reference>
        </references>
      </pivotArea>
    </format>
    <format dxfId="1584">
      <pivotArea dataOnly="0" labelOnly="1" fieldPosition="0">
        <references count="2">
          <reference field="2" count="1" selected="0">
            <x v="11"/>
          </reference>
          <reference field="6" count="1">
            <x v="119"/>
          </reference>
        </references>
      </pivotArea>
    </format>
    <format dxfId="1583">
      <pivotArea dataOnly="0" labelOnly="1" fieldPosition="0">
        <references count="2">
          <reference field="2" count="1" selected="0">
            <x v="12"/>
          </reference>
          <reference field="6" count="1">
            <x v="125"/>
          </reference>
        </references>
      </pivotArea>
    </format>
    <format dxfId="1582">
      <pivotArea dataOnly="0" labelOnly="1" fieldPosition="0">
        <references count="2">
          <reference field="2" count="1" selected="0">
            <x v="13"/>
          </reference>
          <reference field="6" count="1">
            <x v="74"/>
          </reference>
        </references>
      </pivotArea>
    </format>
    <format dxfId="1581">
      <pivotArea dataOnly="0" labelOnly="1" fieldPosition="0">
        <references count="2">
          <reference field="2" count="1" selected="0">
            <x v="14"/>
          </reference>
          <reference field="6" count="1">
            <x v="158"/>
          </reference>
        </references>
      </pivotArea>
    </format>
    <format dxfId="1580">
      <pivotArea dataOnly="0" labelOnly="1" fieldPosition="0">
        <references count="2">
          <reference field="2" count="1" selected="0">
            <x v="15"/>
          </reference>
          <reference field="6" count="1">
            <x v="10"/>
          </reference>
        </references>
      </pivotArea>
    </format>
    <format dxfId="1579">
      <pivotArea dataOnly="0" labelOnly="1" fieldPosition="0">
        <references count="2">
          <reference field="2" count="1" selected="0">
            <x v="16"/>
          </reference>
          <reference field="6" count="1">
            <x v="20"/>
          </reference>
        </references>
      </pivotArea>
    </format>
    <format dxfId="1578">
      <pivotArea dataOnly="0" labelOnly="1" fieldPosition="0">
        <references count="2">
          <reference field="2" count="1" selected="0">
            <x v="17"/>
          </reference>
          <reference field="6" count="1">
            <x v="21"/>
          </reference>
        </references>
      </pivotArea>
    </format>
    <format dxfId="1577">
      <pivotArea dataOnly="0" labelOnly="1" fieldPosition="0">
        <references count="2">
          <reference field="2" count="1" selected="0">
            <x v="18"/>
          </reference>
          <reference field="6" count="1">
            <x v="22"/>
          </reference>
        </references>
      </pivotArea>
    </format>
    <format dxfId="1576">
      <pivotArea dataOnly="0" labelOnly="1" fieldPosition="0">
        <references count="2">
          <reference field="2" count="1" selected="0">
            <x v="19"/>
          </reference>
          <reference field="6" count="1">
            <x v="28"/>
          </reference>
        </references>
      </pivotArea>
    </format>
    <format dxfId="1575">
      <pivotArea dataOnly="0" labelOnly="1" fieldPosition="0">
        <references count="2">
          <reference field="2" count="1" selected="0">
            <x v="20"/>
          </reference>
          <reference field="6" count="1">
            <x v="42"/>
          </reference>
        </references>
      </pivotArea>
    </format>
    <format dxfId="1574">
      <pivotArea dataOnly="0" labelOnly="1" fieldPosition="0">
        <references count="2">
          <reference field="2" count="1" selected="0">
            <x v="21"/>
          </reference>
          <reference field="6" count="1">
            <x v="44"/>
          </reference>
        </references>
      </pivotArea>
    </format>
    <format dxfId="1573">
      <pivotArea dataOnly="0" labelOnly="1" fieldPosition="0">
        <references count="2">
          <reference field="2" count="1" selected="0">
            <x v="22"/>
          </reference>
          <reference field="6" count="1">
            <x v="133"/>
          </reference>
        </references>
      </pivotArea>
    </format>
    <format dxfId="1572">
      <pivotArea dataOnly="0" labelOnly="1" fieldPosition="0">
        <references count="2">
          <reference field="2" count="1" selected="0">
            <x v="23"/>
          </reference>
          <reference field="6" count="1">
            <x v="184"/>
          </reference>
        </references>
      </pivotArea>
    </format>
    <format dxfId="1571">
      <pivotArea dataOnly="0" labelOnly="1" fieldPosition="0">
        <references count="2">
          <reference field="2" count="1" selected="0">
            <x v="24"/>
          </reference>
          <reference field="6" count="1">
            <x v="18"/>
          </reference>
        </references>
      </pivotArea>
    </format>
    <format dxfId="1570">
      <pivotArea dataOnly="0" labelOnly="1" fieldPosition="0">
        <references count="2">
          <reference field="2" count="1" selected="0">
            <x v="25"/>
          </reference>
          <reference field="6" count="1">
            <x v="146"/>
          </reference>
        </references>
      </pivotArea>
    </format>
    <format dxfId="1569">
      <pivotArea dataOnly="0" labelOnly="1" fieldPosition="0">
        <references count="2">
          <reference field="2" count="1" selected="0">
            <x v="26"/>
          </reference>
          <reference field="6" count="1">
            <x v="155"/>
          </reference>
        </references>
      </pivotArea>
    </format>
    <format dxfId="1568">
      <pivotArea dataOnly="0" labelOnly="1" fieldPosition="0">
        <references count="2">
          <reference field="2" count="1" selected="0">
            <x v="27"/>
          </reference>
          <reference field="6" count="1">
            <x v="102"/>
          </reference>
        </references>
      </pivotArea>
    </format>
    <format dxfId="1567">
      <pivotArea dataOnly="0" labelOnly="1" fieldPosition="0">
        <references count="2">
          <reference field="2" count="1" selected="0">
            <x v="28"/>
          </reference>
          <reference field="6" count="1">
            <x v="0"/>
          </reference>
        </references>
      </pivotArea>
    </format>
    <format dxfId="1566">
      <pivotArea dataOnly="0" labelOnly="1" fieldPosition="0">
        <references count="2">
          <reference field="2" count="1" selected="0">
            <x v="29"/>
          </reference>
          <reference field="6" count="1">
            <x v="94"/>
          </reference>
        </references>
      </pivotArea>
    </format>
    <format dxfId="1565">
      <pivotArea dataOnly="0" labelOnly="1" fieldPosition="0">
        <references count="2">
          <reference field="2" count="1" selected="0">
            <x v="30"/>
          </reference>
          <reference field="6" count="1">
            <x v="95"/>
          </reference>
        </references>
      </pivotArea>
    </format>
    <format dxfId="1564">
      <pivotArea dataOnly="0" labelOnly="1" fieldPosition="0">
        <references count="2">
          <reference field="2" count="1" selected="0">
            <x v="31"/>
          </reference>
          <reference field="6" count="1">
            <x v="109"/>
          </reference>
        </references>
      </pivotArea>
    </format>
    <format dxfId="1563">
      <pivotArea dataOnly="0" labelOnly="1" fieldPosition="0">
        <references count="2">
          <reference field="2" count="1" selected="0">
            <x v="32"/>
          </reference>
          <reference field="6" count="1">
            <x v="112"/>
          </reference>
        </references>
      </pivotArea>
    </format>
    <format dxfId="1562">
      <pivotArea dataOnly="0" labelOnly="1" fieldPosition="0">
        <references count="2">
          <reference field="2" count="1" selected="0">
            <x v="33"/>
          </reference>
          <reference field="6" count="1">
            <x v="114"/>
          </reference>
        </references>
      </pivotArea>
    </format>
    <format dxfId="1561">
      <pivotArea dataOnly="0" labelOnly="1" fieldPosition="0">
        <references count="2">
          <reference field="2" count="1" selected="0">
            <x v="34"/>
          </reference>
          <reference field="6" count="1">
            <x v="122"/>
          </reference>
        </references>
      </pivotArea>
    </format>
    <format dxfId="1560">
      <pivotArea dataOnly="0" labelOnly="1" fieldPosition="0">
        <references count="2">
          <reference field="2" count="1" selected="0">
            <x v="35"/>
          </reference>
          <reference field="6" count="1">
            <x v="123"/>
          </reference>
        </references>
      </pivotArea>
    </format>
    <format dxfId="1559">
      <pivotArea dataOnly="0" labelOnly="1" fieldPosition="0">
        <references count="2">
          <reference field="2" count="1" selected="0">
            <x v="36"/>
          </reference>
          <reference field="6" count="1">
            <x v="127"/>
          </reference>
        </references>
      </pivotArea>
    </format>
    <format dxfId="1558">
      <pivotArea dataOnly="0" labelOnly="1" fieldPosition="0">
        <references count="2">
          <reference field="2" count="1" selected="0">
            <x v="37"/>
          </reference>
          <reference field="6" count="1">
            <x v="131"/>
          </reference>
        </references>
      </pivotArea>
    </format>
    <format dxfId="1557">
      <pivotArea dataOnly="0" labelOnly="1" fieldPosition="0">
        <references count="2">
          <reference field="2" count="1" selected="0">
            <x v="38"/>
          </reference>
          <reference field="6" count="1">
            <x v="160"/>
          </reference>
        </references>
      </pivotArea>
    </format>
    <format dxfId="1556">
      <pivotArea dataOnly="0" labelOnly="1" fieldPosition="0">
        <references count="2">
          <reference field="2" count="1" selected="0">
            <x v="39"/>
          </reference>
          <reference field="6" count="1">
            <x v="161"/>
          </reference>
        </references>
      </pivotArea>
    </format>
    <format dxfId="1555">
      <pivotArea dataOnly="0" labelOnly="1" fieldPosition="0">
        <references count="2">
          <reference field="2" count="1" selected="0">
            <x v="40"/>
          </reference>
          <reference field="6" count="1">
            <x v="170"/>
          </reference>
        </references>
      </pivotArea>
    </format>
    <format dxfId="1554">
      <pivotArea dataOnly="0" labelOnly="1" fieldPosition="0">
        <references count="2">
          <reference field="2" count="1" selected="0">
            <x v="41"/>
          </reference>
          <reference field="6" count="1">
            <x v="116"/>
          </reference>
        </references>
      </pivotArea>
    </format>
    <format dxfId="1553">
      <pivotArea dataOnly="0" labelOnly="1" fieldPosition="0">
        <references count="2">
          <reference field="2" count="1" selected="0">
            <x v="42"/>
          </reference>
          <reference field="6" count="1">
            <x v="93"/>
          </reference>
        </references>
      </pivotArea>
    </format>
    <format dxfId="1552">
      <pivotArea dataOnly="0" labelOnly="1" fieldPosition="0">
        <references count="2">
          <reference field="2" count="1" selected="0">
            <x v="43"/>
          </reference>
          <reference field="6" count="1">
            <x v="92"/>
          </reference>
        </references>
      </pivotArea>
    </format>
    <format dxfId="1551">
      <pivotArea dataOnly="0" labelOnly="1" fieldPosition="0">
        <references count="2">
          <reference field="2" count="1" selected="0">
            <x v="44"/>
          </reference>
          <reference field="6" count="1">
            <x v="3"/>
          </reference>
        </references>
      </pivotArea>
    </format>
    <format dxfId="1550">
      <pivotArea dataOnly="0" labelOnly="1" fieldPosition="0">
        <references count="2">
          <reference field="2" count="1" selected="0">
            <x v="45"/>
          </reference>
          <reference field="6" count="1">
            <x v="43"/>
          </reference>
        </references>
      </pivotArea>
    </format>
    <format dxfId="1549">
      <pivotArea dataOnly="0" labelOnly="1" fieldPosition="0">
        <references count="2">
          <reference field="2" count="1" selected="0">
            <x v="46"/>
          </reference>
          <reference field="6" count="1">
            <x v="48"/>
          </reference>
        </references>
      </pivotArea>
    </format>
    <format dxfId="1548">
      <pivotArea dataOnly="0" labelOnly="1" fieldPosition="0">
        <references count="2">
          <reference field="2" count="1" selected="0">
            <x v="47"/>
          </reference>
          <reference field="6" count="1">
            <x v="50"/>
          </reference>
        </references>
      </pivotArea>
    </format>
    <format dxfId="1547">
      <pivotArea dataOnly="0" labelOnly="1" fieldPosition="0">
        <references count="2">
          <reference field="2" count="1" selected="0">
            <x v="48"/>
          </reference>
          <reference field="6" count="1">
            <x v="52"/>
          </reference>
        </references>
      </pivotArea>
    </format>
    <format dxfId="1546">
      <pivotArea dataOnly="0" labelOnly="1" fieldPosition="0">
        <references count="2">
          <reference field="2" count="1" selected="0">
            <x v="49"/>
          </reference>
          <reference field="6" count="1">
            <x v="60"/>
          </reference>
        </references>
      </pivotArea>
    </format>
    <format dxfId="1545">
      <pivotArea dataOnly="0" labelOnly="1" fieldPosition="0">
        <references count="2">
          <reference field="2" count="1" selected="0">
            <x v="50"/>
          </reference>
          <reference field="6" count="1">
            <x v="61"/>
          </reference>
        </references>
      </pivotArea>
    </format>
    <format dxfId="1544">
      <pivotArea dataOnly="0" labelOnly="1" fieldPosition="0">
        <references count="2">
          <reference field="2" count="1" selected="0">
            <x v="51"/>
          </reference>
          <reference field="6" count="1">
            <x v="62"/>
          </reference>
        </references>
      </pivotArea>
    </format>
    <format dxfId="1543">
      <pivotArea dataOnly="0" labelOnly="1" fieldPosition="0">
        <references count="2">
          <reference field="2" count="1" selected="0">
            <x v="52"/>
          </reference>
          <reference field="6" count="1">
            <x v="63"/>
          </reference>
        </references>
      </pivotArea>
    </format>
    <format dxfId="1542">
      <pivotArea dataOnly="0" labelOnly="1" fieldPosition="0">
        <references count="2">
          <reference field="2" count="1" selected="0">
            <x v="53"/>
          </reference>
          <reference field="6" count="1">
            <x v="65"/>
          </reference>
        </references>
      </pivotArea>
    </format>
    <format dxfId="1541">
      <pivotArea dataOnly="0" labelOnly="1" fieldPosition="0">
        <references count="2">
          <reference field="2" count="1" selected="0">
            <x v="54"/>
          </reference>
          <reference field="6" count="1">
            <x v="66"/>
          </reference>
        </references>
      </pivotArea>
    </format>
    <format dxfId="1540">
      <pivotArea dataOnly="0" labelOnly="1" fieldPosition="0">
        <references count="2">
          <reference field="2" count="1" selected="0">
            <x v="55"/>
          </reference>
          <reference field="6" count="1">
            <x v="71"/>
          </reference>
        </references>
      </pivotArea>
    </format>
    <format dxfId="1539">
      <pivotArea dataOnly="0" labelOnly="1" fieldPosition="0">
        <references count="2">
          <reference field="2" count="1" selected="0">
            <x v="56"/>
          </reference>
          <reference field="6" count="1">
            <x v="86"/>
          </reference>
        </references>
      </pivotArea>
    </format>
    <format dxfId="1538">
      <pivotArea dataOnly="0" labelOnly="1" fieldPosition="0">
        <references count="2">
          <reference field="2" count="1" selected="0">
            <x v="57"/>
          </reference>
          <reference field="6" count="1">
            <x v="88"/>
          </reference>
        </references>
      </pivotArea>
    </format>
    <format dxfId="1537">
      <pivotArea dataOnly="0" labelOnly="1" fieldPosition="0">
        <references count="2">
          <reference field="2" count="1" selected="0">
            <x v="58"/>
          </reference>
          <reference field="6" count="1">
            <x v="8"/>
          </reference>
        </references>
      </pivotArea>
    </format>
    <format dxfId="1536">
      <pivotArea dataOnly="0" labelOnly="1" fieldPosition="0">
        <references count="2">
          <reference field="2" count="1" selected="0">
            <x v="59"/>
          </reference>
          <reference field="6" count="1">
            <x v="176"/>
          </reference>
        </references>
      </pivotArea>
    </format>
    <format dxfId="1535">
      <pivotArea dataOnly="0" labelOnly="1" fieldPosition="0">
        <references count="2">
          <reference field="2" count="1" selected="0">
            <x v="60"/>
          </reference>
          <reference field="6" count="1">
            <x v="35"/>
          </reference>
        </references>
      </pivotArea>
    </format>
    <format dxfId="1534">
      <pivotArea dataOnly="0" labelOnly="1" fieldPosition="0">
        <references count="2">
          <reference field="2" count="1" selected="0">
            <x v="61"/>
          </reference>
          <reference field="6" count="1">
            <x v="139"/>
          </reference>
        </references>
      </pivotArea>
    </format>
    <format dxfId="1533">
      <pivotArea dataOnly="0" labelOnly="1" fieldPosition="0">
        <references count="2">
          <reference field="2" count="1" selected="0">
            <x v="62"/>
          </reference>
          <reference field="6" count="1">
            <x v="49"/>
          </reference>
        </references>
      </pivotArea>
    </format>
    <format dxfId="1532">
      <pivotArea dataOnly="0" labelOnly="1" fieldPosition="0">
        <references count="2">
          <reference field="2" count="1" selected="0">
            <x v="63"/>
          </reference>
          <reference field="6" count="1">
            <x v="99"/>
          </reference>
        </references>
      </pivotArea>
    </format>
    <format dxfId="1531">
      <pivotArea dataOnly="0" labelOnly="1" fieldPosition="0">
        <references count="2">
          <reference field="2" count="1" selected="0">
            <x v="64"/>
          </reference>
          <reference field="6" count="1">
            <x v="56"/>
          </reference>
        </references>
      </pivotArea>
    </format>
    <format dxfId="1530">
      <pivotArea dataOnly="0" labelOnly="1" fieldPosition="0">
        <references count="2">
          <reference field="2" count="1" selected="0">
            <x v="65"/>
          </reference>
          <reference field="6" count="1">
            <x v="167"/>
          </reference>
        </references>
      </pivotArea>
    </format>
    <format dxfId="1529">
      <pivotArea dataOnly="0" labelOnly="1" fieldPosition="0">
        <references count="2">
          <reference field="2" count="1" selected="0">
            <x v="66"/>
          </reference>
          <reference field="6" count="1">
            <x v="11"/>
          </reference>
        </references>
      </pivotArea>
    </format>
    <format dxfId="1528">
      <pivotArea dataOnly="0" labelOnly="1" fieldPosition="0">
        <references count="2">
          <reference field="2" count="1" selected="0">
            <x v="67"/>
          </reference>
          <reference field="6" count="1">
            <x v="12"/>
          </reference>
        </references>
      </pivotArea>
    </format>
    <format dxfId="1527">
      <pivotArea dataOnly="0" labelOnly="1" fieldPosition="0">
        <references count="2">
          <reference field="2" count="1" selected="0">
            <x v="68"/>
          </reference>
          <reference field="6" count="1">
            <x v="13"/>
          </reference>
        </references>
      </pivotArea>
    </format>
    <format dxfId="1526">
      <pivotArea dataOnly="0" labelOnly="1" fieldPosition="0">
        <references count="2">
          <reference field="2" count="1" selected="0">
            <x v="69"/>
          </reference>
          <reference field="6" count="1">
            <x v="178"/>
          </reference>
        </references>
      </pivotArea>
    </format>
    <format dxfId="1525">
      <pivotArea dataOnly="0" labelOnly="1" fieldPosition="0">
        <references count="2">
          <reference field="2" count="1" selected="0">
            <x v="70"/>
          </reference>
          <reference field="6" count="1">
            <x v="179"/>
          </reference>
        </references>
      </pivotArea>
    </format>
    <format dxfId="1524">
      <pivotArea dataOnly="0" labelOnly="1" fieldPosition="0">
        <references count="2">
          <reference field="2" count="1" selected="0">
            <x v="71"/>
          </reference>
          <reference field="6" count="1">
            <x v="180"/>
          </reference>
        </references>
      </pivotArea>
    </format>
    <format dxfId="1523">
      <pivotArea dataOnly="0" labelOnly="1" fieldPosition="0">
        <references count="2">
          <reference field="2" count="1" selected="0">
            <x v="72"/>
          </reference>
          <reference field="6" count="1">
            <x v="68"/>
          </reference>
        </references>
      </pivotArea>
    </format>
    <format dxfId="1522">
      <pivotArea dataOnly="0" labelOnly="1" fieldPosition="0">
        <references count="2">
          <reference field="2" count="1" selected="0">
            <x v="73"/>
          </reference>
          <reference field="6" count="1">
            <x v="69"/>
          </reference>
        </references>
      </pivotArea>
    </format>
    <format dxfId="1521">
      <pivotArea dataOnly="0" labelOnly="1" fieldPosition="0">
        <references count="2">
          <reference field="2" count="1" selected="0">
            <x v="74"/>
          </reference>
          <reference field="6" count="1">
            <x v="70"/>
          </reference>
        </references>
      </pivotArea>
    </format>
    <format dxfId="1520">
      <pivotArea dataOnly="0" labelOnly="1" fieldPosition="0">
        <references count="2">
          <reference field="2" count="1" selected="0">
            <x v="75"/>
          </reference>
          <reference field="6" count="1">
            <x v="141"/>
          </reference>
        </references>
      </pivotArea>
    </format>
    <format dxfId="1519">
      <pivotArea dataOnly="0" labelOnly="1" fieldPosition="0">
        <references count="2">
          <reference field="2" count="1" selected="0">
            <x v="76"/>
          </reference>
          <reference field="6" count="1">
            <x v="142"/>
          </reference>
        </references>
      </pivotArea>
    </format>
    <format dxfId="1518">
      <pivotArea dataOnly="0" labelOnly="1" fieldPosition="0">
        <references count="2">
          <reference field="2" count="1" selected="0">
            <x v="77"/>
          </reference>
          <reference field="6" count="1">
            <x v="143"/>
          </reference>
        </references>
      </pivotArea>
    </format>
    <format dxfId="1517">
      <pivotArea dataOnly="0" labelOnly="1" fieldPosition="0">
        <references count="2">
          <reference field="2" count="1" selected="0">
            <x v="78"/>
          </reference>
          <reference field="6" count="1">
            <x v="152"/>
          </reference>
        </references>
      </pivotArea>
    </format>
    <format dxfId="1516">
      <pivotArea dataOnly="0" labelOnly="1" fieldPosition="0">
        <references count="2">
          <reference field="2" count="1" selected="0">
            <x v="79"/>
          </reference>
          <reference field="6" count="1">
            <x v="153"/>
          </reference>
        </references>
      </pivotArea>
    </format>
    <format dxfId="1515">
      <pivotArea dataOnly="0" labelOnly="1" fieldPosition="0">
        <references count="2">
          <reference field="2" count="1" selected="0">
            <x v="80"/>
          </reference>
          <reference field="6" count="1">
            <x v="154"/>
          </reference>
        </references>
      </pivotArea>
    </format>
    <format dxfId="1514">
      <pivotArea dataOnly="0" labelOnly="1" fieldPosition="0">
        <references count="2">
          <reference field="2" count="1" selected="0">
            <x v="81"/>
          </reference>
          <reference field="6" count="1">
            <x v="26"/>
          </reference>
        </references>
      </pivotArea>
    </format>
    <format dxfId="1513">
      <pivotArea dataOnly="0" labelOnly="1" fieldPosition="0">
        <references count="2">
          <reference field="2" count="1" selected="0">
            <x v="82"/>
          </reference>
          <reference field="6" count="1">
            <x v="30"/>
          </reference>
        </references>
      </pivotArea>
    </format>
    <format dxfId="1512">
      <pivotArea dataOnly="0" labelOnly="1" fieldPosition="0">
        <references count="2">
          <reference field="2" count="1" selected="0">
            <x v="83"/>
          </reference>
          <reference field="6" count="1">
            <x v="37"/>
          </reference>
        </references>
      </pivotArea>
    </format>
    <format dxfId="1511">
      <pivotArea dataOnly="0" labelOnly="1" fieldPosition="0">
        <references count="2">
          <reference field="2" count="1" selected="0">
            <x v="84"/>
          </reference>
          <reference field="6" count="1">
            <x v="75"/>
          </reference>
        </references>
      </pivotArea>
    </format>
    <format dxfId="1510">
      <pivotArea dataOnly="0" labelOnly="1" fieldPosition="0">
        <references count="2">
          <reference field="2" count="1" selected="0">
            <x v="85"/>
          </reference>
          <reference field="6" count="1">
            <x v="120"/>
          </reference>
        </references>
      </pivotArea>
    </format>
    <format dxfId="1509">
      <pivotArea dataOnly="0" labelOnly="1" fieldPosition="0">
        <references count="2">
          <reference field="2" count="1" selected="0">
            <x v="86"/>
          </reference>
          <reference field="6" count="1">
            <x v="126"/>
          </reference>
        </references>
      </pivotArea>
    </format>
    <format dxfId="1508">
      <pivotArea dataOnly="0" labelOnly="1" fieldPosition="0">
        <references count="2">
          <reference field="2" count="1" selected="0">
            <x v="87"/>
          </reference>
          <reference field="6" count="1">
            <x v="169"/>
          </reference>
        </references>
      </pivotArea>
    </format>
    <format dxfId="1507">
      <pivotArea dataOnly="0" labelOnly="1" fieldPosition="0">
        <references count="2">
          <reference field="2" count="1" selected="0">
            <x v="88"/>
          </reference>
          <reference field="6" count="1">
            <x v="4"/>
          </reference>
        </references>
      </pivotArea>
    </format>
    <format dxfId="1506">
      <pivotArea dataOnly="0" labelOnly="1" fieldPosition="0">
        <references count="2">
          <reference field="2" count="1" selected="0">
            <x v="89"/>
          </reference>
          <reference field="6" count="1">
            <x v="32"/>
          </reference>
        </references>
      </pivotArea>
    </format>
    <format dxfId="1505">
      <pivotArea dataOnly="0" labelOnly="1" fieldPosition="0">
        <references count="2">
          <reference field="2" count="1" selected="0">
            <x v="90"/>
          </reference>
          <reference field="6" count="1">
            <x v="47"/>
          </reference>
        </references>
      </pivotArea>
    </format>
    <format dxfId="1504">
      <pivotArea dataOnly="0" labelOnly="1" fieldPosition="0">
        <references count="2">
          <reference field="2" count="1" selected="0">
            <x v="91"/>
          </reference>
          <reference field="6" count="1">
            <x v="73"/>
          </reference>
        </references>
      </pivotArea>
    </format>
    <format dxfId="1503">
      <pivotArea dataOnly="0" labelOnly="1" fieldPosition="0">
        <references count="2">
          <reference field="2" count="1" selected="0">
            <x v="92"/>
          </reference>
          <reference field="6" count="1">
            <x v="78"/>
          </reference>
        </references>
      </pivotArea>
    </format>
    <format dxfId="1502">
      <pivotArea dataOnly="0" labelOnly="1" fieldPosition="0">
        <references count="2">
          <reference field="2" count="1" selected="0">
            <x v="93"/>
          </reference>
          <reference field="6" count="1">
            <x v="89"/>
          </reference>
        </references>
      </pivotArea>
    </format>
    <format dxfId="1501">
      <pivotArea dataOnly="0" labelOnly="1" fieldPosition="0">
        <references count="2">
          <reference field="2" count="1" selected="0">
            <x v="94"/>
          </reference>
          <reference field="6" count="1">
            <x v="118"/>
          </reference>
        </references>
      </pivotArea>
    </format>
    <format dxfId="1500">
      <pivotArea dataOnly="0" labelOnly="1" fieldPosition="0">
        <references count="2">
          <reference field="2" count="1" selected="0">
            <x v="95"/>
          </reference>
          <reference field="6" count="1">
            <x v="124"/>
          </reference>
        </references>
      </pivotArea>
    </format>
    <format dxfId="1499">
      <pivotArea dataOnly="0" labelOnly="1" fieldPosition="0">
        <references count="2">
          <reference field="2" count="1" selected="0">
            <x v="96"/>
          </reference>
          <reference field="6" count="1">
            <x v="129"/>
          </reference>
        </references>
      </pivotArea>
    </format>
    <format dxfId="1498">
      <pivotArea dataOnly="0" labelOnly="1" fieldPosition="0">
        <references count="2">
          <reference field="2" count="1" selected="0">
            <x v="97"/>
          </reference>
          <reference field="6" count="1">
            <x v="134"/>
          </reference>
        </references>
      </pivotArea>
    </format>
    <format dxfId="1497">
      <pivotArea dataOnly="0" labelOnly="1" fieldPosition="0">
        <references count="2">
          <reference field="2" count="1" selected="0">
            <x v="98"/>
          </reference>
          <reference field="6" count="1">
            <x v="149"/>
          </reference>
        </references>
      </pivotArea>
    </format>
    <format dxfId="1496">
      <pivotArea dataOnly="0" labelOnly="1" fieldPosition="0">
        <references count="2">
          <reference field="2" count="1" selected="0">
            <x v="99"/>
          </reference>
          <reference field="6" count="1">
            <x v="163"/>
          </reference>
        </references>
      </pivotArea>
    </format>
    <format dxfId="1495">
      <pivotArea dataOnly="0" labelOnly="1" fieldPosition="0">
        <references count="2">
          <reference field="2" count="1" selected="0">
            <x v="100"/>
          </reference>
          <reference field="6" count="1">
            <x v="164"/>
          </reference>
        </references>
      </pivotArea>
    </format>
    <format dxfId="1494">
      <pivotArea dataOnly="0" labelOnly="1" fieldPosition="0">
        <references count="2">
          <reference field="2" count="1" selected="0">
            <x v="101"/>
          </reference>
          <reference field="6" count="1">
            <x v="186"/>
          </reference>
        </references>
      </pivotArea>
    </format>
    <format dxfId="1493">
      <pivotArea dataOnly="0" labelOnly="1" fieldPosition="0">
        <references count="2">
          <reference field="2" count="1" selected="0">
            <x v="102"/>
          </reference>
          <reference field="6" count="1">
            <x v="31"/>
          </reference>
        </references>
      </pivotArea>
    </format>
    <format dxfId="1492">
      <pivotArea dataOnly="0" labelOnly="1" fieldPosition="0">
        <references count="2">
          <reference field="2" count="1" selected="0">
            <x v="103"/>
          </reference>
          <reference field="6" count="1">
            <x v="80"/>
          </reference>
        </references>
      </pivotArea>
    </format>
    <format dxfId="1491">
      <pivotArea dataOnly="0" labelOnly="1" fieldPosition="0">
        <references count="2">
          <reference field="2" count="1" selected="0">
            <x v="104"/>
          </reference>
          <reference field="6" count="1">
            <x v="81"/>
          </reference>
        </references>
      </pivotArea>
    </format>
    <format dxfId="1490">
      <pivotArea dataOnly="0" labelOnly="1" fieldPosition="0">
        <references count="2">
          <reference field="2" count="1" selected="0">
            <x v="105"/>
          </reference>
          <reference field="6" count="1">
            <x v="27"/>
          </reference>
        </references>
      </pivotArea>
    </format>
    <format dxfId="1489">
      <pivotArea dataOnly="0" labelOnly="1" fieldPosition="0">
        <references count="2">
          <reference field="2" count="1" selected="0">
            <x v="106"/>
          </reference>
          <reference field="6" count="1">
            <x v="40"/>
          </reference>
        </references>
      </pivotArea>
    </format>
    <format dxfId="1488">
      <pivotArea dataOnly="0" labelOnly="1" fieldPosition="0">
        <references count="2">
          <reference field="2" count="1" selected="0">
            <x v="107"/>
          </reference>
          <reference field="6" count="1">
            <x v="148"/>
          </reference>
        </references>
      </pivotArea>
    </format>
    <format dxfId="1487">
      <pivotArea dataOnly="0" labelOnly="1" fieldPosition="0">
        <references count="2">
          <reference field="2" count="1" selected="0">
            <x v="108"/>
          </reference>
          <reference field="6" count="1">
            <x v="39"/>
          </reference>
        </references>
      </pivotArea>
    </format>
    <format dxfId="1486">
      <pivotArea dataOnly="0" labelOnly="1" fieldPosition="0">
        <references count="2">
          <reference field="2" count="1" selected="0">
            <x v="109"/>
          </reference>
          <reference field="6" count="1">
            <x v="103"/>
          </reference>
        </references>
      </pivotArea>
    </format>
    <format dxfId="1485">
      <pivotArea dataOnly="0" labelOnly="1" fieldPosition="0">
        <references count="2">
          <reference field="2" count="1" selected="0">
            <x v="110"/>
          </reference>
          <reference field="6" count="1">
            <x v="121"/>
          </reference>
        </references>
      </pivotArea>
    </format>
    <format dxfId="1484">
      <pivotArea dataOnly="0" labelOnly="1" fieldPosition="0">
        <references count="2">
          <reference field="2" count="1" selected="0">
            <x v="111"/>
          </reference>
          <reference field="6" count="1">
            <x v="97"/>
          </reference>
        </references>
      </pivotArea>
    </format>
    <format dxfId="1483">
      <pivotArea dataOnly="0" labelOnly="1" fieldPosition="0">
        <references count="2">
          <reference field="2" count="1" selected="0">
            <x v="112"/>
          </reference>
          <reference field="6" count="1">
            <x v="96"/>
          </reference>
        </references>
      </pivotArea>
    </format>
    <format dxfId="1482">
      <pivotArea dataOnly="0" labelOnly="1" fieldPosition="0">
        <references count="2">
          <reference field="2" count="1" selected="0">
            <x v="113"/>
          </reference>
          <reference field="6" count="1">
            <x v="117"/>
          </reference>
        </references>
      </pivotArea>
    </format>
    <format dxfId="1481">
      <pivotArea dataOnly="0" labelOnly="1" fieldPosition="0">
        <references count="2">
          <reference field="2" count="1" selected="0">
            <x v="114"/>
          </reference>
          <reference field="6" count="1">
            <x v="128"/>
          </reference>
        </references>
      </pivotArea>
    </format>
    <format dxfId="1480">
      <pivotArea dataOnly="0" labelOnly="1" fieldPosition="0">
        <references count="2">
          <reference field="2" count="1" selected="0">
            <x v="115"/>
          </reference>
          <reference field="6" count="1">
            <x v="101"/>
          </reference>
        </references>
      </pivotArea>
    </format>
    <format dxfId="1479">
      <pivotArea dataOnly="0" labelOnly="1" fieldPosition="0">
        <references count="2">
          <reference field="2" count="1" selected="0">
            <x v="116"/>
          </reference>
          <reference field="6" count="1">
            <x v="171"/>
          </reference>
        </references>
      </pivotArea>
    </format>
    <format dxfId="1478">
      <pivotArea dataOnly="0" labelOnly="1" fieldPosition="0">
        <references count="2">
          <reference field="2" count="1" selected="0">
            <x v="117"/>
          </reference>
          <reference field="6" count="1">
            <x v="77"/>
          </reference>
        </references>
      </pivotArea>
    </format>
    <format dxfId="1477">
      <pivotArea dataOnly="0" labelOnly="1" fieldPosition="0">
        <references count="2">
          <reference field="2" count="1" selected="0">
            <x v="118"/>
          </reference>
          <reference field="6" count="1">
            <x v="23"/>
          </reference>
        </references>
      </pivotArea>
    </format>
    <format dxfId="1476">
      <pivotArea dataOnly="0" labelOnly="1" fieldPosition="0">
        <references count="2">
          <reference field="2" count="1" selected="0">
            <x v="119"/>
          </reference>
          <reference field="6" count="1">
            <x v="53"/>
          </reference>
        </references>
      </pivotArea>
    </format>
    <format dxfId="1475">
      <pivotArea dataOnly="0" labelOnly="1" fieldPosition="0">
        <references count="2">
          <reference field="2" count="1" selected="0">
            <x v="120"/>
          </reference>
          <reference field="6" count="1">
            <x v="147"/>
          </reference>
        </references>
      </pivotArea>
    </format>
    <format dxfId="1474">
      <pivotArea dataOnly="0" labelOnly="1" fieldPosition="0">
        <references count="2">
          <reference field="2" count="1" selected="0">
            <x v="121"/>
          </reference>
          <reference field="6" count="1">
            <x v="84"/>
          </reference>
        </references>
      </pivotArea>
    </format>
    <format dxfId="1473">
      <pivotArea dataOnly="0" labelOnly="1" fieldPosition="0">
        <references count="2">
          <reference field="2" count="1" selected="0">
            <x v="122"/>
          </reference>
          <reference field="6" count="1">
            <x v="82"/>
          </reference>
        </references>
      </pivotArea>
    </format>
    <format dxfId="1472">
      <pivotArea dataOnly="0" labelOnly="1" fieldPosition="0">
        <references count="2">
          <reference field="2" count="1" selected="0">
            <x v="123"/>
          </reference>
          <reference field="6" count="1">
            <x v="132"/>
          </reference>
        </references>
      </pivotArea>
    </format>
    <format dxfId="1471">
      <pivotArea dataOnly="0" labelOnly="1" fieldPosition="0">
        <references count="2">
          <reference field="2" count="1" selected="0">
            <x v="124"/>
          </reference>
          <reference field="6" count="1">
            <x v="189"/>
          </reference>
        </references>
      </pivotArea>
    </format>
    <format dxfId="1470">
      <pivotArea dataOnly="0" labelOnly="1" fieldPosition="0">
        <references count="2">
          <reference field="2" count="1" selected="0">
            <x v="125"/>
          </reference>
          <reference field="6" count="1">
            <x v="190"/>
          </reference>
        </references>
      </pivotArea>
    </format>
    <format dxfId="1469">
      <pivotArea dataOnly="0" labelOnly="1" fieldPosition="0">
        <references count="2">
          <reference field="2" count="1" selected="0">
            <x v="126"/>
          </reference>
          <reference field="6" count="1">
            <x v="29"/>
          </reference>
        </references>
      </pivotArea>
    </format>
    <format dxfId="1468">
      <pivotArea dataOnly="0" labelOnly="1" fieldPosition="0">
        <references count="2">
          <reference field="2" count="1" selected="0">
            <x v="127"/>
          </reference>
          <reference field="6" count="1">
            <x v="58"/>
          </reference>
        </references>
      </pivotArea>
    </format>
    <format dxfId="1467">
      <pivotArea dataOnly="0" labelOnly="1" fieldPosition="0">
        <references count="2">
          <reference field="2" count="1" selected="0">
            <x v="128"/>
          </reference>
          <reference field="6" count="1">
            <x v="24"/>
          </reference>
        </references>
      </pivotArea>
    </format>
    <format dxfId="1466">
      <pivotArea dataOnly="0" labelOnly="1" fieldPosition="0">
        <references count="2">
          <reference field="2" count="1" selected="0">
            <x v="129"/>
          </reference>
          <reference field="6" count="1">
            <x v="185"/>
          </reference>
        </references>
      </pivotArea>
    </format>
    <format dxfId="1465">
      <pivotArea dataOnly="0" labelOnly="1" fieldPosition="0">
        <references count="2">
          <reference field="2" count="1" selected="0">
            <x v="130"/>
          </reference>
          <reference field="6" count="1">
            <x v="76"/>
          </reference>
        </references>
      </pivotArea>
    </format>
    <format dxfId="1464">
      <pivotArea dataOnly="0" labelOnly="1" fieldPosition="0">
        <references count="2">
          <reference field="2" count="1" selected="0">
            <x v="131"/>
          </reference>
          <reference field="6" count="1">
            <x v="45"/>
          </reference>
        </references>
      </pivotArea>
    </format>
    <format dxfId="1463">
      <pivotArea dataOnly="0" labelOnly="1" fieldPosition="0">
        <references count="2">
          <reference field="2" count="1" selected="0">
            <x v="132"/>
          </reference>
          <reference field="6" count="1">
            <x v="110"/>
          </reference>
        </references>
      </pivotArea>
    </format>
    <format dxfId="1462">
      <pivotArea dataOnly="0" labelOnly="1" fieldPosition="0">
        <references count="2">
          <reference field="2" count="1" selected="0">
            <x v="133"/>
          </reference>
          <reference field="6" count="1">
            <x v="156"/>
          </reference>
        </references>
      </pivotArea>
    </format>
    <format dxfId="1461">
      <pivotArea dataOnly="0" labelOnly="1" fieldPosition="0">
        <references count="2">
          <reference field="2" count="1" selected="0">
            <x v="134"/>
          </reference>
          <reference field="6" count="1">
            <x v="162"/>
          </reference>
        </references>
      </pivotArea>
    </format>
    <format dxfId="1460">
      <pivotArea dataOnly="0" labelOnly="1" fieldPosition="0">
        <references count="2">
          <reference field="2" count="1" selected="0">
            <x v="135"/>
          </reference>
          <reference field="6" count="1">
            <x v="1"/>
          </reference>
        </references>
      </pivotArea>
    </format>
    <format dxfId="1459">
      <pivotArea dataOnly="0" labelOnly="1" fieldPosition="0">
        <references count="2">
          <reference field="2" count="1" selected="0">
            <x v="136"/>
          </reference>
          <reference field="6" count="1">
            <x v="16"/>
          </reference>
        </references>
      </pivotArea>
    </format>
    <format dxfId="1458">
      <pivotArea dataOnly="0" labelOnly="1" fieldPosition="0">
        <references count="2">
          <reference field="2" count="1" selected="0">
            <x v="137"/>
          </reference>
          <reference field="6" count="1">
            <x v="182"/>
          </reference>
        </references>
      </pivotArea>
    </format>
    <format dxfId="1457">
      <pivotArea dataOnly="0" labelOnly="1" fieldPosition="0">
        <references count="2">
          <reference field="2" count="1" selected="0">
            <x v="138"/>
          </reference>
          <reference field="6" count="1">
            <x v="38"/>
          </reference>
        </references>
      </pivotArea>
    </format>
    <format dxfId="1456">
      <pivotArea dataOnly="0" labelOnly="1" fieldPosition="0">
        <references count="2">
          <reference field="2" count="1" selected="0">
            <x v="139"/>
          </reference>
          <reference field="6" count="1">
            <x v="144"/>
          </reference>
        </references>
      </pivotArea>
    </format>
    <format dxfId="1455">
      <pivotArea dataOnly="0" labelOnly="1" fieldPosition="0">
        <references count="2">
          <reference field="2" count="1" selected="0">
            <x v="140"/>
          </reference>
          <reference field="6" count="1">
            <x v="107"/>
          </reference>
        </references>
      </pivotArea>
    </format>
    <format dxfId="1454">
      <pivotArea dataOnly="0" labelOnly="1" fieldPosition="0">
        <references count="2">
          <reference field="2" count="1" selected="0">
            <x v="141"/>
          </reference>
          <reference field="6" count="1">
            <x v="172"/>
          </reference>
        </references>
      </pivotArea>
    </format>
    <format dxfId="1453">
      <pivotArea dataOnly="0" labelOnly="1" fieldPosition="0">
        <references count="2">
          <reference field="2" count="1" selected="0">
            <x v="142"/>
          </reference>
          <reference field="6" count="1">
            <x v="15"/>
          </reference>
        </references>
      </pivotArea>
    </format>
    <format dxfId="1452">
      <pivotArea dataOnly="0" labelOnly="1" fieldPosition="0">
        <references count="2">
          <reference field="2" count="1" selected="0">
            <x v="143"/>
          </reference>
          <reference field="6" count="1">
            <x v="135"/>
          </reference>
        </references>
      </pivotArea>
    </format>
    <format dxfId="1451">
      <pivotArea dataOnly="0" labelOnly="1" fieldPosition="0">
        <references count="2">
          <reference field="2" count="1" selected="0">
            <x v="144"/>
          </reference>
          <reference field="6" count="1">
            <x v="33"/>
          </reference>
        </references>
      </pivotArea>
    </format>
    <format dxfId="1450">
      <pivotArea dataOnly="0" labelOnly="1" fieldPosition="0">
        <references count="2">
          <reference field="2" count="1" selected="0">
            <x v="145"/>
          </reference>
          <reference field="6" count="1">
            <x v="173"/>
          </reference>
        </references>
      </pivotArea>
    </format>
    <format dxfId="1449">
      <pivotArea dataOnly="0" labelOnly="1" fieldPosition="0">
        <references count="2">
          <reference field="2" count="1" selected="0">
            <x v="146"/>
          </reference>
          <reference field="6" count="1">
            <x v="5"/>
          </reference>
        </references>
      </pivotArea>
    </format>
    <format dxfId="1448">
      <pivotArea dataOnly="0" labelOnly="1" fieldPosition="0">
        <references count="2">
          <reference field="2" count="1" selected="0">
            <x v="147"/>
          </reference>
          <reference field="6" count="1">
            <x v="34"/>
          </reference>
        </references>
      </pivotArea>
    </format>
    <format dxfId="1447">
      <pivotArea dataOnly="0" labelOnly="1" fieldPosition="0">
        <references count="2">
          <reference field="2" count="1" selected="0">
            <x v="148"/>
          </reference>
          <reference field="6" count="1">
            <x v="136"/>
          </reference>
        </references>
      </pivotArea>
    </format>
    <format dxfId="1446">
      <pivotArea dataOnly="0" labelOnly="1" fieldPosition="0">
        <references count="2">
          <reference field="2" count="1" selected="0">
            <x v="149"/>
          </reference>
          <reference field="6" count="1">
            <x v="55"/>
          </reference>
        </references>
      </pivotArea>
    </format>
    <format dxfId="1445">
      <pivotArea dataOnly="0" labelOnly="1" fieldPosition="0">
        <references count="2">
          <reference field="2" count="1" selected="0">
            <x v="150"/>
          </reference>
          <reference field="6" count="1">
            <x v="98"/>
          </reference>
        </references>
      </pivotArea>
    </format>
    <format dxfId="1444">
      <pivotArea dataOnly="0" labelOnly="1" fieldPosition="0">
        <references count="2">
          <reference field="2" count="1" selected="0">
            <x v="151"/>
          </reference>
          <reference field="6" count="1">
            <x v="165"/>
          </reference>
        </references>
      </pivotArea>
    </format>
    <format dxfId="1443">
      <pivotArea dataOnly="0" labelOnly="1" fieldPosition="0">
        <references count="2">
          <reference field="2" count="1" selected="0">
            <x v="152"/>
          </reference>
          <reference field="6" count="1">
            <x v="14"/>
          </reference>
        </references>
      </pivotArea>
    </format>
    <format dxfId="1442">
      <pivotArea dataOnly="0" labelOnly="1" fieldPosition="0">
        <references count="2">
          <reference field="2" count="1" selected="0">
            <x v="153"/>
          </reference>
          <reference field="6" count="1">
            <x v="159"/>
          </reference>
        </references>
      </pivotArea>
    </format>
    <format dxfId="1441">
      <pivotArea dataOnly="0" labelOnly="1" fieldPosition="0">
        <references count="2">
          <reference field="2" count="1" selected="0">
            <x v="154"/>
          </reference>
          <reference field="6" count="1">
            <x v="181"/>
          </reference>
        </references>
      </pivotArea>
    </format>
    <format dxfId="1440">
      <pivotArea dataOnly="0" labelOnly="1" fieldPosition="0">
        <references count="2">
          <reference field="2" count="1" selected="0">
            <x v="155"/>
          </reference>
          <reference field="6" count="1">
            <x v="104"/>
          </reference>
        </references>
      </pivotArea>
    </format>
    <format dxfId="1439">
      <pivotArea dataOnly="0" labelOnly="1" fieldPosition="0">
        <references count="2">
          <reference field="2" count="1" selected="0">
            <x v="156"/>
          </reference>
          <reference field="6" count="1">
            <x v="157"/>
          </reference>
        </references>
      </pivotArea>
    </format>
    <format dxfId="1438">
      <pivotArea dataOnly="0" labelOnly="1" fieldPosition="0">
        <references count="2">
          <reference field="2" count="1" selected="0">
            <x v="157"/>
          </reference>
          <reference field="6" count="1">
            <x v="2"/>
          </reference>
        </references>
      </pivotArea>
    </format>
    <format dxfId="1437">
      <pivotArea dataOnly="0" labelOnly="1" fieldPosition="0">
        <references count="2">
          <reference field="2" count="1" selected="0">
            <x v="158"/>
          </reference>
          <reference field="6" count="1">
            <x v="17"/>
          </reference>
        </references>
      </pivotArea>
    </format>
    <format dxfId="1436">
      <pivotArea dataOnly="0" labelOnly="1" fieldPosition="0">
        <references count="2">
          <reference field="2" count="1" selected="0">
            <x v="159"/>
          </reference>
          <reference field="6" count="1">
            <x v="41"/>
          </reference>
        </references>
      </pivotArea>
    </format>
    <format dxfId="1435">
      <pivotArea dataOnly="0" labelOnly="1" fieldPosition="0">
        <references count="2">
          <reference field="2" count="1" selected="0">
            <x v="160"/>
          </reference>
          <reference field="6" count="1">
            <x v="46"/>
          </reference>
        </references>
      </pivotArea>
    </format>
    <format dxfId="1434">
      <pivotArea dataOnly="0" labelOnly="1" fieldPosition="0">
        <references count="2">
          <reference field="2" count="1" selected="0">
            <x v="161"/>
          </reference>
          <reference field="6" count="1">
            <x v="51"/>
          </reference>
        </references>
      </pivotArea>
    </format>
    <format dxfId="1433">
      <pivotArea dataOnly="0" labelOnly="1" fieldPosition="0">
        <references count="2">
          <reference field="2" count="1" selected="0">
            <x v="162"/>
          </reference>
          <reference field="6" count="1">
            <x v="59"/>
          </reference>
        </references>
      </pivotArea>
    </format>
    <format dxfId="1432">
      <pivotArea dataOnly="0" labelOnly="1" fieldPosition="0">
        <references count="2">
          <reference field="2" count="1" selected="0">
            <x v="163"/>
          </reference>
          <reference field="6" count="1">
            <x v="83"/>
          </reference>
        </references>
      </pivotArea>
    </format>
    <format dxfId="1431">
      <pivotArea dataOnly="0" labelOnly="1" fieldPosition="0">
        <references count="2">
          <reference field="2" count="1" selected="0">
            <x v="164"/>
          </reference>
          <reference field="6" count="1">
            <x v="108"/>
          </reference>
        </references>
      </pivotArea>
    </format>
    <format dxfId="1430">
      <pivotArea dataOnly="0" labelOnly="1" fieldPosition="0">
        <references count="2">
          <reference field="2" count="1" selected="0">
            <x v="165"/>
          </reference>
          <reference field="6" count="1">
            <x v="111"/>
          </reference>
        </references>
      </pivotArea>
    </format>
    <format dxfId="1429">
      <pivotArea dataOnly="0" labelOnly="1" fieldPosition="0">
        <references count="2">
          <reference field="2" count="1" selected="0">
            <x v="166"/>
          </reference>
          <reference field="6" count="1">
            <x v="113"/>
          </reference>
        </references>
      </pivotArea>
    </format>
    <format dxfId="1428">
      <pivotArea dataOnly="0" labelOnly="1" fieldPosition="0">
        <references count="2">
          <reference field="2" count="1" selected="0">
            <x v="167"/>
          </reference>
          <reference field="6" count="1">
            <x v="145"/>
          </reference>
        </references>
      </pivotArea>
    </format>
    <format dxfId="1427">
      <pivotArea dataOnly="0" labelOnly="1" fieldPosition="0">
        <references count="2">
          <reference field="2" count="1" selected="0">
            <x v="168"/>
          </reference>
          <reference field="6" count="1">
            <x v="183"/>
          </reference>
        </references>
      </pivotArea>
    </format>
    <format dxfId="1426">
      <pivotArea dataOnly="0" labelOnly="1" fieldPosition="0">
        <references count="2">
          <reference field="2" count="1" selected="0">
            <x v="169"/>
          </reference>
          <reference field="6" count="1">
            <x v="188"/>
          </reference>
        </references>
      </pivotArea>
    </format>
    <format dxfId="1425">
      <pivotArea dataOnly="0" labelOnly="1" fieldPosition="0">
        <references count="2">
          <reference field="2" count="1" selected="0">
            <x v="170"/>
          </reference>
          <reference field="6" count="1">
            <x v="6"/>
          </reference>
        </references>
      </pivotArea>
    </format>
    <format dxfId="1424">
      <pivotArea dataOnly="0" labelOnly="1" fieldPosition="0">
        <references count="2">
          <reference field="2" count="1" selected="0">
            <x v="171"/>
          </reference>
          <reference field="6" count="1">
            <x v="25"/>
          </reference>
        </references>
      </pivotArea>
    </format>
    <format dxfId="1423">
      <pivotArea dataOnly="0" labelOnly="1" fieldPosition="0">
        <references count="2">
          <reference field="2" count="1" selected="0">
            <x v="172"/>
          </reference>
          <reference field="6" count="1">
            <x v="64"/>
          </reference>
        </references>
      </pivotArea>
    </format>
    <format dxfId="1422">
      <pivotArea dataOnly="0" labelOnly="1" fieldPosition="0">
        <references count="2">
          <reference field="2" count="1" selected="0">
            <x v="173"/>
          </reference>
          <reference field="6" count="1">
            <x v="85"/>
          </reference>
        </references>
      </pivotArea>
    </format>
    <format dxfId="1421">
      <pivotArea dataOnly="0" labelOnly="1" fieldPosition="0">
        <references count="2">
          <reference field="2" count="1" selected="0">
            <x v="174"/>
          </reference>
          <reference field="6" count="1">
            <x v="90"/>
          </reference>
        </references>
      </pivotArea>
    </format>
    <format dxfId="1420">
      <pivotArea dataOnly="0" labelOnly="1" fieldPosition="0">
        <references count="2">
          <reference field="2" count="1" selected="0">
            <x v="175"/>
          </reference>
          <reference field="6" count="1">
            <x v="105"/>
          </reference>
        </references>
      </pivotArea>
    </format>
    <format dxfId="1419">
      <pivotArea dataOnly="0" labelOnly="1" fieldPosition="0">
        <references count="2">
          <reference field="2" count="1" selected="0">
            <x v="176"/>
          </reference>
          <reference field="6" count="1">
            <x v="137"/>
          </reference>
        </references>
      </pivotArea>
    </format>
    <format dxfId="1418">
      <pivotArea dataOnly="0" labelOnly="1" fieldPosition="0">
        <references count="2">
          <reference field="2" count="1" selected="0">
            <x v="177"/>
          </reference>
          <reference field="6" count="1">
            <x v="150"/>
          </reference>
        </references>
      </pivotArea>
    </format>
    <format dxfId="1417">
      <pivotArea dataOnly="0" labelOnly="1" fieldPosition="0">
        <references count="2">
          <reference field="2" count="1" selected="0">
            <x v="178"/>
          </reference>
          <reference field="6" count="1">
            <x v="166"/>
          </reference>
        </references>
      </pivotArea>
    </format>
    <format dxfId="1416">
      <pivotArea dataOnly="0" labelOnly="1" fieldPosition="0">
        <references count="2">
          <reference field="2" count="1" selected="0">
            <x v="179"/>
          </reference>
          <reference field="6" count="1">
            <x v="174"/>
          </reference>
        </references>
      </pivotArea>
    </format>
    <format dxfId="1415">
      <pivotArea dataOnly="0" labelOnly="1" fieldPosition="0">
        <references count="2">
          <reference field="2" count="1" selected="0">
            <x v="180"/>
          </reference>
          <reference field="6" count="1">
            <x v="19"/>
          </reference>
        </references>
      </pivotArea>
    </format>
    <format dxfId="1414">
      <pivotArea dataOnly="0" labelOnly="1" fieldPosition="0">
        <references count="2">
          <reference field="2" count="1" selected="0">
            <x v="181"/>
          </reference>
          <reference field="6" count="1">
            <x v="7"/>
          </reference>
        </references>
      </pivotArea>
    </format>
    <format dxfId="1413">
      <pivotArea dataOnly="0" labelOnly="1" fieldPosition="0">
        <references count="2">
          <reference field="2" count="1" selected="0">
            <x v="182"/>
          </reference>
          <reference field="6" count="1">
            <x v="54"/>
          </reference>
        </references>
      </pivotArea>
    </format>
    <format dxfId="1412">
      <pivotArea dataOnly="0" labelOnly="1" fieldPosition="0">
        <references count="2">
          <reference field="2" count="1" selected="0">
            <x v="183"/>
          </reference>
          <reference field="6" count="1">
            <x v="67"/>
          </reference>
        </references>
      </pivotArea>
    </format>
    <format dxfId="1411">
      <pivotArea dataOnly="0" labelOnly="1" fieldPosition="0">
        <references count="2">
          <reference field="2" count="1" selected="0">
            <x v="184"/>
          </reference>
          <reference field="6" count="1">
            <x v="72"/>
          </reference>
        </references>
      </pivotArea>
    </format>
    <format dxfId="1410">
      <pivotArea dataOnly="0" labelOnly="1" fieldPosition="0">
        <references count="2">
          <reference field="2" count="1" selected="0">
            <x v="185"/>
          </reference>
          <reference field="6" count="1">
            <x v="87"/>
          </reference>
        </references>
      </pivotArea>
    </format>
    <format dxfId="1409">
      <pivotArea dataOnly="0" labelOnly="1" fieldPosition="0">
        <references count="2">
          <reference field="2" count="1" selected="0">
            <x v="186"/>
          </reference>
          <reference field="6" count="1">
            <x v="91"/>
          </reference>
        </references>
      </pivotArea>
    </format>
    <format dxfId="1408">
      <pivotArea dataOnly="0" labelOnly="1" fieldPosition="0">
        <references count="2">
          <reference field="2" count="1" selected="0">
            <x v="187"/>
          </reference>
          <reference field="6" count="1">
            <x v="106"/>
          </reference>
        </references>
      </pivotArea>
    </format>
    <format dxfId="1407">
      <pivotArea dataOnly="0" labelOnly="1" fieldPosition="0">
        <references count="2">
          <reference field="2" count="1" selected="0">
            <x v="188"/>
          </reference>
          <reference field="6" count="1">
            <x v="138"/>
          </reference>
        </references>
      </pivotArea>
    </format>
    <format dxfId="1406">
      <pivotArea dataOnly="0" labelOnly="1" fieldPosition="0">
        <references count="2">
          <reference field="2" count="1" selected="0">
            <x v="189"/>
          </reference>
          <reference field="6" count="1">
            <x v="151"/>
          </reference>
        </references>
      </pivotArea>
    </format>
    <format dxfId="1405">
      <pivotArea dataOnly="0" labelOnly="1" fieldPosition="0">
        <references count="2">
          <reference field="2" count="1" selected="0">
            <x v="190"/>
          </reference>
          <reference field="6" count="1">
            <x v="175"/>
          </reference>
        </references>
      </pivotArea>
    </format>
    <format dxfId="1404">
      <pivotArea dataOnly="0" labelOnly="1" fieldPosition="0">
        <references count="2">
          <reference field="2" count="1" selected="0">
            <x v="191"/>
          </reference>
          <reference field="6" count="1">
            <x v="191"/>
          </reference>
        </references>
      </pivotArea>
    </format>
    <format dxfId="1403">
      <pivotArea field="2" type="button" dataOnly="0" labelOnly="1" outline="0" axis="axisRow" fieldPosition="1"/>
    </format>
    <format dxfId="1402">
      <pivotArea field="6" type="button" dataOnly="0" labelOnly="1" outline="0" axis="axisRow" fieldPosition="2"/>
    </format>
    <format dxfId="1401">
      <pivotArea dataOnly="0" labelOnly="1" fieldPosition="0">
        <references count="1">
          <reference field="3" count="0"/>
        </references>
      </pivotArea>
    </format>
    <format dxfId="1400">
      <pivotArea dataOnly="0" labelOnly="1" grandCol="1" outline="0" fieldPosition="0"/>
    </format>
    <format dxfId="1399">
      <pivotArea collapsedLevelsAreSubtotals="1" fieldPosition="0">
        <references count="1">
          <reference field="13" count="1">
            <x v="0"/>
          </reference>
        </references>
      </pivotArea>
    </format>
    <format dxfId="1398">
      <pivotArea collapsedLevelsAreSubtotals="1" fieldPosition="0">
        <references count="3">
          <reference field="2" count="1" selected="0">
            <x v="58"/>
          </reference>
          <reference field="6" count="1">
            <x v="8"/>
          </reference>
          <reference field="13" count="1" selected="0">
            <x v="0"/>
          </reference>
        </references>
      </pivotArea>
    </format>
    <format dxfId="1397">
      <pivotArea collapsedLevelsAreSubtotals="1" fieldPosition="0">
        <references count="3">
          <reference field="2" count="1" selected="0">
            <x v="59"/>
          </reference>
          <reference field="6" count="1">
            <x v="176"/>
          </reference>
          <reference field="13" count="1" selected="0">
            <x v="0"/>
          </reference>
        </references>
      </pivotArea>
    </format>
    <format dxfId="1396">
      <pivotArea collapsedLevelsAreSubtotals="1" fieldPosition="0">
        <references count="3">
          <reference field="2" count="1" selected="0">
            <x v="60"/>
          </reference>
          <reference field="6" count="1">
            <x v="35"/>
          </reference>
          <reference field="13" count="1" selected="0">
            <x v="0"/>
          </reference>
        </references>
      </pivotArea>
    </format>
    <format dxfId="1395">
      <pivotArea collapsedLevelsAreSubtotals="1" fieldPosition="0">
        <references count="3">
          <reference field="2" count="1" selected="0">
            <x v="61"/>
          </reference>
          <reference field="6" count="1">
            <x v="139"/>
          </reference>
          <reference field="13" count="1" selected="0">
            <x v="0"/>
          </reference>
        </references>
      </pivotArea>
    </format>
    <format dxfId="1394">
      <pivotArea collapsedLevelsAreSubtotals="1" fieldPosition="0">
        <references count="3">
          <reference field="2" count="1" selected="0">
            <x v="62"/>
          </reference>
          <reference field="6" count="1">
            <x v="49"/>
          </reference>
          <reference field="13" count="1" selected="0">
            <x v="0"/>
          </reference>
        </references>
      </pivotArea>
    </format>
    <format dxfId="1393">
      <pivotArea collapsedLevelsAreSubtotals="1" fieldPosition="0">
        <references count="3">
          <reference field="2" count="1" selected="0">
            <x v="63"/>
          </reference>
          <reference field="6" count="1">
            <x v="99"/>
          </reference>
          <reference field="13" count="1" selected="0">
            <x v="0"/>
          </reference>
        </references>
      </pivotArea>
    </format>
    <format dxfId="1392">
      <pivotArea collapsedLevelsAreSubtotals="1" fieldPosition="0">
        <references count="3">
          <reference field="2" count="1" selected="0">
            <x v="64"/>
          </reference>
          <reference field="6" count="1">
            <x v="56"/>
          </reference>
          <reference field="13" count="1" selected="0">
            <x v="0"/>
          </reference>
        </references>
      </pivotArea>
    </format>
    <format dxfId="1391">
      <pivotArea collapsedLevelsAreSubtotals="1" fieldPosition="0">
        <references count="3">
          <reference field="2" count="1" selected="0">
            <x v="65"/>
          </reference>
          <reference field="6" count="1">
            <x v="167"/>
          </reference>
          <reference field="13" count="1" selected="0">
            <x v="0"/>
          </reference>
        </references>
      </pivotArea>
    </format>
    <format dxfId="1390">
      <pivotArea collapsedLevelsAreSubtotals="1" fieldPosition="0">
        <references count="1">
          <reference field="13" count="1">
            <x v="1"/>
          </reference>
        </references>
      </pivotArea>
    </format>
    <format dxfId="1389">
      <pivotArea collapsedLevelsAreSubtotals="1" fieldPosition="0">
        <references count="3">
          <reference field="2" count="1" selected="0">
            <x v="0"/>
          </reference>
          <reference field="6" count="1">
            <x v="9"/>
          </reference>
          <reference field="13" count="1" selected="0">
            <x v="1"/>
          </reference>
        </references>
      </pivotArea>
    </format>
    <format dxfId="1388">
      <pivotArea collapsedLevelsAreSubtotals="1" fieldPosition="0">
        <references count="3">
          <reference field="2" count="1" selected="0">
            <x v="1"/>
          </reference>
          <reference field="6" count="1">
            <x v="36"/>
          </reference>
          <reference field="13" count="1" selected="0">
            <x v="1"/>
          </reference>
        </references>
      </pivotArea>
    </format>
    <format dxfId="1387">
      <pivotArea collapsedLevelsAreSubtotals="1" fieldPosition="0">
        <references count="3">
          <reference field="2" count="1" selected="0">
            <x v="2"/>
          </reference>
          <reference field="6" count="1">
            <x v="177"/>
          </reference>
          <reference field="13" count="1" selected="0">
            <x v="1"/>
          </reference>
        </references>
      </pivotArea>
    </format>
    <format dxfId="1386">
      <pivotArea collapsedLevelsAreSubtotals="1" fieldPosition="0">
        <references count="3">
          <reference field="2" count="1" selected="0">
            <x v="3"/>
          </reference>
          <reference field="6" count="1">
            <x v="140"/>
          </reference>
          <reference field="13" count="1" selected="0">
            <x v="1"/>
          </reference>
        </references>
      </pivotArea>
    </format>
    <format dxfId="1385">
      <pivotArea collapsedLevelsAreSubtotals="1" fieldPosition="0">
        <references count="3">
          <reference field="2" count="1" selected="0">
            <x v="4"/>
          </reference>
          <reference field="6" count="1">
            <x v="79"/>
          </reference>
          <reference field="13" count="1" selected="0">
            <x v="1"/>
          </reference>
        </references>
      </pivotArea>
    </format>
    <format dxfId="1384">
      <pivotArea collapsedLevelsAreSubtotals="1" fieldPosition="0">
        <references count="3">
          <reference field="2" count="1" selected="0">
            <x v="5"/>
          </reference>
          <reference field="6" count="1">
            <x v="115"/>
          </reference>
          <reference field="13" count="1" selected="0">
            <x v="1"/>
          </reference>
        </references>
      </pivotArea>
    </format>
    <format dxfId="1383">
      <pivotArea collapsedLevelsAreSubtotals="1" fieldPosition="0">
        <references count="3">
          <reference field="2" count="1" selected="0">
            <x v="6"/>
          </reference>
          <reference field="6" count="1">
            <x v="168"/>
          </reference>
          <reference field="13" count="1" selected="0">
            <x v="1"/>
          </reference>
        </references>
      </pivotArea>
    </format>
    <format dxfId="1382">
      <pivotArea collapsedLevelsAreSubtotals="1" fieldPosition="0">
        <references count="3">
          <reference field="2" count="1" selected="0">
            <x v="7"/>
          </reference>
          <reference field="6" count="1">
            <x v="100"/>
          </reference>
          <reference field="13" count="1" selected="0">
            <x v="1"/>
          </reference>
        </references>
      </pivotArea>
    </format>
    <format dxfId="1381">
      <pivotArea collapsedLevelsAreSubtotals="1" fieldPosition="0">
        <references count="3">
          <reference field="2" count="1" selected="0">
            <x v="8"/>
          </reference>
          <reference field="6" count="1">
            <x v="57"/>
          </reference>
          <reference field="13" count="1" selected="0">
            <x v="1"/>
          </reference>
        </references>
      </pivotArea>
    </format>
    <format dxfId="1380">
      <pivotArea collapsedLevelsAreSubtotals="1" fieldPosition="0">
        <references count="3">
          <reference field="2" count="1" selected="0">
            <x v="9"/>
          </reference>
          <reference field="6" count="1">
            <x v="187"/>
          </reference>
          <reference field="13" count="1" selected="0">
            <x v="1"/>
          </reference>
        </references>
      </pivotArea>
    </format>
    <format dxfId="1379">
      <pivotArea collapsedLevelsAreSubtotals="1" fieldPosition="0">
        <references count="3">
          <reference field="2" count="1" selected="0">
            <x v="10"/>
          </reference>
          <reference field="6" count="1">
            <x v="130"/>
          </reference>
          <reference field="13" count="1" selected="0">
            <x v="1"/>
          </reference>
        </references>
      </pivotArea>
    </format>
    <format dxfId="1378">
      <pivotArea collapsedLevelsAreSubtotals="1" fieldPosition="0">
        <references count="3">
          <reference field="2" count="1" selected="0">
            <x v="11"/>
          </reference>
          <reference field="6" count="1">
            <x v="119"/>
          </reference>
          <reference field="13" count="1" selected="0">
            <x v="1"/>
          </reference>
        </references>
      </pivotArea>
    </format>
    <format dxfId="1377">
      <pivotArea collapsedLevelsAreSubtotals="1" fieldPosition="0">
        <references count="3">
          <reference field="2" count="1" selected="0">
            <x v="12"/>
          </reference>
          <reference field="6" count="1">
            <x v="125"/>
          </reference>
          <reference field="13" count="1" selected="0">
            <x v="1"/>
          </reference>
        </references>
      </pivotArea>
    </format>
    <format dxfId="1376">
      <pivotArea collapsedLevelsAreSubtotals="1" fieldPosition="0">
        <references count="3">
          <reference field="2" count="1" selected="0">
            <x v="13"/>
          </reference>
          <reference field="6" count="1">
            <x v="74"/>
          </reference>
          <reference field="13" count="1" selected="0">
            <x v="1"/>
          </reference>
        </references>
      </pivotArea>
    </format>
    <format dxfId="1375">
      <pivotArea collapsedLevelsAreSubtotals="1" fieldPosition="0">
        <references count="3">
          <reference field="2" count="1" selected="0">
            <x v="14"/>
          </reference>
          <reference field="6" count="1">
            <x v="158"/>
          </reference>
          <reference field="13" count="1" selected="0">
            <x v="1"/>
          </reference>
        </references>
      </pivotArea>
    </format>
    <format dxfId="1374">
      <pivotArea collapsedLevelsAreSubtotals="1" fieldPosition="0">
        <references count="1">
          <reference field="13" count="1">
            <x v="2"/>
          </reference>
        </references>
      </pivotArea>
    </format>
    <format dxfId="1373">
      <pivotArea dataOnly="0" labelOnly="1" fieldPosition="0">
        <references count="1">
          <reference field="13" count="3">
            <x v="0"/>
            <x v="1"/>
            <x v="2"/>
          </reference>
        </references>
      </pivotArea>
    </format>
    <format dxfId="1372">
      <pivotArea dataOnly="0" labelOnly="1" fieldPosition="0">
        <references count="2">
          <reference field="2" count="23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58"/>
            <x v="59"/>
            <x v="60"/>
            <x v="61"/>
            <x v="62"/>
            <x v="63"/>
            <x v="64"/>
            <x v="65"/>
          </reference>
          <reference field="13" count="1" selected="0">
            <x v="0"/>
          </reference>
        </references>
      </pivotArea>
    </format>
    <format dxfId="1371">
      <pivotArea dataOnly="0" labelOnly="1" fieldPosition="0">
        <references count="3">
          <reference field="2" count="1" selected="0">
            <x v="58"/>
          </reference>
          <reference field="6" count="1">
            <x v="8"/>
          </reference>
          <reference field="13" count="1" selected="0">
            <x v="0"/>
          </reference>
        </references>
      </pivotArea>
    </format>
    <format dxfId="1370">
      <pivotArea dataOnly="0" labelOnly="1" fieldPosition="0">
        <references count="3">
          <reference field="2" count="1" selected="0">
            <x v="59"/>
          </reference>
          <reference field="6" count="1">
            <x v="176"/>
          </reference>
          <reference field="13" count="1" selected="0">
            <x v="0"/>
          </reference>
        </references>
      </pivotArea>
    </format>
    <format dxfId="1369">
      <pivotArea dataOnly="0" labelOnly="1" fieldPosition="0">
        <references count="3">
          <reference field="2" count="1" selected="0">
            <x v="60"/>
          </reference>
          <reference field="6" count="1">
            <x v="35"/>
          </reference>
          <reference field="13" count="1" selected="0">
            <x v="0"/>
          </reference>
        </references>
      </pivotArea>
    </format>
    <format dxfId="1368">
      <pivotArea dataOnly="0" labelOnly="1" fieldPosition="0">
        <references count="3">
          <reference field="2" count="1" selected="0">
            <x v="61"/>
          </reference>
          <reference field="6" count="1">
            <x v="139"/>
          </reference>
          <reference field="13" count="1" selected="0">
            <x v="0"/>
          </reference>
        </references>
      </pivotArea>
    </format>
    <format dxfId="1367">
      <pivotArea dataOnly="0" labelOnly="1" fieldPosition="0">
        <references count="3">
          <reference field="2" count="1" selected="0">
            <x v="62"/>
          </reference>
          <reference field="6" count="1">
            <x v="49"/>
          </reference>
          <reference field="13" count="1" selected="0">
            <x v="0"/>
          </reference>
        </references>
      </pivotArea>
    </format>
    <format dxfId="1366">
      <pivotArea dataOnly="0" labelOnly="1" fieldPosition="0">
        <references count="3">
          <reference field="2" count="1" selected="0">
            <x v="63"/>
          </reference>
          <reference field="6" count="1">
            <x v="99"/>
          </reference>
          <reference field="13" count="1" selected="0">
            <x v="0"/>
          </reference>
        </references>
      </pivotArea>
    </format>
    <format dxfId="1365">
      <pivotArea dataOnly="0" labelOnly="1" fieldPosition="0">
        <references count="3">
          <reference field="2" count="1" selected="0">
            <x v="64"/>
          </reference>
          <reference field="6" count="1">
            <x v="56"/>
          </reference>
          <reference field="13" count="1" selected="0">
            <x v="0"/>
          </reference>
        </references>
      </pivotArea>
    </format>
    <format dxfId="1364">
      <pivotArea dataOnly="0" labelOnly="1" fieldPosition="0">
        <references count="3">
          <reference field="2" count="1" selected="0">
            <x v="65"/>
          </reference>
          <reference field="6" count="1">
            <x v="167"/>
          </reference>
          <reference field="13" count="1" selected="0">
            <x v="0"/>
          </reference>
        </references>
      </pivotArea>
    </format>
    <format dxfId="1363">
      <pivotArea dataOnly="0" labelOnly="1" fieldPosition="0">
        <references count="3">
          <reference field="2" count="1" selected="0">
            <x v="0"/>
          </reference>
          <reference field="6" count="1">
            <x v="9"/>
          </reference>
          <reference field="13" count="1" selected="0">
            <x v="1"/>
          </reference>
        </references>
      </pivotArea>
    </format>
    <format dxfId="1362">
      <pivotArea dataOnly="0" labelOnly="1" fieldPosition="0">
        <references count="3">
          <reference field="2" count="1" selected="0">
            <x v="1"/>
          </reference>
          <reference field="6" count="1">
            <x v="36"/>
          </reference>
          <reference field="13" count="1" selected="0">
            <x v="1"/>
          </reference>
        </references>
      </pivotArea>
    </format>
    <format dxfId="1361">
      <pivotArea dataOnly="0" labelOnly="1" fieldPosition="0">
        <references count="3">
          <reference field="2" count="1" selected="0">
            <x v="2"/>
          </reference>
          <reference field="6" count="1">
            <x v="177"/>
          </reference>
          <reference field="13" count="1" selected="0">
            <x v="1"/>
          </reference>
        </references>
      </pivotArea>
    </format>
    <format dxfId="1360">
      <pivotArea dataOnly="0" labelOnly="1" fieldPosition="0">
        <references count="3">
          <reference field="2" count="1" selected="0">
            <x v="3"/>
          </reference>
          <reference field="6" count="1">
            <x v="140"/>
          </reference>
          <reference field="13" count="1" selected="0">
            <x v="1"/>
          </reference>
        </references>
      </pivotArea>
    </format>
    <format dxfId="1359">
      <pivotArea dataOnly="0" labelOnly="1" fieldPosition="0">
        <references count="3">
          <reference field="2" count="1" selected="0">
            <x v="4"/>
          </reference>
          <reference field="6" count="1">
            <x v="79"/>
          </reference>
          <reference field="13" count="1" selected="0">
            <x v="1"/>
          </reference>
        </references>
      </pivotArea>
    </format>
    <format dxfId="1358">
      <pivotArea dataOnly="0" labelOnly="1" fieldPosition="0">
        <references count="3">
          <reference field="2" count="1" selected="0">
            <x v="5"/>
          </reference>
          <reference field="6" count="1">
            <x v="115"/>
          </reference>
          <reference field="13" count="1" selected="0">
            <x v="1"/>
          </reference>
        </references>
      </pivotArea>
    </format>
    <format dxfId="1357">
      <pivotArea dataOnly="0" labelOnly="1" fieldPosition="0">
        <references count="3">
          <reference field="2" count="1" selected="0">
            <x v="6"/>
          </reference>
          <reference field="6" count="1">
            <x v="168"/>
          </reference>
          <reference field="13" count="1" selected="0">
            <x v="1"/>
          </reference>
        </references>
      </pivotArea>
    </format>
    <format dxfId="1356">
      <pivotArea dataOnly="0" labelOnly="1" fieldPosition="0">
        <references count="3">
          <reference field="2" count="1" selected="0">
            <x v="7"/>
          </reference>
          <reference field="6" count="1">
            <x v="100"/>
          </reference>
          <reference field="13" count="1" selected="0">
            <x v="1"/>
          </reference>
        </references>
      </pivotArea>
    </format>
    <format dxfId="1355">
      <pivotArea dataOnly="0" labelOnly="1" fieldPosition="0">
        <references count="3">
          <reference field="2" count="1" selected="0">
            <x v="8"/>
          </reference>
          <reference field="6" count="1">
            <x v="57"/>
          </reference>
          <reference field="13" count="1" selected="0">
            <x v="1"/>
          </reference>
        </references>
      </pivotArea>
    </format>
    <format dxfId="1354">
      <pivotArea dataOnly="0" labelOnly="1" fieldPosition="0">
        <references count="3">
          <reference field="2" count="1" selected="0">
            <x v="9"/>
          </reference>
          <reference field="6" count="1">
            <x v="187"/>
          </reference>
          <reference field="13" count="1" selected="0">
            <x v="1"/>
          </reference>
        </references>
      </pivotArea>
    </format>
    <format dxfId="1353">
      <pivotArea dataOnly="0" labelOnly="1" fieldPosition="0">
        <references count="3">
          <reference field="2" count="1" selected="0">
            <x v="10"/>
          </reference>
          <reference field="6" count="1">
            <x v="130"/>
          </reference>
          <reference field="13" count="1" selected="0">
            <x v="1"/>
          </reference>
        </references>
      </pivotArea>
    </format>
    <format dxfId="1352">
      <pivotArea dataOnly="0" labelOnly="1" fieldPosition="0">
        <references count="3">
          <reference field="2" count="1" selected="0">
            <x v="11"/>
          </reference>
          <reference field="6" count="1">
            <x v="119"/>
          </reference>
          <reference field="13" count="1" selected="0">
            <x v="1"/>
          </reference>
        </references>
      </pivotArea>
    </format>
    <format dxfId="1351">
      <pivotArea dataOnly="0" labelOnly="1" fieldPosition="0">
        <references count="3">
          <reference field="2" count="1" selected="0">
            <x v="12"/>
          </reference>
          <reference field="6" count="1">
            <x v="125"/>
          </reference>
          <reference field="13" count="1" selected="0">
            <x v="1"/>
          </reference>
        </references>
      </pivotArea>
    </format>
    <format dxfId="1350">
      <pivotArea dataOnly="0" labelOnly="1" fieldPosition="0">
        <references count="3">
          <reference field="2" count="1" selected="0">
            <x v="13"/>
          </reference>
          <reference field="6" count="1">
            <x v="74"/>
          </reference>
          <reference field="13" count="1" selected="0">
            <x v="1"/>
          </reference>
        </references>
      </pivotArea>
    </format>
    <format dxfId="1349">
      <pivotArea dataOnly="0" labelOnly="1" fieldPosition="0">
        <references count="3">
          <reference field="2" count="1" selected="0">
            <x v="14"/>
          </reference>
          <reference field="6" count="1">
            <x v="158"/>
          </reference>
          <reference field="13" count="1" selected="0">
            <x v="1"/>
          </reference>
        </references>
      </pivotArea>
    </format>
    <format dxfId="19">
      <pivotArea collapsedLevelsAreSubtotals="1" fieldPosition="0">
        <references count="3">
          <reference field="2" count="1" selected="0">
            <x v="197"/>
          </reference>
          <reference field="6" count="1">
            <x v="198"/>
          </reference>
          <reference field="13" count="1" selected="0">
            <x v="6"/>
          </reference>
        </references>
      </pivotArea>
    </format>
    <format dxfId="18">
      <pivotArea collapsedLevelsAreSubtotals="1" fieldPosition="0">
        <references count="3">
          <reference field="2" count="1" selected="0">
            <x v="198"/>
          </reference>
          <reference field="6" count="1">
            <x v="199"/>
          </reference>
          <reference field="13" count="1" selected="0">
            <x v="6"/>
          </reference>
        </references>
      </pivotArea>
    </format>
    <format dxfId="17">
      <pivotArea collapsedLevelsAreSubtotals="1" fieldPosition="0">
        <references count="3">
          <reference field="2" count="1" selected="0">
            <x v="199"/>
          </reference>
          <reference field="6" count="1">
            <x v="200"/>
          </reference>
          <reference field="13" count="1" selected="0">
            <x v="6"/>
          </reference>
        </references>
      </pivotArea>
    </format>
    <format dxfId="16">
      <pivotArea collapsedLevelsAreSubtotals="1" fieldPosition="0">
        <references count="3">
          <reference field="2" count="1" selected="0">
            <x v="200"/>
          </reference>
          <reference field="6" count="1">
            <x v="201"/>
          </reference>
          <reference field="13" count="1" selected="0">
            <x v="6"/>
          </reference>
        </references>
      </pivotArea>
    </format>
    <format dxfId="15">
      <pivotArea dataOnly="0" labelOnly="1" fieldPosition="0">
        <references count="2">
          <reference field="2" count="4">
            <x v="197"/>
            <x v="198"/>
            <x v="199"/>
            <x v="200"/>
          </reference>
          <reference field="13" count="1" selected="0">
            <x v="6"/>
          </reference>
        </references>
      </pivotArea>
    </format>
    <format dxfId="14">
      <pivotArea dataOnly="0" labelOnly="1" fieldPosition="0">
        <references count="3">
          <reference field="2" count="1" selected="0">
            <x v="197"/>
          </reference>
          <reference field="6" count="1">
            <x v="198"/>
          </reference>
          <reference field="13" count="1" selected="0">
            <x v="6"/>
          </reference>
        </references>
      </pivotArea>
    </format>
    <format dxfId="13">
      <pivotArea dataOnly="0" labelOnly="1" fieldPosition="0">
        <references count="3">
          <reference field="2" count="1" selected="0">
            <x v="198"/>
          </reference>
          <reference field="6" count="1">
            <x v="199"/>
          </reference>
          <reference field="13" count="1" selected="0">
            <x v="6"/>
          </reference>
        </references>
      </pivotArea>
    </format>
    <format dxfId="12">
      <pivotArea dataOnly="0" labelOnly="1" fieldPosition="0">
        <references count="3">
          <reference field="2" count="1" selected="0">
            <x v="199"/>
          </reference>
          <reference field="6" count="1">
            <x v="200"/>
          </reference>
          <reference field="13" count="1" selected="0">
            <x v="6"/>
          </reference>
        </references>
      </pivotArea>
    </format>
    <format dxfId="11">
      <pivotArea dataOnly="0" labelOnly="1" fieldPosition="0">
        <references count="3">
          <reference field="2" count="1" selected="0">
            <x v="200"/>
          </reference>
          <reference field="6" count="1">
            <x v="201"/>
          </reference>
          <reference field="13" count="1" selected="0">
            <x v="6"/>
          </reference>
        </references>
      </pivotArea>
    </format>
    <format dxfId="10">
      <pivotArea collapsedLevelsAreSubtotals="1" fieldPosition="0">
        <references count="3">
          <reference field="2" count="1" selected="0">
            <x v="192"/>
          </reference>
          <reference field="6" count="1">
            <x v="193"/>
          </reference>
          <reference field="13" count="1" selected="0">
            <x v="15"/>
          </reference>
        </references>
      </pivotArea>
    </format>
    <format dxfId="9">
      <pivotArea collapsedLevelsAreSubtotals="1" fieldPosition="0">
        <references count="3">
          <reference field="2" count="1" selected="0">
            <x v="193"/>
          </reference>
          <reference field="6" count="1">
            <x v="194"/>
          </reference>
          <reference field="13" count="1" selected="0">
            <x v="15"/>
          </reference>
        </references>
      </pivotArea>
    </format>
    <format dxfId="8">
      <pivotArea collapsedLevelsAreSubtotals="1" fieldPosition="0">
        <references count="3">
          <reference field="2" count="1" selected="0">
            <x v="194"/>
          </reference>
          <reference field="6" count="1">
            <x v="195"/>
          </reference>
          <reference field="13" count="1" selected="0">
            <x v="15"/>
          </reference>
        </references>
      </pivotArea>
    </format>
    <format dxfId="7">
      <pivotArea collapsedLevelsAreSubtotals="1" fieldPosition="0">
        <references count="3">
          <reference field="2" count="1" selected="0">
            <x v="195"/>
          </reference>
          <reference field="6" count="1">
            <x v="196"/>
          </reference>
          <reference field="13" count="1" selected="0">
            <x v="15"/>
          </reference>
        </references>
      </pivotArea>
    </format>
    <format dxfId="6">
      <pivotArea collapsedLevelsAreSubtotals="1" fieldPosition="0">
        <references count="3">
          <reference field="2" count="1" selected="0">
            <x v="196"/>
          </reference>
          <reference field="6" count="1">
            <x v="197"/>
          </reference>
          <reference field="13" count="1" selected="0">
            <x v="15"/>
          </reference>
        </references>
      </pivotArea>
    </format>
    <format dxfId="5">
      <pivotArea dataOnly="0" labelOnly="1" fieldPosition="0">
        <references count="2">
          <reference field="2" count="5">
            <x v="192"/>
            <x v="193"/>
            <x v="194"/>
            <x v="195"/>
            <x v="196"/>
          </reference>
          <reference field="13" count="1" selected="0">
            <x v="15"/>
          </reference>
        </references>
      </pivotArea>
    </format>
    <format dxfId="4">
      <pivotArea dataOnly="0" labelOnly="1" fieldPosition="0">
        <references count="3">
          <reference field="2" count="1" selected="0">
            <x v="192"/>
          </reference>
          <reference field="6" count="1">
            <x v="193"/>
          </reference>
          <reference field="13" count="1" selected="0">
            <x v="15"/>
          </reference>
        </references>
      </pivotArea>
    </format>
    <format dxfId="3">
      <pivotArea dataOnly="0" labelOnly="1" fieldPosition="0">
        <references count="3">
          <reference field="2" count="1" selected="0">
            <x v="193"/>
          </reference>
          <reference field="6" count="1">
            <x v="194"/>
          </reference>
          <reference field="13" count="1" selected="0">
            <x v="15"/>
          </reference>
        </references>
      </pivotArea>
    </format>
    <format dxfId="2">
      <pivotArea dataOnly="0" labelOnly="1" fieldPosition="0">
        <references count="3">
          <reference field="2" count="1" selected="0">
            <x v="194"/>
          </reference>
          <reference field="6" count="1">
            <x v="195"/>
          </reference>
          <reference field="13" count="1" selected="0">
            <x v="15"/>
          </reference>
        </references>
      </pivotArea>
    </format>
    <format dxfId="1">
      <pivotArea dataOnly="0" labelOnly="1" fieldPosition="0">
        <references count="3">
          <reference field="2" count="1" selected="0">
            <x v="195"/>
          </reference>
          <reference field="6" count="1">
            <x v="196"/>
          </reference>
          <reference field="13" count="1" selected="0">
            <x v="15"/>
          </reference>
        </references>
      </pivotArea>
    </format>
    <format dxfId="0">
      <pivotArea dataOnly="0" labelOnly="1" fieldPosition="0">
        <references count="3">
          <reference field="2" count="1" selected="0">
            <x v="196"/>
          </reference>
          <reference field="6" count="1">
            <x v="197"/>
          </reference>
          <reference field="13" count="1" selected="0">
            <x v="15"/>
          </reference>
        </references>
      </pivotArea>
    </format>
  </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620"/>
  <sheetViews>
    <sheetView tabSelected="1" workbookViewId="0">
      <pane ySplit="1" topLeftCell="A503" activePane="bottomLeft" state="frozen"/>
      <selection pane="bottomLeft" activeCell="A522" sqref="A522:B529"/>
    </sheetView>
  </sheetViews>
  <sheetFormatPr defaultRowHeight="16.5"/>
  <cols>
    <col min="1" max="1" width="9" style="9"/>
    <col min="2" max="2" width="11.125" style="9" bestFit="1" customWidth="1"/>
    <col min="3" max="3" width="11.125" style="9" customWidth="1"/>
    <col min="4" max="4" width="7.375" style="9" bestFit="1" customWidth="1"/>
    <col min="5" max="5" width="9" style="8"/>
    <col min="6" max="6" width="5.5" style="9" customWidth="1"/>
    <col min="7" max="7" width="30.625" style="32" customWidth="1"/>
    <col min="8" max="8" width="7.125" style="32" bestFit="1" customWidth="1"/>
    <col min="9" max="9" width="12.25" style="33" customWidth="1"/>
    <col min="10" max="10" width="11.25" style="33" customWidth="1"/>
    <col min="11" max="11" width="13.75" style="32" bestFit="1" customWidth="1"/>
    <col min="12" max="12" width="13.75" style="32" customWidth="1"/>
    <col min="13" max="13" width="17.25" style="32" bestFit="1" customWidth="1"/>
    <col min="14" max="14" width="36.5" style="32" customWidth="1"/>
    <col min="15" max="16384" width="9" style="9"/>
  </cols>
  <sheetData>
    <row r="1" spans="1:15" s="4" customFormat="1">
      <c r="A1" s="16" t="s">
        <v>3</v>
      </c>
      <c r="B1" s="16" t="s">
        <v>2</v>
      </c>
      <c r="C1" s="16" t="s">
        <v>623</v>
      </c>
      <c r="D1" s="17" t="s">
        <v>29</v>
      </c>
      <c r="E1" s="34" t="s">
        <v>626</v>
      </c>
      <c r="F1" s="16" t="s">
        <v>30</v>
      </c>
      <c r="G1" s="25" t="s">
        <v>625</v>
      </c>
      <c r="H1" s="25" t="s">
        <v>631</v>
      </c>
      <c r="I1" s="26" t="s">
        <v>416</v>
      </c>
      <c r="J1" s="26" t="s">
        <v>417</v>
      </c>
      <c r="K1" s="27" t="s">
        <v>0</v>
      </c>
      <c r="L1" s="28" t="s">
        <v>415</v>
      </c>
      <c r="M1" s="27" t="s">
        <v>418</v>
      </c>
      <c r="N1" s="25" t="s">
        <v>1</v>
      </c>
      <c r="O1" s="16" t="s">
        <v>4</v>
      </c>
    </row>
    <row r="2" spans="1:15" s="4" customFormat="1">
      <c r="A2" s="16" t="s">
        <v>6</v>
      </c>
      <c r="B2" s="18">
        <v>42927</v>
      </c>
      <c r="C2" s="18" t="s">
        <v>419</v>
      </c>
      <c r="D2" s="19">
        <v>30</v>
      </c>
      <c r="E2" s="20">
        <v>1</v>
      </c>
      <c r="F2" s="18" t="s">
        <v>414</v>
      </c>
      <c r="G2" s="29" t="str">
        <f>VLOOKUP(C2,DATA!$A$2:$G$243,2,FALSE)</f>
        <v>Black/White Rope Laces</v>
      </c>
      <c r="H2" s="30">
        <f t="shared" ref="H2:H65" si="0">IF(F2="입",E2,-1*E2)</f>
        <v>1</v>
      </c>
      <c r="I2" s="30">
        <f>VLOOKUP(C2,DATA!$A$2:$G$243,5,FALSE)</f>
        <v>7000</v>
      </c>
      <c r="J2" s="30">
        <f>I2*E2</f>
        <v>7000</v>
      </c>
      <c r="K2" s="31">
        <f>VLOOKUP(C2,DATA!$A$2:$G$243,3,FALSE)</f>
        <v>5.95</v>
      </c>
      <c r="L2" s="31">
        <f>VLOOKUP(C2,DATA!$A$2:$G$243,4,FALSE)</f>
        <v>2.3800000000000003</v>
      </c>
      <c r="M2" s="31">
        <f t="shared" ref="M2:M65" si="1">L2*E2</f>
        <v>2.3800000000000003</v>
      </c>
      <c r="N2" s="25" t="str">
        <f>VLOOKUP(C2,DATA!$A$2:$G$243,6,FALSE)</f>
        <v>Rope Laces</v>
      </c>
      <c r="O2" s="16">
        <v>28605</v>
      </c>
    </row>
    <row r="3" spans="1:15" s="4" customFormat="1">
      <c r="A3" s="16" t="s">
        <v>6</v>
      </c>
      <c r="B3" s="18">
        <v>42927</v>
      </c>
      <c r="C3" s="18" t="s">
        <v>419</v>
      </c>
      <c r="D3" s="21">
        <v>36</v>
      </c>
      <c r="E3" s="22">
        <v>3</v>
      </c>
      <c r="F3" s="18" t="s">
        <v>414</v>
      </c>
      <c r="G3" s="29" t="str">
        <f>VLOOKUP(C3,DATA!$A$2:$G$243,2,FALSE)</f>
        <v>Black/White Rope Laces</v>
      </c>
      <c r="H3" s="30">
        <f t="shared" si="0"/>
        <v>3</v>
      </c>
      <c r="I3" s="30">
        <f>VLOOKUP(C3,DATA!$A$2:$G$243,5,FALSE)</f>
        <v>7000</v>
      </c>
      <c r="J3" s="30">
        <f t="shared" ref="J3:J66" si="2">I3*E3</f>
        <v>21000</v>
      </c>
      <c r="K3" s="31">
        <f>VLOOKUP(C3,DATA!$A$2:$G$243,3,FALSE)</f>
        <v>5.95</v>
      </c>
      <c r="L3" s="31">
        <f>VLOOKUP(C3,DATA!$A$2:$G$243,4,FALSE)</f>
        <v>2.3800000000000003</v>
      </c>
      <c r="M3" s="31">
        <f t="shared" si="1"/>
        <v>7.1400000000000006</v>
      </c>
      <c r="N3" s="25" t="str">
        <f>VLOOKUP(C3,DATA!$A$2:$G$243,6,FALSE)</f>
        <v>Rope Laces</v>
      </c>
      <c r="O3" s="16">
        <v>28605</v>
      </c>
    </row>
    <row r="4" spans="1:15" s="4" customFormat="1">
      <c r="A4" s="16" t="s">
        <v>6</v>
      </c>
      <c r="B4" s="18">
        <v>42927</v>
      </c>
      <c r="C4" s="18" t="s">
        <v>419</v>
      </c>
      <c r="D4" s="21">
        <v>41</v>
      </c>
      <c r="E4" s="22">
        <v>3</v>
      </c>
      <c r="F4" s="18" t="s">
        <v>414</v>
      </c>
      <c r="G4" s="29" t="str">
        <f>VLOOKUP(C4,DATA!$A$2:$G$243,2,FALSE)</f>
        <v>Black/White Rope Laces</v>
      </c>
      <c r="H4" s="30">
        <f t="shared" si="0"/>
        <v>3</v>
      </c>
      <c r="I4" s="30">
        <f>VLOOKUP(C4,DATA!$A$2:$G$243,5,FALSE)</f>
        <v>7000</v>
      </c>
      <c r="J4" s="30">
        <f t="shared" si="2"/>
        <v>21000</v>
      </c>
      <c r="K4" s="31">
        <f>VLOOKUP(C4,DATA!$A$2:$G$243,3,FALSE)</f>
        <v>5.95</v>
      </c>
      <c r="L4" s="31">
        <f>VLOOKUP(C4,DATA!$A$2:$G$243,4,FALSE)</f>
        <v>2.3800000000000003</v>
      </c>
      <c r="M4" s="31">
        <f t="shared" si="1"/>
        <v>7.1400000000000006</v>
      </c>
      <c r="N4" s="25" t="str">
        <f>VLOOKUP(C4,DATA!$A$2:$G$243,6,FALSE)</f>
        <v>Rope Laces</v>
      </c>
      <c r="O4" s="16">
        <v>28605</v>
      </c>
    </row>
    <row r="5" spans="1:15" s="4" customFormat="1">
      <c r="A5" s="16" t="s">
        <v>6</v>
      </c>
      <c r="B5" s="18">
        <v>42927</v>
      </c>
      <c r="C5" s="18" t="s">
        <v>419</v>
      </c>
      <c r="D5" s="21">
        <v>45</v>
      </c>
      <c r="E5" s="22">
        <v>3</v>
      </c>
      <c r="F5" s="18" t="s">
        <v>414</v>
      </c>
      <c r="G5" s="29" t="str">
        <f>VLOOKUP(C5,DATA!$A$2:$G$243,2,FALSE)</f>
        <v>Black/White Rope Laces</v>
      </c>
      <c r="H5" s="30">
        <f t="shared" si="0"/>
        <v>3</v>
      </c>
      <c r="I5" s="30">
        <f>VLOOKUP(C5,DATA!$A$2:$G$243,5,FALSE)</f>
        <v>7000</v>
      </c>
      <c r="J5" s="30">
        <f t="shared" si="2"/>
        <v>21000</v>
      </c>
      <c r="K5" s="31">
        <f>VLOOKUP(C5,DATA!$A$2:$G$243,3,FALSE)</f>
        <v>5.95</v>
      </c>
      <c r="L5" s="31">
        <f>VLOOKUP(C5,DATA!$A$2:$G$243,4,FALSE)</f>
        <v>2.3800000000000003</v>
      </c>
      <c r="M5" s="31">
        <f t="shared" si="1"/>
        <v>7.1400000000000006</v>
      </c>
      <c r="N5" s="25" t="str">
        <f>VLOOKUP(C5,DATA!$A$2:$G$243,6,FALSE)</f>
        <v>Rope Laces</v>
      </c>
      <c r="O5" s="16">
        <v>28605</v>
      </c>
    </row>
    <row r="6" spans="1:15" s="4" customFormat="1">
      <c r="A6" s="16" t="s">
        <v>6</v>
      </c>
      <c r="B6" s="18">
        <v>42927</v>
      </c>
      <c r="C6" s="18" t="s">
        <v>419</v>
      </c>
      <c r="D6" s="21">
        <v>54</v>
      </c>
      <c r="E6" s="22">
        <v>1</v>
      </c>
      <c r="F6" s="18" t="s">
        <v>414</v>
      </c>
      <c r="G6" s="29" t="str">
        <f>VLOOKUP(C6,DATA!$A$2:$G$243,2,FALSE)</f>
        <v>Black/White Rope Laces</v>
      </c>
      <c r="H6" s="30">
        <f t="shared" si="0"/>
        <v>1</v>
      </c>
      <c r="I6" s="30">
        <f>VLOOKUP(C6,DATA!$A$2:$G$243,5,FALSE)</f>
        <v>7000</v>
      </c>
      <c r="J6" s="30">
        <f t="shared" si="2"/>
        <v>7000</v>
      </c>
      <c r="K6" s="31">
        <f>VLOOKUP(C6,DATA!$A$2:$G$243,3,FALSE)</f>
        <v>5.95</v>
      </c>
      <c r="L6" s="31">
        <f>VLOOKUP(C6,DATA!$A$2:$G$243,4,FALSE)</f>
        <v>2.3800000000000003</v>
      </c>
      <c r="M6" s="31">
        <f t="shared" si="1"/>
        <v>2.3800000000000003</v>
      </c>
      <c r="N6" s="25" t="str">
        <f>VLOOKUP(C6,DATA!$A$2:$G$243,6,FALSE)</f>
        <v>Rope Laces</v>
      </c>
      <c r="O6" s="16">
        <v>28605</v>
      </c>
    </row>
    <row r="7" spans="1:15" s="4" customFormat="1">
      <c r="A7" s="16" t="s">
        <v>6</v>
      </c>
      <c r="B7" s="18">
        <v>42927</v>
      </c>
      <c r="C7" s="18" t="s">
        <v>443</v>
      </c>
      <c r="D7" s="21">
        <v>30</v>
      </c>
      <c r="E7" s="22">
        <v>1</v>
      </c>
      <c r="F7" s="18" t="s">
        <v>414</v>
      </c>
      <c r="G7" s="29" t="str">
        <f>VLOOKUP(C7,DATA!$A$2:$G$243,2,FALSE)</f>
        <v>Grey/Black Rope Laces</v>
      </c>
      <c r="H7" s="30">
        <f t="shared" si="0"/>
        <v>1</v>
      </c>
      <c r="I7" s="30">
        <f>VLOOKUP(C7,DATA!$A$2:$G$243,5,FALSE)</f>
        <v>7000</v>
      </c>
      <c r="J7" s="30">
        <f t="shared" si="2"/>
        <v>7000</v>
      </c>
      <c r="K7" s="31">
        <f>VLOOKUP(C7,DATA!$A$2:$G$243,3,FALSE)</f>
        <v>5.95</v>
      </c>
      <c r="L7" s="31">
        <f>VLOOKUP(C7,DATA!$A$2:$G$243,4,FALSE)</f>
        <v>2.3800000000000003</v>
      </c>
      <c r="M7" s="31">
        <f t="shared" si="1"/>
        <v>2.3800000000000003</v>
      </c>
      <c r="N7" s="25" t="str">
        <f>VLOOKUP(C7,DATA!$A$2:$G$243,6,FALSE)</f>
        <v>Rope Laces</v>
      </c>
      <c r="O7" s="16">
        <v>28605</v>
      </c>
    </row>
    <row r="8" spans="1:15" s="4" customFormat="1">
      <c r="A8" s="16" t="s">
        <v>6</v>
      </c>
      <c r="B8" s="18">
        <v>42927</v>
      </c>
      <c r="C8" s="18" t="s">
        <v>443</v>
      </c>
      <c r="D8" s="21">
        <v>36</v>
      </c>
      <c r="E8" s="22">
        <v>3</v>
      </c>
      <c r="F8" s="18" t="s">
        <v>414</v>
      </c>
      <c r="G8" s="29" t="str">
        <f>VLOOKUP(C8,DATA!$A$2:$G$243,2,FALSE)</f>
        <v>Grey/Black Rope Laces</v>
      </c>
      <c r="H8" s="30">
        <f t="shared" si="0"/>
        <v>3</v>
      </c>
      <c r="I8" s="30">
        <f>VLOOKUP(C8,DATA!$A$2:$G$243,5,FALSE)</f>
        <v>7000</v>
      </c>
      <c r="J8" s="30">
        <f t="shared" si="2"/>
        <v>21000</v>
      </c>
      <c r="K8" s="31">
        <f>VLOOKUP(C8,DATA!$A$2:$G$243,3,FALSE)</f>
        <v>5.95</v>
      </c>
      <c r="L8" s="31">
        <f>VLOOKUP(C8,DATA!$A$2:$G$243,4,FALSE)</f>
        <v>2.3800000000000003</v>
      </c>
      <c r="M8" s="31">
        <f t="shared" si="1"/>
        <v>7.1400000000000006</v>
      </c>
      <c r="N8" s="25" t="str">
        <f>VLOOKUP(C8,DATA!$A$2:$G$243,6,FALSE)</f>
        <v>Rope Laces</v>
      </c>
      <c r="O8" s="16">
        <v>28605</v>
      </c>
    </row>
    <row r="9" spans="1:15" s="4" customFormat="1">
      <c r="A9" s="16" t="s">
        <v>6</v>
      </c>
      <c r="B9" s="18">
        <v>42927</v>
      </c>
      <c r="C9" s="18" t="s">
        <v>443</v>
      </c>
      <c r="D9" s="21">
        <v>41</v>
      </c>
      <c r="E9" s="22">
        <v>3</v>
      </c>
      <c r="F9" s="18" t="s">
        <v>414</v>
      </c>
      <c r="G9" s="29" t="str">
        <f>VLOOKUP(C9,DATA!$A$2:$G$243,2,FALSE)</f>
        <v>Grey/Black Rope Laces</v>
      </c>
      <c r="H9" s="30">
        <f t="shared" si="0"/>
        <v>3</v>
      </c>
      <c r="I9" s="30">
        <f>VLOOKUP(C9,DATA!$A$2:$G$243,5,FALSE)</f>
        <v>7000</v>
      </c>
      <c r="J9" s="30">
        <f t="shared" si="2"/>
        <v>21000</v>
      </c>
      <c r="K9" s="31">
        <f>VLOOKUP(C9,DATA!$A$2:$G$243,3,FALSE)</f>
        <v>5.95</v>
      </c>
      <c r="L9" s="31">
        <f>VLOOKUP(C9,DATA!$A$2:$G$243,4,FALSE)</f>
        <v>2.3800000000000003</v>
      </c>
      <c r="M9" s="31">
        <f t="shared" si="1"/>
        <v>7.1400000000000006</v>
      </c>
      <c r="N9" s="25" t="str">
        <f>VLOOKUP(C9,DATA!$A$2:$G$243,6,FALSE)</f>
        <v>Rope Laces</v>
      </c>
      <c r="O9" s="16">
        <v>28605</v>
      </c>
    </row>
    <row r="10" spans="1:15" s="4" customFormat="1">
      <c r="A10" s="16" t="s">
        <v>6</v>
      </c>
      <c r="B10" s="18">
        <v>42927</v>
      </c>
      <c r="C10" s="18" t="s">
        <v>443</v>
      </c>
      <c r="D10" s="21">
        <v>45</v>
      </c>
      <c r="E10" s="22">
        <v>3</v>
      </c>
      <c r="F10" s="18" t="s">
        <v>414</v>
      </c>
      <c r="G10" s="29" t="str">
        <f>VLOOKUP(C10,DATA!$A$2:$G$243,2,FALSE)</f>
        <v>Grey/Black Rope Laces</v>
      </c>
      <c r="H10" s="30">
        <f t="shared" si="0"/>
        <v>3</v>
      </c>
      <c r="I10" s="30">
        <f>VLOOKUP(C10,DATA!$A$2:$G$243,5,FALSE)</f>
        <v>7000</v>
      </c>
      <c r="J10" s="30">
        <f t="shared" si="2"/>
        <v>21000</v>
      </c>
      <c r="K10" s="31">
        <f>VLOOKUP(C10,DATA!$A$2:$G$243,3,FALSE)</f>
        <v>5.95</v>
      </c>
      <c r="L10" s="31">
        <f>VLOOKUP(C10,DATA!$A$2:$G$243,4,FALSE)</f>
        <v>2.3800000000000003</v>
      </c>
      <c r="M10" s="31">
        <f t="shared" si="1"/>
        <v>7.1400000000000006</v>
      </c>
      <c r="N10" s="25" t="str">
        <f>VLOOKUP(C10,DATA!$A$2:$G$243,6,FALSE)</f>
        <v>Rope Laces</v>
      </c>
      <c r="O10" s="16">
        <v>28605</v>
      </c>
    </row>
    <row r="11" spans="1:15" s="4" customFormat="1">
      <c r="A11" s="16" t="s">
        <v>6</v>
      </c>
      <c r="B11" s="18">
        <v>42927</v>
      </c>
      <c r="C11" s="18" t="s">
        <v>443</v>
      </c>
      <c r="D11" s="21">
        <v>54</v>
      </c>
      <c r="E11" s="22">
        <v>1</v>
      </c>
      <c r="F11" s="18" t="s">
        <v>414</v>
      </c>
      <c r="G11" s="29" t="str">
        <f>VLOOKUP(C11,DATA!$A$2:$G$243,2,FALSE)</f>
        <v>Grey/Black Rope Laces</v>
      </c>
      <c r="H11" s="30">
        <f t="shared" si="0"/>
        <v>1</v>
      </c>
      <c r="I11" s="30">
        <f>VLOOKUP(C11,DATA!$A$2:$G$243,5,FALSE)</f>
        <v>7000</v>
      </c>
      <c r="J11" s="30">
        <f t="shared" si="2"/>
        <v>7000</v>
      </c>
      <c r="K11" s="31">
        <f>VLOOKUP(C11,DATA!$A$2:$G$243,3,FALSE)</f>
        <v>5.95</v>
      </c>
      <c r="L11" s="31">
        <f>VLOOKUP(C11,DATA!$A$2:$G$243,4,FALSE)</f>
        <v>2.3800000000000003</v>
      </c>
      <c r="M11" s="31">
        <f t="shared" si="1"/>
        <v>2.3800000000000003</v>
      </c>
      <c r="N11" s="25" t="str">
        <f>VLOOKUP(C11,DATA!$A$2:$G$243,6,FALSE)</f>
        <v>Rope Laces</v>
      </c>
      <c r="O11" s="16">
        <v>28605</v>
      </c>
    </row>
    <row r="12" spans="1:15" s="4" customFormat="1">
      <c r="A12" s="16" t="s">
        <v>6</v>
      </c>
      <c r="B12" s="18">
        <v>42927</v>
      </c>
      <c r="C12" s="18" t="s">
        <v>444</v>
      </c>
      <c r="D12" s="21">
        <v>30</v>
      </c>
      <c r="E12" s="22">
        <v>1</v>
      </c>
      <c r="F12" s="18" t="s">
        <v>414</v>
      </c>
      <c r="G12" s="29" t="str">
        <f>VLOOKUP(C12,DATA!$A$2:$G$243,2,FALSE)</f>
        <v>Grey/White Rope Laces</v>
      </c>
      <c r="H12" s="30">
        <f t="shared" si="0"/>
        <v>1</v>
      </c>
      <c r="I12" s="30">
        <f>VLOOKUP(C12,DATA!$A$2:$G$243,5,FALSE)</f>
        <v>7000</v>
      </c>
      <c r="J12" s="30">
        <f t="shared" si="2"/>
        <v>7000</v>
      </c>
      <c r="K12" s="31">
        <f>VLOOKUP(C12,DATA!$A$2:$G$243,3,FALSE)</f>
        <v>5.95</v>
      </c>
      <c r="L12" s="31">
        <f>VLOOKUP(C12,DATA!$A$2:$G$243,4,FALSE)</f>
        <v>2.3800000000000003</v>
      </c>
      <c r="M12" s="31">
        <f t="shared" si="1"/>
        <v>2.3800000000000003</v>
      </c>
      <c r="N12" s="25" t="str">
        <f>VLOOKUP(C12,DATA!$A$2:$G$243,6,FALSE)</f>
        <v>Rope Laces</v>
      </c>
      <c r="O12" s="16">
        <v>28605</v>
      </c>
    </row>
    <row r="13" spans="1:15" s="4" customFormat="1">
      <c r="A13" s="16" t="s">
        <v>6</v>
      </c>
      <c r="B13" s="18">
        <v>42927</v>
      </c>
      <c r="C13" s="18" t="s">
        <v>444</v>
      </c>
      <c r="D13" s="21">
        <v>36</v>
      </c>
      <c r="E13" s="22">
        <v>3</v>
      </c>
      <c r="F13" s="18" t="s">
        <v>414</v>
      </c>
      <c r="G13" s="29" t="str">
        <f>VLOOKUP(C13,DATA!$A$2:$G$243,2,FALSE)</f>
        <v>Grey/White Rope Laces</v>
      </c>
      <c r="H13" s="30">
        <f t="shared" si="0"/>
        <v>3</v>
      </c>
      <c r="I13" s="30">
        <f>VLOOKUP(C13,DATA!$A$2:$G$243,5,FALSE)</f>
        <v>7000</v>
      </c>
      <c r="J13" s="30">
        <f t="shared" si="2"/>
        <v>21000</v>
      </c>
      <c r="K13" s="31">
        <f>VLOOKUP(C13,DATA!$A$2:$G$243,3,FALSE)</f>
        <v>5.95</v>
      </c>
      <c r="L13" s="31">
        <f>VLOOKUP(C13,DATA!$A$2:$G$243,4,FALSE)</f>
        <v>2.3800000000000003</v>
      </c>
      <c r="M13" s="31">
        <f t="shared" si="1"/>
        <v>7.1400000000000006</v>
      </c>
      <c r="N13" s="25" t="str">
        <f>VLOOKUP(C13,DATA!$A$2:$G$243,6,FALSE)</f>
        <v>Rope Laces</v>
      </c>
      <c r="O13" s="16">
        <v>28605</v>
      </c>
    </row>
    <row r="14" spans="1:15" s="4" customFormat="1">
      <c r="A14" s="16" t="s">
        <v>6</v>
      </c>
      <c r="B14" s="18">
        <v>42927</v>
      </c>
      <c r="C14" s="18" t="s">
        <v>444</v>
      </c>
      <c r="D14" s="21">
        <v>41</v>
      </c>
      <c r="E14" s="22">
        <v>3</v>
      </c>
      <c r="F14" s="18" t="s">
        <v>414</v>
      </c>
      <c r="G14" s="29" t="str">
        <f>VLOOKUP(C14,DATA!$A$2:$G$243,2,FALSE)</f>
        <v>Grey/White Rope Laces</v>
      </c>
      <c r="H14" s="30">
        <f t="shared" si="0"/>
        <v>3</v>
      </c>
      <c r="I14" s="30">
        <f>VLOOKUP(C14,DATA!$A$2:$G$243,5,FALSE)</f>
        <v>7000</v>
      </c>
      <c r="J14" s="30">
        <f t="shared" si="2"/>
        <v>21000</v>
      </c>
      <c r="K14" s="31">
        <f>VLOOKUP(C14,DATA!$A$2:$G$243,3,FALSE)</f>
        <v>5.95</v>
      </c>
      <c r="L14" s="31">
        <f>VLOOKUP(C14,DATA!$A$2:$G$243,4,FALSE)</f>
        <v>2.3800000000000003</v>
      </c>
      <c r="M14" s="31">
        <f t="shared" si="1"/>
        <v>7.1400000000000006</v>
      </c>
      <c r="N14" s="25" t="str">
        <f>VLOOKUP(C14,DATA!$A$2:$G$243,6,FALSE)</f>
        <v>Rope Laces</v>
      </c>
      <c r="O14" s="16">
        <v>28605</v>
      </c>
    </row>
    <row r="15" spans="1:15" s="4" customFormat="1">
      <c r="A15" s="16" t="s">
        <v>6</v>
      </c>
      <c r="B15" s="18">
        <v>42927</v>
      </c>
      <c r="C15" s="18" t="s">
        <v>444</v>
      </c>
      <c r="D15" s="21">
        <v>45</v>
      </c>
      <c r="E15" s="22">
        <v>3</v>
      </c>
      <c r="F15" s="18" t="s">
        <v>414</v>
      </c>
      <c r="G15" s="29" t="str">
        <f>VLOOKUP(C15,DATA!$A$2:$G$243,2,FALSE)</f>
        <v>Grey/White Rope Laces</v>
      </c>
      <c r="H15" s="30">
        <f t="shared" si="0"/>
        <v>3</v>
      </c>
      <c r="I15" s="30">
        <f>VLOOKUP(C15,DATA!$A$2:$G$243,5,FALSE)</f>
        <v>7000</v>
      </c>
      <c r="J15" s="30">
        <f t="shared" si="2"/>
        <v>21000</v>
      </c>
      <c r="K15" s="31">
        <f>VLOOKUP(C15,DATA!$A$2:$G$243,3,FALSE)</f>
        <v>5.95</v>
      </c>
      <c r="L15" s="31">
        <f>VLOOKUP(C15,DATA!$A$2:$G$243,4,FALSE)</f>
        <v>2.3800000000000003</v>
      </c>
      <c r="M15" s="31">
        <f t="shared" si="1"/>
        <v>7.1400000000000006</v>
      </c>
      <c r="N15" s="25" t="str">
        <f>VLOOKUP(C15,DATA!$A$2:$G$243,6,FALSE)</f>
        <v>Rope Laces</v>
      </c>
      <c r="O15" s="16">
        <v>28605</v>
      </c>
    </row>
    <row r="16" spans="1:15" s="4" customFormat="1">
      <c r="A16" s="16" t="s">
        <v>6</v>
      </c>
      <c r="B16" s="18">
        <v>42927</v>
      </c>
      <c r="C16" s="18" t="s">
        <v>444</v>
      </c>
      <c r="D16" s="21">
        <v>54</v>
      </c>
      <c r="E16" s="22">
        <v>1</v>
      </c>
      <c r="F16" s="18" t="s">
        <v>414</v>
      </c>
      <c r="G16" s="29" t="str">
        <f>VLOOKUP(C16,DATA!$A$2:$G$243,2,FALSE)</f>
        <v>Grey/White Rope Laces</v>
      </c>
      <c r="H16" s="30">
        <f t="shared" si="0"/>
        <v>1</v>
      </c>
      <c r="I16" s="30">
        <f>VLOOKUP(C16,DATA!$A$2:$G$243,5,FALSE)</f>
        <v>7000</v>
      </c>
      <c r="J16" s="30">
        <f t="shared" si="2"/>
        <v>7000</v>
      </c>
      <c r="K16" s="31">
        <f>VLOOKUP(C16,DATA!$A$2:$G$243,3,FALSE)</f>
        <v>5.95</v>
      </c>
      <c r="L16" s="31">
        <f>VLOOKUP(C16,DATA!$A$2:$G$243,4,FALSE)</f>
        <v>2.3800000000000003</v>
      </c>
      <c r="M16" s="31">
        <f t="shared" si="1"/>
        <v>2.3800000000000003</v>
      </c>
      <c r="N16" s="25" t="str">
        <f>VLOOKUP(C16,DATA!$A$2:$G$243,6,FALSE)</f>
        <v>Rope Laces</v>
      </c>
      <c r="O16" s="16">
        <v>28605</v>
      </c>
    </row>
    <row r="17" spans="1:15" s="4" customFormat="1">
      <c r="A17" s="16" t="s">
        <v>6</v>
      </c>
      <c r="B17" s="18">
        <v>42927</v>
      </c>
      <c r="C17" s="18" t="s">
        <v>445</v>
      </c>
      <c r="D17" s="21">
        <v>30</v>
      </c>
      <c r="E17" s="22">
        <v>1</v>
      </c>
      <c r="F17" s="18" t="s">
        <v>414</v>
      </c>
      <c r="G17" s="29" t="str">
        <f>VLOOKUP(C17,DATA!$A$2:$G$243,2,FALSE)</f>
        <v>Black/Red Rope Laces</v>
      </c>
      <c r="H17" s="30">
        <f t="shared" si="0"/>
        <v>1</v>
      </c>
      <c r="I17" s="30">
        <f>VLOOKUP(C17,DATA!$A$2:$G$243,5,FALSE)</f>
        <v>7000</v>
      </c>
      <c r="J17" s="30">
        <f t="shared" si="2"/>
        <v>7000</v>
      </c>
      <c r="K17" s="31">
        <f>VLOOKUP(C17,DATA!$A$2:$G$243,3,FALSE)</f>
        <v>5.95</v>
      </c>
      <c r="L17" s="31">
        <f>VLOOKUP(C17,DATA!$A$2:$G$243,4,FALSE)</f>
        <v>2.3800000000000003</v>
      </c>
      <c r="M17" s="31">
        <f t="shared" si="1"/>
        <v>2.3800000000000003</v>
      </c>
      <c r="N17" s="25" t="str">
        <f>VLOOKUP(C17,DATA!$A$2:$G$243,6,FALSE)</f>
        <v>Rope Laces</v>
      </c>
      <c r="O17" s="16">
        <v>28605</v>
      </c>
    </row>
    <row r="18" spans="1:15" s="4" customFormat="1">
      <c r="A18" s="16" t="s">
        <v>6</v>
      </c>
      <c r="B18" s="18">
        <v>42927</v>
      </c>
      <c r="C18" s="18" t="s">
        <v>445</v>
      </c>
      <c r="D18" s="21">
        <v>36</v>
      </c>
      <c r="E18" s="22">
        <v>3</v>
      </c>
      <c r="F18" s="18" t="s">
        <v>414</v>
      </c>
      <c r="G18" s="29" t="str">
        <f>VLOOKUP(C18,DATA!$A$2:$G$243,2,FALSE)</f>
        <v>Black/Red Rope Laces</v>
      </c>
      <c r="H18" s="30">
        <f t="shared" si="0"/>
        <v>3</v>
      </c>
      <c r="I18" s="30">
        <f>VLOOKUP(C18,DATA!$A$2:$G$243,5,FALSE)</f>
        <v>7000</v>
      </c>
      <c r="J18" s="30">
        <f t="shared" si="2"/>
        <v>21000</v>
      </c>
      <c r="K18" s="31">
        <f>VLOOKUP(C18,DATA!$A$2:$G$243,3,FALSE)</f>
        <v>5.95</v>
      </c>
      <c r="L18" s="31">
        <f>VLOOKUP(C18,DATA!$A$2:$G$243,4,FALSE)</f>
        <v>2.3800000000000003</v>
      </c>
      <c r="M18" s="31">
        <f t="shared" si="1"/>
        <v>7.1400000000000006</v>
      </c>
      <c r="N18" s="25" t="str">
        <f>VLOOKUP(C18,DATA!$A$2:$G$243,6,FALSE)</f>
        <v>Rope Laces</v>
      </c>
      <c r="O18" s="16">
        <v>28605</v>
      </c>
    </row>
    <row r="19" spans="1:15" s="4" customFormat="1">
      <c r="A19" s="16" t="s">
        <v>6</v>
      </c>
      <c r="B19" s="18">
        <v>42927</v>
      </c>
      <c r="C19" s="18" t="s">
        <v>445</v>
      </c>
      <c r="D19" s="21">
        <v>45</v>
      </c>
      <c r="E19" s="22">
        <v>3</v>
      </c>
      <c r="F19" s="18" t="s">
        <v>414</v>
      </c>
      <c r="G19" s="29" t="str">
        <f>VLOOKUP(C19,DATA!$A$2:$G$243,2,FALSE)</f>
        <v>Black/Red Rope Laces</v>
      </c>
      <c r="H19" s="30">
        <f t="shared" si="0"/>
        <v>3</v>
      </c>
      <c r="I19" s="30">
        <f>VLOOKUP(C19,DATA!$A$2:$G$243,5,FALSE)</f>
        <v>7000</v>
      </c>
      <c r="J19" s="30">
        <f t="shared" si="2"/>
        <v>21000</v>
      </c>
      <c r="K19" s="31">
        <f>VLOOKUP(C19,DATA!$A$2:$G$243,3,FALSE)</f>
        <v>5.95</v>
      </c>
      <c r="L19" s="31">
        <f>VLOOKUP(C19,DATA!$A$2:$G$243,4,FALSE)</f>
        <v>2.3800000000000003</v>
      </c>
      <c r="M19" s="31">
        <f t="shared" si="1"/>
        <v>7.1400000000000006</v>
      </c>
      <c r="N19" s="25" t="str">
        <f>VLOOKUP(C19,DATA!$A$2:$G$243,6,FALSE)</f>
        <v>Rope Laces</v>
      </c>
      <c r="O19" s="16">
        <v>28605</v>
      </c>
    </row>
    <row r="20" spans="1:15" s="4" customFormat="1">
      <c r="A20" s="16" t="s">
        <v>6</v>
      </c>
      <c r="B20" s="18">
        <v>42927</v>
      </c>
      <c r="C20" s="18" t="s">
        <v>445</v>
      </c>
      <c r="D20" s="21">
        <v>54</v>
      </c>
      <c r="E20" s="22">
        <v>1</v>
      </c>
      <c r="F20" s="18" t="s">
        <v>414</v>
      </c>
      <c r="G20" s="29" t="str">
        <f>VLOOKUP(C20,DATA!$A$2:$G$243,2,FALSE)</f>
        <v>Black/Red Rope Laces</v>
      </c>
      <c r="H20" s="30">
        <f t="shared" si="0"/>
        <v>1</v>
      </c>
      <c r="I20" s="30">
        <f>VLOOKUP(C20,DATA!$A$2:$G$243,5,FALSE)</f>
        <v>7000</v>
      </c>
      <c r="J20" s="30">
        <f t="shared" si="2"/>
        <v>7000</v>
      </c>
      <c r="K20" s="31">
        <f>VLOOKUP(C20,DATA!$A$2:$G$243,3,FALSE)</f>
        <v>5.95</v>
      </c>
      <c r="L20" s="31">
        <f>VLOOKUP(C20,DATA!$A$2:$G$243,4,FALSE)</f>
        <v>2.3800000000000003</v>
      </c>
      <c r="M20" s="31">
        <f t="shared" si="1"/>
        <v>2.3800000000000003</v>
      </c>
      <c r="N20" s="25" t="str">
        <f>VLOOKUP(C20,DATA!$A$2:$G$243,6,FALSE)</f>
        <v>Rope Laces</v>
      </c>
      <c r="O20" s="16">
        <v>28605</v>
      </c>
    </row>
    <row r="21" spans="1:15" s="4" customFormat="1">
      <c r="A21" s="16" t="s">
        <v>6</v>
      </c>
      <c r="B21" s="18">
        <v>42927</v>
      </c>
      <c r="C21" s="18" t="s">
        <v>446</v>
      </c>
      <c r="D21" s="21">
        <v>45</v>
      </c>
      <c r="E21" s="22">
        <v>1</v>
      </c>
      <c r="F21" s="18" t="s">
        <v>414</v>
      </c>
      <c r="G21" s="29" t="str">
        <f>VLOOKUP(C21,DATA!$A$2:$G$243,2,FALSE)</f>
        <v>Blue/White Rope Laces</v>
      </c>
      <c r="H21" s="30">
        <f t="shared" si="0"/>
        <v>1</v>
      </c>
      <c r="I21" s="30">
        <f>VLOOKUP(C21,DATA!$A$2:$G$243,5,FALSE)</f>
        <v>7000</v>
      </c>
      <c r="J21" s="30">
        <f t="shared" si="2"/>
        <v>7000</v>
      </c>
      <c r="K21" s="31">
        <f>VLOOKUP(C21,DATA!$A$2:$G$243,3,FALSE)</f>
        <v>5.95</v>
      </c>
      <c r="L21" s="31">
        <f>VLOOKUP(C21,DATA!$A$2:$G$243,4,FALSE)</f>
        <v>2.3800000000000003</v>
      </c>
      <c r="M21" s="31">
        <f t="shared" si="1"/>
        <v>2.3800000000000003</v>
      </c>
      <c r="N21" s="25" t="str">
        <f>VLOOKUP(C21,DATA!$A$2:$G$243,6,FALSE)</f>
        <v>Rope Laces</v>
      </c>
      <c r="O21" s="16">
        <v>28605</v>
      </c>
    </row>
    <row r="22" spans="1:15" s="4" customFormat="1">
      <c r="A22" s="16" t="s">
        <v>6</v>
      </c>
      <c r="B22" s="18">
        <v>42927</v>
      </c>
      <c r="C22" s="18" t="s">
        <v>446</v>
      </c>
      <c r="D22" s="21">
        <v>54</v>
      </c>
      <c r="E22" s="22">
        <v>1</v>
      </c>
      <c r="F22" s="18" t="s">
        <v>414</v>
      </c>
      <c r="G22" s="29" t="str">
        <f>VLOOKUP(C22,DATA!$A$2:$G$243,2,FALSE)</f>
        <v>Blue/White Rope Laces</v>
      </c>
      <c r="H22" s="30">
        <f t="shared" si="0"/>
        <v>1</v>
      </c>
      <c r="I22" s="30">
        <f>VLOOKUP(C22,DATA!$A$2:$G$243,5,FALSE)</f>
        <v>7000</v>
      </c>
      <c r="J22" s="30">
        <f t="shared" si="2"/>
        <v>7000</v>
      </c>
      <c r="K22" s="31">
        <f>VLOOKUP(C22,DATA!$A$2:$G$243,3,FALSE)</f>
        <v>5.95</v>
      </c>
      <c r="L22" s="31">
        <f>VLOOKUP(C22,DATA!$A$2:$G$243,4,FALSE)</f>
        <v>2.3800000000000003</v>
      </c>
      <c r="M22" s="31">
        <f t="shared" si="1"/>
        <v>2.3800000000000003</v>
      </c>
      <c r="N22" s="25" t="str">
        <f>VLOOKUP(C22,DATA!$A$2:$G$243,6,FALSE)</f>
        <v>Rope Laces</v>
      </c>
      <c r="O22" s="16">
        <v>28605</v>
      </c>
    </row>
    <row r="23" spans="1:15" s="4" customFormat="1">
      <c r="A23" s="16" t="s">
        <v>6</v>
      </c>
      <c r="B23" s="18">
        <v>42927</v>
      </c>
      <c r="C23" s="18" t="s">
        <v>447</v>
      </c>
      <c r="D23" s="21">
        <v>45</v>
      </c>
      <c r="E23" s="22">
        <v>1</v>
      </c>
      <c r="F23" s="18" t="s">
        <v>414</v>
      </c>
      <c r="G23" s="29" t="str">
        <f>VLOOKUP(C23,DATA!$A$2:$G$243,2,FALSE)</f>
        <v>Red/White Rope Laces</v>
      </c>
      <c r="H23" s="30">
        <f t="shared" si="0"/>
        <v>1</v>
      </c>
      <c r="I23" s="30">
        <f>VLOOKUP(C23,DATA!$A$2:$G$243,5,FALSE)</f>
        <v>7000</v>
      </c>
      <c r="J23" s="30">
        <f t="shared" si="2"/>
        <v>7000</v>
      </c>
      <c r="K23" s="31">
        <f>VLOOKUP(C23,DATA!$A$2:$G$243,3,FALSE)</f>
        <v>5.95</v>
      </c>
      <c r="L23" s="31">
        <f>VLOOKUP(C23,DATA!$A$2:$G$243,4,FALSE)</f>
        <v>2.3800000000000003</v>
      </c>
      <c r="M23" s="31">
        <f t="shared" si="1"/>
        <v>2.3800000000000003</v>
      </c>
      <c r="N23" s="25" t="str">
        <f>VLOOKUP(C23,DATA!$A$2:$G$243,6,FALSE)</f>
        <v>Rope Laces</v>
      </c>
      <c r="O23" s="16">
        <v>28605</v>
      </c>
    </row>
    <row r="24" spans="1:15" s="4" customFormat="1">
      <c r="A24" s="16" t="s">
        <v>6</v>
      </c>
      <c r="B24" s="18">
        <v>42927</v>
      </c>
      <c r="C24" s="18" t="s">
        <v>447</v>
      </c>
      <c r="D24" s="21">
        <v>54</v>
      </c>
      <c r="E24" s="22">
        <v>1</v>
      </c>
      <c r="F24" s="18" t="s">
        <v>414</v>
      </c>
      <c r="G24" s="29" t="str">
        <f>VLOOKUP(C24,DATA!$A$2:$G$243,2,FALSE)</f>
        <v>Red/White Rope Laces</v>
      </c>
      <c r="H24" s="30">
        <f t="shared" si="0"/>
        <v>1</v>
      </c>
      <c r="I24" s="30">
        <f>VLOOKUP(C24,DATA!$A$2:$G$243,5,FALSE)</f>
        <v>7000</v>
      </c>
      <c r="J24" s="30">
        <f t="shared" si="2"/>
        <v>7000</v>
      </c>
      <c r="K24" s="31">
        <f>VLOOKUP(C24,DATA!$A$2:$G$243,3,FALSE)</f>
        <v>5.95</v>
      </c>
      <c r="L24" s="31">
        <f>VLOOKUP(C24,DATA!$A$2:$G$243,4,FALSE)</f>
        <v>2.3800000000000003</v>
      </c>
      <c r="M24" s="31">
        <f t="shared" si="1"/>
        <v>2.3800000000000003</v>
      </c>
      <c r="N24" s="25" t="str">
        <f>VLOOKUP(C24,DATA!$A$2:$G$243,6,FALSE)</f>
        <v>Rope Laces</v>
      </c>
      <c r="O24" s="16">
        <v>28605</v>
      </c>
    </row>
    <row r="25" spans="1:15" s="4" customFormat="1">
      <c r="A25" s="16" t="s">
        <v>6</v>
      </c>
      <c r="B25" s="18">
        <v>42927</v>
      </c>
      <c r="C25" s="18" t="s">
        <v>448</v>
      </c>
      <c r="D25" s="21">
        <v>36</v>
      </c>
      <c r="E25" s="22">
        <v>2</v>
      </c>
      <c r="F25" s="18" t="s">
        <v>414</v>
      </c>
      <c r="G25" s="29" t="str">
        <f>VLOOKUP(C25,DATA!$A$2:$G$243,2,FALSE)</f>
        <v>Blue/Black Rope Laces</v>
      </c>
      <c r="H25" s="30">
        <f t="shared" si="0"/>
        <v>2</v>
      </c>
      <c r="I25" s="30">
        <f>VLOOKUP(C25,DATA!$A$2:$G$243,5,FALSE)</f>
        <v>7000</v>
      </c>
      <c r="J25" s="30">
        <f t="shared" si="2"/>
        <v>14000</v>
      </c>
      <c r="K25" s="31">
        <f>VLOOKUP(C25,DATA!$A$2:$G$243,3,FALSE)</f>
        <v>5.95</v>
      </c>
      <c r="L25" s="31">
        <f>VLOOKUP(C25,DATA!$A$2:$G$243,4,FALSE)</f>
        <v>2.3800000000000003</v>
      </c>
      <c r="M25" s="31">
        <f t="shared" si="1"/>
        <v>4.7600000000000007</v>
      </c>
      <c r="N25" s="25" t="str">
        <f>VLOOKUP(C25,DATA!$A$2:$G$243,6,FALSE)</f>
        <v>Rope Laces</v>
      </c>
      <c r="O25" s="16">
        <v>28605</v>
      </c>
    </row>
    <row r="26" spans="1:15" s="4" customFormat="1">
      <c r="A26" s="16" t="s">
        <v>6</v>
      </c>
      <c r="B26" s="18">
        <v>42927</v>
      </c>
      <c r="C26" s="18" t="s">
        <v>448</v>
      </c>
      <c r="D26" s="21">
        <v>45</v>
      </c>
      <c r="E26" s="22">
        <v>2</v>
      </c>
      <c r="F26" s="18" t="s">
        <v>414</v>
      </c>
      <c r="G26" s="29" t="str">
        <f>VLOOKUP(C26,DATA!$A$2:$G$243,2,FALSE)</f>
        <v>Blue/Black Rope Laces</v>
      </c>
      <c r="H26" s="30">
        <f t="shared" si="0"/>
        <v>2</v>
      </c>
      <c r="I26" s="30">
        <f>VLOOKUP(C26,DATA!$A$2:$G$243,5,FALSE)</f>
        <v>7000</v>
      </c>
      <c r="J26" s="30">
        <f t="shared" si="2"/>
        <v>14000</v>
      </c>
      <c r="K26" s="31">
        <f>VLOOKUP(C26,DATA!$A$2:$G$243,3,FALSE)</f>
        <v>5.95</v>
      </c>
      <c r="L26" s="31">
        <f>VLOOKUP(C26,DATA!$A$2:$G$243,4,FALSE)</f>
        <v>2.3800000000000003</v>
      </c>
      <c r="M26" s="31">
        <f t="shared" si="1"/>
        <v>4.7600000000000007</v>
      </c>
      <c r="N26" s="25" t="str">
        <f>VLOOKUP(C26,DATA!$A$2:$G$243,6,FALSE)</f>
        <v>Rope Laces</v>
      </c>
      <c r="O26" s="16">
        <v>28605</v>
      </c>
    </row>
    <row r="27" spans="1:15" s="4" customFormat="1">
      <c r="A27" s="16" t="s">
        <v>6</v>
      </c>
      <c r="B27" s="18">
        <v>42927</v>
      </c>
      <c r="C27" s="18" t="s">
        <v>448</v>
      </c>
      <c r="D27" s="21">
        <v>54</v>
      </c>
      <c r="E27" s="22">
        <v>1</v>
      </c>
      <c r="F27" s="18" t="s">
        <v>414</v>
      </c>
      <c r="G27" s="29" t="str">
        <f>VLOOKUP(C27,DATA!$A$2:$G$243,2,FALSE)</f>
        <v>Blue/Black Rope Laces</v>
      </c>
      <c r="H27" s="30">
        <f t="shared" si="0"/>
        <v>1</v>
      </c>
      <c r="I27" s="30">
        <f>VLOOKUP(C27,DATA!$A$2:$G$243,5,FALSE)</f>
        <v>7000</v>
      </c>
      <c r="J27" s="30">
        <f t="shared" si="2"/>
        <v>7000</v>
      </c>
      <c r="K27" s="31">
        <f>VLOOKUP(C27,DATA!$A$2:$G$243,3,FALSE)</f>
        <v>5.95</v>
      </c>
      <c r="L27" s="31">
        <f>VLOOKUP(C27,DATA!$A$2:$G$243,4,FALSE)</f>
        <v>2.3800000000000003</v>
      </c>
      <c r="M27" s="31">
        <f t="shared" si="1"/>
        <v>2.3800000000000003</v>
      </c>
      <c r="N27" s="25" t="str">
        <f>VLOOKUP(C27,DATA!$A$2:$G$243,6,FALSE)</f>
        <v>Rope Laces</v>
      </c>
      <c r="O27" s="16">
        <v>28605</v>
      </c>
    </row>
    <row r="28" spans="1:15" s="4" customFormat="1">
      <c r="A28" s="16" t="s">
        <v>6</v>
      </c>
      <c r="B28" s="18">
        <v>42927</v>
      </c>
      <c r="C28" s="18" t="s">
        <v>449</v>
      </c>
      <c r="D28" s="21">
        <v>36</v>
      </c>
      <c r="E28" s="22">
        <v>2</v>
      </c>
      <c r="F28" s="18" t="s">
        <v>414</v>
      </c>
      <c r="G28" s="29" t="str">
        <f>VLOOKUP(C28,DATA!$A$2:$G$243,2,FALSE)</f>
        <v>Mint/Black Rope Laces</v>
      </c>
      <c r="H28" s="30">
        <f t="shared" si="0"/>
        <v>2</v>
      </c>
      <c r="I28" s="30">
        <f>VLOOKUP(C28,DATA!$A$2:$G$243,5,FALSE)</f>
        <v>7000</v>
      </c>
      <c r="J28" s="30">
        <f t="shared" si="2"/>
        <v>14000</v>
      </c>
      <c r="K28" s="31">
        <f>VLOOKUP(C28,DATA!$A$2:$G$243,3,FALSE)</f>
        <v>5.95</v>
      </c>
      <c r="L28" s="31">
        <f>VLOOKUP(C28,DATA!$A$2:$G$243,4,FALSE)</f>
        <v>2.3800000000000003</v>
      </c>
      <c r="M28" s="31">
        <f t="shared" si="1"/>
        <v>4.7600000000000007</v>
      </c>
      <c r="N28" s="25" t="str">
        <f>VLOOKUP(C28,DATA!$A$2:$G$243,6,FALSE)</f>
        <v>Rope Laces</v>
      </c>
      <c r="O28" s="16">
        <v>28605</v>
      </c>
    </row>
    <row r="29" spans="1:15" s="4" customFormat="1">
      <c r="A29" s="16" t="s">
        <v>6</v>
      </c>
      <c r="B29" s="18">
        <v>42927</v>
      </c>
      <c r="C29" s="18" t="s">
        <v>449</v>
      </c>
      <c r="D29" s="21">
        <v>45</v>
      </c>
      <c r="E29" s="22">
        <v>2</v>
      </c>
      <c r="F29" s="18" t="s">
        <v>414</v>
      </c>
      <c r="G29" s="29" t="str">
        <f>VLOOKUP(C29,DATA!$A$2:$G$243,2,FALSE)</f>
        <v>Mint/Black Rope Laces</v>
      </c>
      <c r="H29" s="30">
        <f t="shared" si="0"/>
        <v>2</v>
      </c>
      <c r="I29" s="30">
        <f>VLOOKUP(C29,DATA!$A$2:$G$243,5,FALSE)</f>
        <v>7000</v>
      </c>
      <c r="J29" s="30">
        <f t="shared" si="2"/>
        <v>14000</v>
      </c>
      <c r="K29" s="31">
        <f>VLOOKUP(C29,DATA!$A$2:$G$243,3,FALSE)</f>
        <v>5.95</v>
      </c>
      <c r="L29" s="31">
        <f>VLOOKUP(C29,DATA!$A$2:$G$243,4,FALSE)</f>
        <v>2.3800000000000003</v>
      </c>
      <c r="M29" s="31">
        <f t="shared" si="1"/>
        <v>4.7600000000000007</v>
      </c>
      <c r="N29" s="25" t="str">
        <f>VLOOKUP(C29,DATA!$A$2:$G$243,6,FALSE)</f>
        <v>Rope Laces</v>
      </c>
      <c r="O29" s="16">
        <v>28605</v>
      </c>
    </row>
    <row r="30" spans="1:15" s="4" customFormat="1">
      <c r="A30" s="16" t="s">
        <v>6</v>
      </c>
      <c r="B30" s="18">
        <v>42927</v>
      </c>
      <c r="C30" s="18" t="s">
        <v>449</v>
      </c>
      <c r="D30" s="21">
        <v>54</v>
      </c>
      <c r="E30" s="22">
        <v>1</v>
      </c>
      <c r="F30" s="18" t="s">
        <v>414</v>
      </c>
      <c r="G30" s="29" t="str">
        <f>VLOOKUP(C30,DATA!$A$2:$G$243,2,FALSE)</f>
        <v>Mint/Black Rope Laces</v>
      </c>
      <c r="H30" s="30">
        <f t="shared" si="0"/>
        <v>1</v>
      </c>
      <c r="I30" s="30">
        <f>VLOOKUP(C30,DATA!$A$2:$G$243,5,FALSE)</f>
        <v>7000</v>
      </c>
      <c r="J30" s="30">
        <f t="shared" si="2"/>
        <v>7000</v>
      </c>
      <c r="K30" s="31">
        <f>VLOOKUP(C30,DATA!$A$2:$G$243,3,FALSE)</f>
        <v>5.95</v>
      </c>
      <c r="L30" s="31">
        <f>VLOOKUP(C30,DATA!$A$2:$G$243,4,FALSE)</f>
        <v>2.3800000000000003</v>
      </c>
      <c r="M30" s="31">
        <f t="shared" si="1"/>
        <v>2.3800000000000003</v>
      </c>
      <c r="N30" s="25" t="str">
        <f>VLOOKUP(C30,DATA!$A$2:$G$243,6,FALSE)</f>
        <v>Rope Laces</v>
      </c>
      <c r="O30" s="16">
        <v>28605</v>
      </c>
    </row>
    <row r="31" spans="1:15" s="4" customFormat="1">
      <c r="A31" s="16" t="s">
        <v>6</v>
      </c>
      <c r="B31" s="18">
        <v>42927</v>
      </c>
      <c r="C31" s="18" t="s">
        <v>450</v>
      </c>
      <c r="D31" s="21">
        <v>30</v>
      </c>
      <c r="E31" s="22">
        <v>1</v>
      </c>
      <c r="F31" s="18" t="s">
        <v>414</v>
      </c>
      <c r="G31" s="29" t="str">
        <f>VLOOKUP(C31,DATA!$A$2:$G$243,2,FALSE)</f>
        <v>Oxford Tan Rope Laces</v>
      </c>
      <c r="H31" s="30">
        <f t="shared" si="0"/>
        <v>1</v>
      </c>
      <c r="I31" s="30">
        <f>VLOOKUP(C31,DATA!$A$2:$G$243,5,FALSE)</f>
        <v>7000</v>
      </c>
      <c r="J31" s="30">
        <f t="shared" si="2"/>
        <v>7000</v>
      </c>
      <c r="K31" s="31">
        <f>VLOOKUP(C31,DATA!$A$2:$G$243,3,FALSE)</f>
        <v>5.95</v>
      </c>
      <c r="L31" s="31">
        <f>VLOOKUP(C31,DATA!$A$2:$G$243,4,FALSE)</f>
        <v>2.3800000000000003</v>
      </c>
      <c r="M31" s="31">
        <f t="shared" si="1"/>
        <v>2.3800000000000003</v>
      </c>
      <c r="N31" s="25" t="str">
        <f>VLOOKUP(C31,DATA!$A$2:$G$243,6,FALSE)</f>
        <v>Rope Laces</v>
      </c>
      <c r="O31" s="16">
        <v>28605</v>
      </c>
    </row>
    <row r="32" spans="1:15" s="4" customFormat="1">
      <c r="A32" s="16" t="s">
        <v>6</v>
      </c>
      <c r="B32" s="18">
        <v>42927</v>
      </c>
      <c r="C32" s="18" t="s">
        <v>450</v>
      </c>
      <c r="D32" s="21">
        <v>36</v>
      </c>
      <c r="E32" s="22">
        <v>2</v>
      </c>
      <c r="F32" s="18" t="s">
        <v>414</v>
      </c>
      <c r="G32" s="29" t="str">
        <f>VLOOKUP(C32,DATA!$A$2:$G$243,2,FALSE)</f>
        <v>Oxford Tan Rope Laces</v>
      </c>
      <c r="H32" s="30">
        <f t="shared" si="0"/>
        <v>2</v>
      </c>
      <c r="I32" s="30">
        <f>VLOOKUP(C32,DATA!$A$2:$G$243,5,FALSE)</f>
        <v>7000</v>
      </c>
      <c r="J32" s="30">
        <f t="shared" si="2"/>
        <v>14000</v>
      </c>
      <c r="K32" s="31">
        <f>VLOOKUP(C32,DATA!$A$2:$G$243,3,FALSE)</f>
        <v>5.95</v>
      </c>
      <c r="L32" s="31">
        <f>VLOOKUP(C32,DATA!$A$2:$G$243,4,FALSE)</f>
        <v>2.3800000000000003</v>
      </c>
      <c r="M32" s="31">
        <f t="shared" si="1"/>
        <v>4.7600000000000007</v>
      </c>
      <c r="N32" s="25" t="str">
        <f>VLOOKUP(C32,DATA!$A$2:$G$243,6,FALSE)</f>
        <v>Rope Laces</v>
      </c>
      <c r="O32" s="16">
        <v>28605</v>
      </c>
    </row>
    <row r="33" spans="1:15" s="4" customFormat="1">
      <c r="A33" s="16" t="s">
        <v>6</v>
      </c>
      <c r="B33" s="18">
        <v>42927</v>
      </c>
      <c r="C33" s="18" t="s">
        <v>450</v>
      </c>
      <c r="D33" s="21">
        <v>45</v>
      </c>
      <c r="E33" s="22">
        <v>2</v>
      </c>
      <c r="F33" s="18" t="s">
        <v>414</v>
      </c>
      <c r="G33" s="29" t="str">
        <f>VLOOKUP(C33,DATA!$A$2:$G$243,2,FALSE)</f>
        <v>Oxford Tan Rope Laces</v>
      </c>
      <c r="H33" s="30">
        <f t="shared" si="0"/>
        <v>2</v>
      </c>
      <c r="I33" s="30">
        <f>VLOOKUP(C33,DATA!$A$2:$G$243,5,FALSE)</f>
        <v>7000</v>
      </c>
      <c r="J33" s="30">
        <f t="shared" si="2"/>
        <v>14000</v>
      </c>
      <c r="K33" s="31">
        <f>VLOOKUP(C33,DATA!$A$2:$G$243,3,FALSE)</f>
        <v>5.95</v>
      </c>
      <c r="L33" s="31">
        <f>VLOOKUP(C33,DATA!$A$2:$G$243,4,FALSE)</f>
        <v>2.3800000000000003</v>
      </c>
      <c r="M33" s="31">
        <f t="shared" si="1"/>
        <v>4.7600000000000007</v>
      </c>
      <c r="N33" s="25" t="str">
        <f>VLOOKUP(C33,DATA!$A$2:$G$243,6,FALSE)</f>
        <v>Rope Laces</v>
      </c>
      <c r="O33" s="16">
        <v>28605</v>
      </c>
    </row>
    <row r="34" spans="1:15" s="4" customFormat="1">
      <c r="A34" s="16" t="s">
        <v>6</v>
      </c>
      <c r="B34" s="18">
        <v>42927</v>
      </c>
      <c r="C34" s="18" t="s">
        <v>450</v>
      </c>
      <c r="D34" s="21">
        <v>54</v>
      </c>
      <c r="E34" s="22">
        <v>1</v>
      </c>
      <c r="F34" s="18" t="s">
        <v>414</v>
      </c>
      <c r="G34" s="29" t="str">
        <f>VLOOKUP(C34,DATA!$A$2:$G$243,2,FALSE)</f>
        <v>Oxford Tan Rope Laces</v>
      </c>
      <c r="H34" s="30">
        <f t="shared" si="0"/>
        <v>1</v>
      </c>
      <c r="I34" s="30">
        <f>VLOOKUP(C34,DATA!$A$2:$G$243,5,FALSE)</f>
        <v>7000</v>
      </c>
      <c r="J34" s="30">
        <f t="shared" si="2"/>
        <v>7000</v>
      </c>
      <c r="K34" s="31">
        <f>VLOOKUP(C34,DATA!$A$2:$G$243,3,FALSE)</f>
        <v>5.95</v>
      </c>
      <c r="L34" s="31">
        <f>VLOOKUP(C34,DATA!$A$2:$G$243,4,FALSE)</f>
        <v>2.3800000000000003</v>
      </c>
      <c r="M34" s="31">
        <f t="shared" si="1"/>
        <v>2.3800000000000003</v>
      </c>
      <c r="N34" s="25" t="str">
        <f>VLOOKUP(C34,DATA!$A$2:$G$243,6,FALSE)</f>
        <v>Rope Laces</v>
      </c>
      <c r="O34" s="16">
        <v>28605</v>
      </c>
    </row>
    <row r="35" spans="1:15" s="4" customFormat="1">
      <c r="A35" s="16" t="s">
        <v>6</v>
      </c>
      <c r="B35" s="18">
        <v>42927</v>
      </c>
      <c r="C35" s="18" t="s">
        <v>451</v>
      </c>
      <c r="D35" s="21">
        <v>36</v>
      </c>
      <c r="E35" s="22">
        <v>2</v>
      </c>
      <c r="F35" s="18" t="s">
        <v>414</v>
      </c>
      <c r="G35" s="29" t="str">
        <f>VLOOKUP(C35,DATA!$A$2:$G$243,2,FALSE)</f>
        <v>Metallic Red/Black Rope Laces</v>
      </c>
      <c r="H35" s="30">
        <f t="shared" si="0"/>
        <v>2</v>
      </c>
      <c r="I35" s="30">
        <f>VLOOKUP(C35,DATA!$A$2:$G$243,5,FALSE)</f>
        <v>7000</v>
      </c>
      <c r="J35" s="30">
        <f t="shared" si="2"/>
        <v>14000</v>
      </c>
      <c r="K35" s="31">
        <f>VLOOKUP(C35,DATA!$A$2:$G$243,3,FALSE)</f>
        <v>5.95</v>
      </c>
      <c r="L35" s="31">
        <f>VLOOKUP(C35,DATA!$A$2:$G$243,4,FALSE)</f>
        <v>2.3800000000000003</v>
      </c>
      <c r="M35" s="31">
        <f t="shared" si="1"/>
        <v>4.7600000000000007</v>
      </c>
      <c r="N35" s="25" t="str">
        <f>VLOOKUP(C35,DATA!$A$2:$G$243,6,FALSE)</f>
        <v>Rope Laces</v>
      </c>
      <c r="O35" s="16">
        <v>28605</v>
      </c>
    </row>
    <row r="36" spans="1:15" s="4" customFormat="1">
      <c r="A36" s="16" t="s">
        <v>6</v>
      </c>
      <c r="B36" s="18">
        <v>42927</v>
      </c>
      <c r="C36" s="18" t="s">
        <v>451</v>
      </c>
      <c r="D36" s="21">
        <v>45</v>
      </c>
      <c r="E36" s="22">
        <v>2</v>
      </c>
      <c r="F36" s="18" t="s">
        <v>414</v>
      </c>
      <c r="G36" s="29" t="str">
        <f>VLOOKUP(C36,DATA!$A$2:$G$243,2,FALSE)</f>
        <v>Metallic Red/Black Rope Laces</v>
      </c>
      <c r="H36" s="30">
        <f t="shared" si="0"/>
        <v>2</v>
      </c>
      <c r="I36" s="30">
        <f>VLOOKUP(C36,DATA!$A$2:$G$243,5,FALSE)</f>
        <v>7000</v>
      </c>
      <c r="J36" s="30">
        <f t="shared" si="2"/>
        <v>14000</v>
      </c>
      <c r="K36" s="31">
        <f>VLOOKUP(C36,DATA!$A$2:$G$243,3,FALSE)</f>
        <v>5.95</v>
      </c>
      <c r="L36" s="31">
        <f>VLOOKUP(C36,DATA!$A$2:$G$243,4,FALSE)</f>
        <v>2.3800000000000003</v>
      </c>
      <c r="M36" s="31">
        <f t="shared" si="1"/>
        <v>4.7600000000000007</v>
      </c>
      <c r="N36" s="25" t="str">
        <f>VLOOKUP(C36,DATA!$A$2:$G$243,6,FALSE)</f>
        <v>Rope Laces</v>
      </c>
      <c r="O36" s="16">
        <v>28605</v>
      </c>
    </row>
    <row r="37" spans="1:15" s="4" customFormat="1">
      <c r="A37" s="16" t="s">
        <v>6</v>
      </c>
      <c r="B37" s="18">
        <v>42927</v>
      </c>
      <c r="C37" s="18" t="s">
        <v>451</v>
      </c>
      <c r="D37" s="21">
        <v>54</v>
      </c>
      <c r="E37" s="22">
        <v>1</v>
      </c>
      <c r="F37" s="18" t="s">
        <v>414</v>
      </c>
      <c r="G37" s="29" t="str">
        <f>VLOOKUP(C37,DATA!$A$2:$G$243,2,FALSE)</f>
        <v>Metallic Red/Black Rope Laces</v>
      </c>
      <c r="H37" s="30">
        <f t="shared" si="0"/>
        <v>1</v>
      </c>
      <c r="I37" s="30">
        <f>VLOOKUP(C37,DATA!$A$2:$G$243,5,FALSE)</f>
        <v>7000</v>
      </c>
      <c r="J37" s="30">
        <f t="shared" si="2"/>
        <v>7000</v>
      </c>
      <c r="K37" s="31">
        <f>VLOOKUP(C37,DATA!$A$2:$G$243,3,FALSE)</f>
        <v>5.95</v>
      </c>
      <c r="L37" s="31">
        <f>VLOOKUP(C37,DATA!$A$2:$G$243,4,FALSE)</f>
        <v>2.3800000000000003</v>
      </c>
      <c r="M37" s="31">
        <f t="shared" si="1"/>
        <v>2.3800000000000003</v>
      </c>
      <c r="N37" s="25" t="str">
        <f>VLOOKUP(C37,DATA!$A$2:$G$243,6,FALSE)</f>
        <v>Rope Laces</v>
      </c>
      <c r="O37" s="16">
        <v>28605</v>
      </c>
    </row>
    <row r="38" spans="1:15" s="4" customFormat="1">
      <c r="A38" s="16" t="s">
        <v>6</v>
      </c>
      <c r="B38" s="18">
        <v>42927</v>
      </c>
      <c r="C38" s="18" t="s">
        <v>452</v>
      </c>
      <c r="D38" s="21">
        <v>36</v>
      </c>
      <c r="E38" s="22">
        <v>2</v>
      </c>
      <c r="F38" s="18" t="s">
        <v>414</v>
      </c>
      <c r="G38" s="29" t="str">
        <f>VLOOKUP(C38,DATA!$A$2:$G$243,2,FALSE)</f>
        <v>Metallic Gold/White Rope Laces</v>
      </c>
      <c r="H38" s="30">
        <f t="shared" si="0"/>
        <v>2</v>
      </c>
      <c r="I38" s="30">
        <f>VLOOKUP(C38,DATA!$A$2:$G$243,5,FALSE)</f>
        <v>7000</v>
      </c>
      <c r="J38" s="30">
        <f t="shared" si="2"/>
        <v>14000</v>
      </c>
      <c r="K38" s="31">
        <f>VLOOKUP(C38,DATA!$A$2:$G$243,3,FALSE)</f>
        <v>5.95</v>
      </c>
      <c r="L38" s="31">
        <f>VLOOKUP(C38,DATA!$A$2:$G$243,4,FALSE)</f>
        <v>2.3800000000000003</v>
      </c>
      <c r="M38" s="31">
        <f t="shared" si="1"/>
        <v>4.7600000000000007</v>
      </c>
      <c r="N38" s="25" t="str">
        <f>VLOOKUP(C38,DATA!$A$2:$G$243,6,FALSE)</f>
        <v>Rope Laces</v>
      </c>
      <c r="O38" s="16">
        <v>28605</v>
      </c>
    </row>
    <row r="39" spans="1:15" s="4" customFormat="1">
      <c r="A39" s="16" t="s">
        <v>6</v>
      </c>
      <c r="B39" s="18">
        <v>42927</v>
      </c>
      <c r="C39" s="18" t="s">
        <v>452</v>
      </c>
      <c r="D39" s="21">
        <v>45</v>
      </c>
      <c r="E39" s="22">
        <v>2</v>
      </c>
      <c r="F39" s="18" t="s">
        <v>414</v>
      </c>
      <c r="G39" s="29" t="str">
        <f>VLOOKUP(C39,DATA!$A$2:$G$243,2,FALSE)</f>
        <v>Metallic Gold/White Rope Laces</v>
      </c>
      <c r="H39" s="30">
        <f t="shared" si="0"/>
        <v>2</v>
      </c>
      <c r="I39" s="30">
        <f>VLOOKUP(C39,DATA!$A$2:$G$243,5,FALSE)</f>
        <v>7000</v>
      </c>
      <c r="J39" s="30">
        <f t="shared" si="2"/>
        <v>14000</v>
      </c>
      <c r="K39" s="31">
        <f>VLOOKUP(C39,DATA!$A$2:$G$243,3,FALSE)</f>
        <v>5.95</v>
      </c>
      <c r="L39" s="31">
        <f>VLOOKUP(C39,DATA!$A$2:$G$243,4,FALSE)</f>
        <v>2.3800000000000003</v>
      </c>
      <c r="M39" s="31">
        <f t="shared" si="1"/>
        <v>4.7600000000000007</v>
      </c>
      <c r="N39" s="25" t="str">
        <f>VLOOKUP(C39,DATA!$A$2:$G$243,6,FALSE)</f>
        <v>Rope Laces</v>
      </c>
      <c r="O39" s="16">
        <v>28605</v>
      </c>
    </row>
    <row r="40" spans="1:15" s="4" customFormat="1">
      <c r="A40" s="16" t="s">
        <v>6</v>
      </c>
      <c r="B40" s="18">
        <v>42927</v>
      </c>
      <c r="C40" s="18" t="s">
        <v>452</v>
      </c>
      <c r="D40" s="21">
        <v>54</v>
      </c>
      <c r="E40" s="22">
        <v>1</v>
      </c>
      <c r="F40" s="18" t="s">
        <v>414</v>
      </c>
      <c r="G40" s="29" t="str">
        <f>VLOOKUP(C40,DATA!$A$2:$G$243,2,FALSE)</f>
        <v>Metallic Gold/White Rope Laces</v>
      </c>
      <c r="H40" s="30">
        <f t="shared" si="0"/>
        <v>1</v>
      </c>
      <c r="I40" s="30">
        <f>VLOOKUP(C40,DATA!$A$2:$G$243,5,FALSE)</f>
        <v>7000</v>
      </c>
      <c r="J40" s="30">
        <f t="shared" si="2"/>
        <v>7000</v>
      </c>
      <c r="K40" s="31">
        <f>VLOOKUP(C40,DATA!$A$2:$G$243,3,FALSE)</f>
        <v>5.95</v>
      </c>
      <c r="L40" s="31">
        <f>VLOOKUP(C40,DATA!$A$2:$G$243,4,FALSE)</f>
        <v>2.3800000000000003</v>
      </c>
      <c r="M40" s="31">
        <f t="shared" si="1"/>
        <v>2.3800000000000003</v>
      </c>
      <c r="N40" s="25" t="str">
        <f>VLOOKUP(C40,DATA!$A$2:$G$243,6,FALSE)</f>
        <v>Rope Laces</v>
      </c>
      <c r="O40" s="16">
        <v>28605</v>
      </c>
    </row>
    <row r="41" spans="1:15" s="4" customFormat="1">
      <c r="A41" s="16" t="s">
        <v>6</v>
      </c>
      <c r="B41" s="18">
        <v>42927</v>
      </c>
      <c r="C41" s="18" t="s">
        <v>453</v>
      </c>
      <c r="D41" s="21">
        <v>36</v>
      </c>
      <c r="E41" s="22">
        <v>2</v>
      </c>
      <c r="F41" s="18" t="s">
        <v>414</v>
      </c>
      <c r="G41" s="29" t="str">
        <f>VLOOKUP(C41,DATA!$A$2:$G$243,2,FALSE)</f>
        <v>Olive/Black Rope Laces</v>
      </c>
      <c r="H41" s="30">
        <f t="shared" si="0"/>
        <v>2</v>
      </c>
      <c r="I41" s="30">
        <f>VLOOKUP(C41,DATA!$A$2:$G$243,5,FALSE)</f>
        <v>7000</v>
      </c>
      <c r="J41" s="30">
        <f t="shared" si="2"/>
        <v>14000</v>
      </c>
      <c r="K41" s="31">
        <f>VLOOKUP(C41,DATA!$A$2:$G$243,3,FALSE)</f>
        <v>5.95</v>
      </c>
      <c r="L41" s="31">
        <f>VLOOKUP(C41,DATA!$A$2:$G$243,4,FALSE)</f>
        <v>2.3800000000000003</v>
      </c>
      <c r="M41" s="31">
        <f t="shared" si="1"/>
        <v>4.7600000000000007</v>
      </c>
      <c r="N41" s="25" t="str">
        <f>VLOOKUP(C41,DATA!$A$2:$G$243,6,FALSE)</f>
        <v>Rope Laces</v>
      </c>
      <c r="O41" s="16">
        <v>28605</v>
      </c>
    </row>
    <row r="42" spans="1:15" s="4" customFormat="1">
      <c r="A42" s="16" t="s">
        <v>6</v>
      </c>
      <c r="B42" s="18">
        <v>42927</v>
      </c>
      <c r="C42" s="18" t="s">
        <v>453</v>
      </c>
      <c r="D42" s="21">
        <v>45</v>
      </c>
      <c r="E42" s="22">
        <v>2</v>
      </c>
      <c r="F42" s="18" t="s">
        <v>414</v>
      </c>
      <c r="G42" s="29" t="str">
        <f>VLOOKUP(C42,DATA!$A$2:$G$243,2,FALSE)</f>
        <v>Olive/Black Rope Laces</v>
      </c>
      <c r="H42" s="30">
        <f t="shared" si="0"/>
        <v>2</v>
      </c>
      <c r="I42" s="30">
        <f>VLOOKUP(C42,DATA!$A$2:$G$243,5,FALSE)</f>
        <v>7000</v>
      </c>
      <c r="J42" s="30">
        <f t="shared" si="2"/>
        <v>14000</v>
      </c>
      <c r="K42" s="31">
        <f>VLOOKUP(C42,DATA!$A$2:$G$243,3,FALSE)</f>
        <v>5.95</v>
      </c>
      <c r="L42" s="31">
        <f>VLOOKUP(C42,DATA!$A$2:$G$243,4,FALSE)</f>
        <v>2.3800000000000003</v>
      </c>
      <c r="M42" s="31">
        <f t="shared" si="1"/>
        <v>4.7600000000000007</v>
      </c>
      <c r="N42" s="25" t="str">
        <f>VLOOKUP(C42,DATA!$A$2:$G$243,6,FALSE)</f>
        <v>Rope Laces</v>
      </c>
      <c r="O42" s="16">
        <v>28605</v>
      </c>
    </row>
    <row r="43" spans="1:15" s="4" customFormat="1">
      <c r="A43" s="16" t="s">
        <v>6</v>
      </c>
      <c r="B43" s="18">
        <v>42927</v>
      </c>
      <c r="C43" s="18" t="s">
        <v>453</v>
      </c>
      <c r="D43" s="21">
        <v>54</v>
      </c>
      <c r="E43" s="22">
        <v>1</v>
      </c>
      <c r="F43" s="18" t="s">
        <v>414</v>
      </c>
      <c r="G43" s="29" t="str">
        <f>VLOOKUP(C43,DATA!$A$2:$G$243,2,FALSE)</f>
        <v>Olive/Black Rope Laces</v>
      </c>
      <c r="H43" s="30">
        <f t="shared" si="0"/>
        <v>1</v>
      </c>
      <c r="I43" s="30">
        <f>VLOOKUP(C43,DATA!$A$2:$G$243,5,FALSE)</f>
        <v>7000</v>
      </c>
      <c r="J43" s="30">
        <f t="shared" si="2"/>
        <v>7000</v>
      </c>
      <c r="K43" s="31">
        <f>VLOOKUP(C43,DATA!$A$2:$G$243,3,FALSE)</f>
        <v>5.95</v>
      </c>
      <c r="L43" s="31">
        <f>VLOOKUP(C43,DATA!$A$2:$G$243,4,FALSE)</f>
        <v>2.3800000000000003</v>
      </c>
      <c r="M43" s="31">
        <f t="shared" si="1"/>
        <v>2.3800000000000003</v>
      </c>
      <c r="N43" s="25" t="str">
        <f>VLOOKUP(C43,DATA!$A$2:$G$243,6,FALSE)</f>
        <v>Rope Laces</v>
      </c>
      <c r="O43" s="16">
        <v>28605</v>
      </c>
    </row>
    <row r="44" spans="1:15" s="4" customFormat="1">
      <c r="A44" s="16" t="s">
        <v>6</v>
      </c>
      <c r="B44" s="18">
        <v>42927</v>
      </c>
      <c r="C44" s="18" t="s">
        <v>454</v>
      </c>
      <c r="D44" s="21">
        <v>30</v>
      </c>
      <c r="E44" s="22">
        <v>1</v>
      </c>
      <c r="F44" s="18" t="s">
        <v>414</v>
      </c>
      <c r="G44" s="29" t="str">
        <f>VLOOKUP(C44,DATA!$A$2:$G$243,2,FALSE)</f>
        <v>Pink/White Rope Laces</v>
      </c>
      <c r="H44" s="30">
        <f t="shared" si="0"/>
        <v>1</v>
      </c>
      <c r="I44" s="30">
        <f>VLOOKUP(C44,DATA!$A$2:$G$243,5,FALSE)</f>
        <v>7000</v>
      </c>
      <c r="J44" s="30">
        <f t="shared" si="2"/>
        <v>7000</v>
      </c>
      <c r="K44" s="31">
        <f>VLOOKUP(C44,DATA!$A$2:$G$243,3,FALSE)</f>
        <v>5.95</v>
      </c>
      <c r="L44" s="31">
        <f>VLOOKUP(C44,DATA!$A$2:$G$243,4,FALSE)</f>
        <v>2.3800000000000003</v>
      </c>
      <c r="M44" s="31">
        <f t="shared" si="1"/>
        <v>2.3800000000000003</v>
      </c>
      <c r="N44" s="25" t="str">
        <f>VLOOKUP(C44,DATA!$A$2:$G$243,6,FALSE)</f>
        <v>Rope Laces</v>
      </c>
      <c r="O44" s="16">
        <v>28605</v>
      </c>
    </row>
    <row r="45" spans="1:15" s="4" customFormat="1">
      <c r="A45" s="16" t="s">
        <v>6</v>
      </c>
      <c r="B45" s="18">
        <v>42927</v>
      </c>
      <c r="C45" s="18" t="s">
        <v>454</v>
      </c>
      <c r="D45" s="21">
        <v>36</v>
      </c>
      <c r="E45" s="22">
        <v>2</v>
      </c>
      <c r="F45" s="18" t="s">
        <v>414</v>
      </c>
      <c r="G45" s="29" t="str">
        <f>VLOOKUP(C45,DATA!$A$2:$G$243,2,FALSE)</f>
        <v>Pink/White Rope Laces</v>
      </c>
      <c r="H45" s="30">
        <f t="shared" si="0"/>
        <v>2</v>
      </c>
      <c r="I45" s="30">
        <f>VLOOKUP(C45,DATA!$A$2:$G$243,5,FALSE)</f>
        <v>7000</v>
      </c>
      <c r="J45" s="30">
        <f t="shared" si="2"/>
        <v>14000</v>
      </c>
      <c r="K45" s="31">
        <f>VLOOKUP(C45,DATA!$A$2:$G$243,3,FALSE)</f>
        <v>5.95</v>
      </c>
      <c r="L45" s="31">
        <f>VLOOKUP(C45,DATA!$A$2:$G$243,4,FALSE)</f>
        <v>2.3800000000000003</v>
      </c>
      <c r="M45" s="31">
        <f t="shared" si="1"/>
        <v>4.7600000000000007</v>
      </c>
      <c r="N45" s="25" t="str">
        <f>VLOOKUP(C45,DATA!$A$2:$G$243,6,FALSE)</f>
        <v>Rope Laces</v>
      </c>
      <c r="O45" s="16">
        <v>28605</v>
      </c>
    </row>
    <row r="46" spans="1:15" s="4" customFormat="1">
      <c r="A46" s="16" t="s">
        <v>6</v>
      </c>
      <c r="B46" s="18">
        <v>42927</v>
      </c>
      <c r="C46" s="18" t="s">
        <v>454</v>
      </c>
      <c r="D46" s="21">
        <v>45</v>
      </c>
      <c r="E46" s="22">
        <v>2</v>
      </c>
      <c r="F46" s="18" t="s">
        <v>414</v>
      </c>
      <c r="G46" s="29" t="str">
        <f>VLOOKUP(C46,DATA!$A$2:$G$243,2,FALSE)</f>
        <v>Pink/White Rope Laces</v>
      </c>
      <c r="H46" s="30">
        <f t="shared" si="0"/>
        <v>2</v>
      </c>
      <c r="I46" s="30">
        <f>VLOOKUP(C46,DATA!$A$2:$G$243,5,FALSE)</f>
        <v>7000</v>
      </c>
      <c r="J46" s="30">
        <f t="shared" si="2"/>
        <v>14000</v>
      </c>
      <c r="K46" s="31">
        <f>VLOOKUP(C46,DATA!$A$2:$G$243,3,FALSE)</f>
        <v>5.95</v>
      </c>
      <c r="L46" s="31">
        <f>VLOOKUP(C46,DATA!$A$2:$G$243,4,FALSE)</f>
        <v>2.3800000000000003</v>
      </c>
      <c r="M46" s="31">
        <f t="shared" si="1"/>
        <v>4.7600000000000007</v>
      </c>
      <c r="N46" s="25" t="str">
        <f>VLOOKUP(C46,DATA!$A$2:$G$243,6,FALSE)</f>
        <v>Rope Laces</v>
      </c>
      <c r="O46" s="16">
        <v>28605</v>
      </c>
    </row>
    <row r="47" spans="1:15" s="4" customFormat="1">
      <c r="A47" s="16" t="s">
        <v>6</v>
      </c>
      <c r="B47" s="18">
        <v>42927</v>
      </c>
      <c r="C47" s="18" t="s">
        <v>454</v>
      </c>
      <c r="D47" s="21">
        <v>54</v>
      </c>
      <c r="E47" s="22">
        <v>1</v>
      </c>
      <c r="F47" s="18" t="s">
        <v>414</v>
      </c>
      <c r="G47" s="29" t="str">
        <f>VLOOKUP(C47,DATA!$A$2:$G$243,2,FALSE)</f>
        <v>Pink/White Rope Laces</v>
      </c>
      <c r="H47" s="30">
        <f t="shared" si="0"/>
        <v>1</v>
      </c>
      <c r="I47" s="30">
        <f>VLOOKUP(C47,DATA!$A$2:$G$243,5,FALSE)</f>
        <v>7000</v>
      </c>
      <c r="J47" s="30">
        <f t="shared" si="2"/>
        <v>7000</v>
      </c>
      <c r="K47" s="31">
        <f>VLOOKUP(C47,DATA!$A$2:$G$243,3,FALSE)</f>
        <v>5.95</v>
      </c>
      <c r="L47" s="31">
        <f>VLOOKUP(C47,DATA!$A$2:$G$243,4,FALSE)</f>
        <v>2.3800000000000003</v>
      </c>
      <c r="M47" s="31">
        <f t="shared" si="1"/>
        <v>2.3800000000000003</v>
      </c>
      <c r="N47" s="25" t="str">
        <f>VLOOKUP(C47,DATA!$A$2:$G$243,6,FALSE)</f>
        <v>Rope Laces</v>
      </c>
      <c r="O47" s="16">
        <v>28605</v>
      </c>
    </row>
    <row r="48" spans="1:15" s="4" customFormat="1">
      <c r="A48" s="16" t="s">
        <v>6</v>
      </c>
      <c r="B48" s="18">
        <v>42927</v>
      </c>
      <c r="C48" s="18" t="s">
        <v>455</v>
      </c>
      <c r="D48" s="21">
        <v>36</v>
      </c>
      <c r="E48" s="22">
        <v>2</v>
      </c>
      <c r="F48" s="18" t="s">
        <v>414</v>
      </c>
      <c r="G48" s="29" t="str">
        <f>VLOOKUP(C48,DATA!$A$2:$G$243,2,FALSE)</f>
        <v>Mint Green/White Rope Laces</v>
      </c>
      <c r="H48" s="30">
        <f t="shared" si="0"/>
        <v>2</v>
      </c>
      <c r="I48" s="30">
        <f>VLOOKUP(C48,DATA!$A$2:$G$243,5,FALSE)</f>
        <v>7000</v>
      </c>
      <c r="J48" s="30">
        <f t="shared" si="2"/>
        <v>14000</v>
      </c>
      <c r="K48" s="31">
        <f>VLOOKUP(C48,DATA!$A$2:$G$243,3,FALSE)</f>
        <v>5.95</v>
      </c>
      <c r="L48" s="31">
        <f>VLOOKUP(C48,DATA!$A$2:$G$243,4,FALSE)</f>
        <v>2.3800000000000003</v>
      </c>
      <c r="M48" s="31">
        <f t="shared" si="1"/>
        <v>4.7600000000000007</v>
      </c>
      <c r="N48" s="25" t="str">
        <f>VLOOKUP(C48,DATA!$A$2:$G$243,6,FALSE)</f>
        <v>Rope Laces</v>
      </c>
      <c r="O48" s="16">
        <v>28605</v>
      </c>
    </row>
    <row r="49" spans="1:15" s="4" customFormat="1">
      <c r="A49" s="16" t="s">
        <v>6</v>
      </c>
      <c r="B49" s="18">
        <v>42927</v>
      </c>
      <c r="C49" s="18" t="s">
        <v>455</v>
      </c>
      <c r="D49" s="21">
        <v>45</v>
      </c>
      <c r="E49" s="22">
        <v>2</v>
      </c>
      <c r="F49" s="18" t="s">
        <v>414</v>
      </c>
      <c r="G49" s="29" t="str">
        <f>VLOOKUP(C49,DATA!$A$2:$G$243,2,FALSE)</f>
        <v>Mint Green/White Rope Laces</v>
      </c>
      <c r="H49" s="30">
        <f t="shared" si="0"/>
        <v>2</v>
      </c>
      <c r="I49" s="30">
        <f>VLOOKUP(C49,DATA!$A$2:$G$243,5,FALSE)</f>
        <v>7000</v>
      </c>
      <c r="J49" s="30">
        <f t="shared" si="2"/>
        <v>14000</v>
      </c>
      <c r="K49" s="31">
        <f>VLOOKUP(C49,DATA!$A$2:$G$243,3,FALSE)</f>
        <v>5.95</v>
      </c>
      <c r="L49" s="31">
        <f>VLOOKUP(C49,DATA!$A$2:$G$243,4,FALSE)</f>
        <v>2.3800000000000003</v>
      </c>
      <c r="M49" s="31">
        <f t="shared" si="1"/>
        <v>4.7600000000000007</v>
      </c>
      <c r="N49" s="25" t="str">
        <f>VLOOKUP(C49,DATA!$A$2:$G$243,6,FALSE)</f>
        <v>Rope Laces</v>
      </c>
      <c r="O49" s="16">
        <v>28605</v>
      </c>
    </row>
    <row r="50" spans="1:15" s="4" customFormat="1">
      <c r="A50" s="16" t="s">
        <v>6</v>
      </c>
      <c r="B50" s="18">
        <v>42927</v>
      </c>
      <c r="C50" s="18" t="s">
        <v>455</v>
      </c>
      <c r="D50" s="21">
        <v>54</v>
      </c>
      <c r="E50" s="22">
        <v>1</v>
      </c>
      <c r="F50" s="18" t="s">
        <v>414</v>
      </c>
      <c r="G50" s="29" t="str">
        <f>VLOOKUP(C50,DATA!$A$2:$G$243,2,FALSE)</f>
        <v>Mint Green/White Rope Laces</v>
      </c>
      <c r="H50" s="30">
        <f t="shared" si="0"/>
        <v>1</v>
      </c>
      <c r="I50" s="30">
        <f>VLOOKUP(C50,DATA!$A$2:$G$243,5,FALSE)</f>
        <v>7000</v>
      </c>
      <c r="J50" s="30">
        <f t="shared" si="2"/>
        <v>7000</v>
      </c>
      <c r="K50" s="31">
        <f>VLOOKUP(C50,DATA!$A$2:$G$243,3,FALSE)</f>
        <v>5.95</v>
      </c>
      <c r="L50" s="31">
        <f>VLOOKUP(C50,DATA!$A$2:$G$243,4,FALSE)</f>
        <v>2.3800000000000003</v>
      </c>
      <c r="M50" s="31">
        <f t="shared" si="1"/>
        <v>2.3800000000000003</v>
      </c>
      <c r="N50" s="25" t="str">
        <f>VLOOKUP(C50,DATA!$A$2:$G$243,6,FALSE)</f>
        <v>Rope Laces</v>
      </c>
      <c r="O50" s="16">
        <v>28605</v>
      </c>
    </row>
    <row r="51" spans="1:15" s="4" customFormat="1">
      <c r="A51" s="16" t="s">
        <v>6</v>
      </c>
      <c r="B51" s="18">
        <v>42927</v>
      </c>
      <c r="C51" s="18" t="s">
        <v>456</v>
      </c>
      <c r="D51" s="21">
        <v>36</v>
      </c>
      <c r="E51" s="22">
        <v>2</v>
      </c>
      <c r="F51" s="18" t="s">
        <v>414</v>
      </c>
      <c r="G51" s="29" t="str">
        <f>VLOOKUP(C51,DATA!$A$2:$G$243,2,FALSE)</f>
        <v>Volt/Black Rope Laces</v>
      </c>
      <c r="H51" s="30">
        <f t="shared" si="0"/>
        <v>2</v>
      </c>
      <c r="I51" s="30">
        <f>VLOOKUP(C51,DATA!$A$2:$G$243,5,FALSE)</f>
        <v>7000</v>
      </c>
      <c r="J51" s="30">
        <f t="shared" si="2"/>
        <v>14000</v>
      </c>
      <c r="K51" s="31">
        <f>VLOOKUP(C51,DATA!$A$2:$G$243,3,FALSE)</f>
        <v>5.95</v>
      </c>
      <c r="L51" s="31">
        <f>VLOOKUP(C51,DATA!$A$2:$G$243,4,FALSE)</f>
        <v>2.3800000000000003</v>
      </c>
      <c r="M51" s="31">
        <f t="shared" si="1"/>
        <v>4.7600000000000007</v>
      </c>
      <c r="N51" s="25" t="str">
        <f>VLOOKUP(C51,DATA!$A$2:$G$243,6,FALSE)</f>
        <v>Rope Laces</v>
      </c>
      <c r="O51" s="16">
        <v>28605</v>
      </c>
    </row>
    <row r="52" spans="1:15" s="4" customFormat="1">
      <c r="A52" s="16" t="s">
        <v>6</v>
      </c>
      <c r="B52" s="18">
        <v>42927</v>
      </c>
      <c r="C52" s="18" t="s">
        <v>456</v>
      </c>
      <c r="D52" s="21">
        <v>45</v>
      </c>
      <c r="E52" s="22">
        <v>2</v>
      </c>
      <c r="F52" s="18" t="s">
        <v>414</v>
      </c>
      <c r="G52" s="29" t="str">
        <f>VLOOKUP(C52,DATA!$A$2:$G$243,2,FALSE)</f>
        <v>Volt/Black Rope Laces</v>
      </c>
      <c r="H52" s="30">
        <f t="shared" si="0"/>
        <v>2</v>
      </c>
      <c r="I52" s="30">
        <f>VLOOKUP(C52,DATA!$A$2:$G$243,5,FALSE)</f>
        <v>7000</v>
      </c>
      <c r="J52" s="30">
        <f t="shared" si="2"/>
        <v>14000</v>
      </c>
      <c r="K52" s="31">
        <f>VLOOKUP(C52,DATA!$A$2:$G$243,3,FALSE)</f>
        <v>5.95</v>
      </c>
      <c r="L52" s="31">
        <f>VLOOKUP(C52,DATA!$A$2:$G$243,4,FALSE)</f>
        <v>2.3800000000000003</v>
      </c>
      <c r="M52" s="31">
        <f t="shared" si="1"/>
        <v>4.7600000000000007</v>
      </c>
      <c r="N52" s="25" t="str">
        <f>VLOOKUP(C52,DATA!$A$2:$G$243,6,FALSE)</f>
        <v>Rope Laces</v>
      </c>
      <c r="O52" s="16">
        <v>28605</v>
      </c>
    </row>
    <row r="53" spans="1:15" s="4" customFormat="1">
      <c r="A53" s="16" t="s">
        <v>6</v>
      </c>
      <c r="B53" s="18">
        <v>42927</v>
      </c>
      <c r="C53" s="18" t="s">
        <v>456</v>
      </c>
      <c r="D53" s="21">
        <v>54</v>
      </c>
      <c r="E53" s="22">
        <v>1</v>
      </c>
      <c r="F53" s="18" t="s">
        <v>414</v>
      </c>
      <c r="G53" s="29" t="str">
        <f>VLOOKUP(C53,DATA!$A$2:$G$243,2,FALSE)</f>
        <v>Volt/Black Rope Laces</v>
      </c>
      <c r="H53" s="30">
        <f t="shared" si="0"/>
        <v>1</v>
      </c>
      <c r="I53" s="30">
        <f>VLOOKUP(C53,DATA!$A$2:$G$243,5,FALSE)</f>
        <v>7000</v>
      </c>
      <c r="J53" s="30">
        <f t="shared" si="2"/>
        <v>7000</v>
      </c>
      <c r="K53" s="31">
        <f>VLOOKUP(C53,DATA!$A$2:$G$243,3,FALSE)</f>
        <v>5.95</v>
      </c>
      <c r="L53" s="31">
        <f>VLOOKUP(C53,DATA!$A$2:$G$243,4,FALSE)</f>
        <v>2.3800000000000003</v>
      </c>
      <c r="M53" s="31">
        <f t="shared" si="1"/>
        <v>2.3800000000000003</v>
      </c>
      <c r="N53" s="25" t="str">
        <f>VLOOKUP(C53,DATA!$A$2:$G$243,6,FALSE)</f>
        <v>Rope Laces</v>
      </c>
      <c r="O53" s="16">
        <v>28605</v>
      </c>
    </row>
    <row r="54" spans="1:15" s="4" customFormat="1">
      <c r="A54" s="16" t="s">
        <v>6</v>
      </c>
      <c r="B54" s="18">
        <v>42927</v>
      </c>
      <c r="C54" s="18" t="s">
        <v>457</v>
      </c>
      <c r="D54" s="21">
        <v>36</v>
      </c>
      <c r="E54" s="22">
        <v>2</v>
      </c>
      <c r="F54" s="18" t="s">
        <v>414</v>
      </c>
      <c r="G54" s="29" t="str">
        <f>VLOOKUP(C54,DATA!$A$2:$G$243,2,FALSE)</f>
        <v>Green/White Rope Laces</v>
      </c>
      <c r="H54" s="30">
        <f t="shared" si="0"/>
        <v>2</v>
      </c>
      <c r="I54" s="30">
        <f>VLOOKUP(C54,DATA!$A$2:$G$243,5,FALSE)</f>
        <v>7000</v>
      </c>
      <c r="J54" s="30">
        <f t="shared" si="2"/>
        <v>14000</v>
      </c>
      <c r="K54" s="31">
        <f>VLOOKUP(C54,DATA!$A$2:$G$243,3,FALSE)</f>
        <v>5.95</v>
      </c>
      <c r="L54" s="31">
        <f>VLOOKUP(C54,DATA!$A$2:$G$243,4,FALSE)</f>
        <v>2.3800000000000003</v>
      </c>
      <c r="M54" s="31">
        <f t="shared" si="1"/>
        <v>4.7600000000000007</v>
      </c>
      <c r="N54" s="25" t="str">
        <f>VLOOKUP(C54,DATA!$A$2:$G$243,6,FALSE)</f>
        <v>Rope Laces</v>
      </c>
      <c r="O54" s="16">
        <v>28605</v>
      </c>
    </row>
    <row r="55" spans="1:15" s="4" customFormat="1">
      <c r="A55" s="16" t="s">
        <v>6</v>
      </c>
      <c r="B55" s="18">
        <v>42927</v>
      </c>
      <c r="C55" s="18" t="s">
        <v>457</v>
      </c>
      <c r="D55" s="21">
        <v>45</v>
      </c>
      <c r="E55" s="22">
        <v>2</v>
      </c>
      <c r="F55" s="18" t="s">
        <v>414</v>
      </c>
      <c r="G55" s="29" t="str">
        <f>VLOOKUP(C55,DATA!$A$2:$G$243,2,FALSE)</f>
        <v>Green/White Rope Laces</v>
      </c>
      <c r="H55" s="30">
        <f t="shared" si="0"/>
        <v>2</v>
      </c>
      <c r="I55" s="30">
        <f>VLOOKUP(C55,DATA!$A$2:$G$243,5,FALSE)</f>
        <v>7000</v>
      </c>
      <c r="J55" s="30">
        <f t="shared" si="2"/>
        <v>14000</v>
      </c>
      <c r="K55" s="31">
        <f>VLOOKUP(C55,DATA!$A$2:$G$243,3,FALSE)</f>
        <v>5.95</v>
      </c>
      <c r="L55" s="31">
        <f>VLOOKUP(C55,DATA!$A$2:$G$243,4,FALSE)</f>
        <v>2.3800000000000003</v>
      </c>
      <c r="M55" s="31">
        <f t="shared" si="1"/>
        <v>4.7600000000000007</v>
      </c>
      <c r="N55" s="25" t="str">
        <f>VLOOKUP(C55,DATA!$A$2:$G$243,6,FALSE)</f>
        <v>Rope Laces</v>
      </c>
      <c r="O55" s="16">
        <v>28605</v>
      </c>
    </row>
    <row r="56" spans="1:15" s="4" customFormat="1">
      <c r="A56" s="16" t="s">
        <v>6</v>
      </c>
      <c r="B56" s="18">
        <v>42927</v>
      </c>
      <c r="C56" s="18" t="s">
        <v>457</v>
      </c>
      <c r="D56" s="21">
        <v>54</v>
      </c>
      <c r="E56" s="22">
        <v>1</v>
      </c>
      <c r="F56" s="18" t="s">
        <v>414</v>
      </c>
      <c r="G56" s="29" t="str">
        <f>VLOOKUP(C56,DATA!$A$2:$G$243,2,FALSE)</f>
        <v>Green/White Rope Laces</v>
      </c>
      <c r="H56" s="30">
        <f t="shared" si="0"/>
        <v>1</v>
      </c>
      <c r="I56" s="30">
        <f>VLOOKUP(C56,DATA!$A$2:$G$243,5,FALSE)</f>
        <v>7000</v>
      </c>
      <c r="J56" s="30">
        <f t="shared" si="2"/>
        <v>7000</v>
      </c>
      <c r="K56" s="31">
        <f>VLOOKUP(C56,DATA!$A$2:$G$243,3,FALSE)</f>
        <v>5.95</v>
      </c>
      <c r="L56" s="31">
        <f>VLOOKUP(C56,DATA!$A$2:$G$243,4,FALSE)</f>
        <v>2.3800000000000003</v>
      </c>
      <c r="M56" s="31">
        <f t="shared" si="1"/>
        <v>2.3800000000000003</v>
      </c>
      <c r="N56" s="25" t="str">
        <f>VLOOKUP(C56,DATA!$A$2:$G$243,6,FALSE)</f>
        <v>Rope Laces</v>
      </c>
      <c r="O56" s="16">
        <v>28605</v>
      </c>
    </row>
    <row r="57" spans="1:15" s="4" customFormat="1">
      <c r="A57" s="16" t="s">
        <v>6</v>
      </c>
      <c r="B57" s="18">
        <v>42927</v>
      </c>
      <c r="C57" s="18" t="s">
        <v>458</v>
      </c>
      <c r="D57" s="21">
        <v>45</v>
      </c>
      <c r="E57" s="22">
        <v>1</v>
      </c>
      <c r="F57" s="18" t="s">
        <v>414</v>
      </c>
      <c r="G57" s="29" t="str">
        <f>VLOOKUP(C57,DATA!$A$2:$G$243,2,FALSE)</f>
        <v>Black/Metallic Gold Rope Laces</v>
      </c>
      <c r="H57" s="30">
        <f t="shared" si="0"/>
        <v>1</v>
      </c>
      <c r="I57" s="30">
        <f>VLOOKUP(C57,DATA!$A$2:$G$243,5,FALSE)</f>
        <v>7000</v>
      </c>
      <c r="J57" s="30">
        <f t="shared" si="2"/>
        <v>7000</v>
      </c>
      <c r="K57" s="31">
        <f>VLOOKUP(C57,DATA!$A$2:$G$243,3,FALSE)</f>
        <v>5.95</v>
      </c>
      <c r="L57" s="31">
        <f>VLOOKUP(C57,DATA!$A$2:$G$243,4,FALSE)</f>
        <v>2.3800000000000003</v>
      </c>
      <c r="M57" s="31">
        <f t="shared" si="1"/>
        <v>2.3800000000000003</v>
      </c>
      <c r="N57" s="25" t="str">
        <f>VLOOKUP(C57,DATA!$A$2:$G$243,6,FALSE)</f>
        <v>Rope Laces</v>
      </c>
      <c r="O57" s="16">
        <v>28605</v>
      </c>
    </row>
    <row r="58" spans="1:15" s="4" customFormat="1">
      <c r="A58" s="16" t="s">
        <v>6</v>
      </c>
      <c r="B58" s="18">
        <v>42927</v>
      </c>
      <c r="C58" s="18" t="s">
        <v>458</v>
      </c>
      <c r="D58" s="21">
        <v>54</v>
      </c>
      <c r="E58" s="22">
        <v>1</v>
      </c>
      <c r="F58" s="18" t="s">
        <v>414</v>
      </c>
      <c r="G58" s="29" t="str">
        <f>VLOOKUP(C58,DATA!$A$2:$G$243,2,FALSE)</f>
        <v>Black/Metallic Gold Rope Laces</v>
      </c>
      <c r="H58" s="30">
        <f t="shared" si="0"/>
        <v>1</v>
      </c>
      <c r="I58" s="30">
        <f>VLOOKUP(C58,DATA!$A$2:$G$243,5,FALSE)</f>
        <v>7000</v>
      </c>
      <c r="J58" s="30">
        <f t="shared" si="2"/>
        <v>7000</v>
      </c>
      <c r="K58" s="31">
        <f>VLOOKUP(C58,DATA!$A$2:$G$243,3,FALSE)</f>
        <v>5.95</v>
      </c>
      <c r="L58" s="31">
        <f>VLOOKUP(C58,DATA!$A$2:$G$243,4,FALSE)</f>
        <v>2.3800000000000003</v>
      </c>
      <c r="M58" s="31">
        <f t="shared" si="1"/>
        <v>2.3800000000000003</v>
      </c>
      <c r="N58" s="25" t="str">
        <f>VLOOKUP(C58,DATA!$A$2:$G$243,6,FALSE)</f>
        <v>Rope Laces</v>
      </c>
      <c r="O58" s="16">
        <v>28605</v>
      </c>
    </row>
    <row r="59" spans="1:15" s="4" customFormat="1">
      <c r="A59" s="16" t="s">
        <v>6</v>
      </c>
      <c r="B59" s="18">
        <v>42927</v>
      </c>
      <c r="C59" s="18" t="s">
        <v>459</v>
      </c>
      <c r="D59" s="21">
        <v>30</v>
      </c>
      <c r="E59" s="22">
        <v>1</v>
      </c>
      <c r="F59" s="18" t="s">
        <v>414</v>
      </c>
      <c r="G59" s="29" t="str">
        <f>VLOOKUP(C59,DATA!$A$2:$G$243,2,FALSE)</f>
        <v>Columbia Blue/Black Rope Laces</v>
      </c>
      <c r="H59" s="30">
        <f t="shared" si="0"/>
        <v>1</v>
      </c>
      <c r="I59" s="30">
        <f>VLOOKUP(C59,DATA!$A$2:$G$243,5,FALSE)</f>
        <v>7000</v>
      </c>
      <c r="J59" s="30">
        <f t="shared" si="2"/>
        <v>7000</v>
      </c>
      <c r="K59" s="31">
        <f>VLOOKUP(C59,DATA!$A$2:$G$243,3,FALSE)</f>
        <v>5.95</v>
      </c>
      <c r="L59" s="31">
        <f>VLOOKUP(C59,DATA!$A$2:$G$243,4,FALSE)</f>
        <v>2.3800000000000003</v>
      </c>
      <c r="M59" s="31">
        <f t="shared" si="1"/>
        <v>2.3800000000000003</v>
      </c>
      <c r="N59" s="25" t="str">
        <f>VLOOKUP(C59,DATA!$A$2:$G$243,6,FALSE)</f>
        <v>Rope Laces</v>
      </c>
      <c r="O59" s="16">
        <v>28605</v>
      </c>
    </row>
    <row r="60" spans="1:15" s="4" customFormat="1">
      <c r="A60" s="16" t="s">
        <v>6</v>
      </c>
      <c r="B60" s="18">
        <v>42927</v>
      </c>
      <c r="C60" s="18" t="s">
        <v>459</v>
      </c>
      <c r="D60" s="21">
        <v>45</v>
      </c>
      <c r="E60" s="22">
        <v>2</v>
      </c>
      <c r="F60" s="18" t="s">
        <v>414</v>
      </c>
      <c r="G60" s="29" t="str">
        <f>VLOOKUP(C60,DATA!$A$2:$G$243,2,FALSE)</f>
        <v>Columbia Blue/Black Rope Laces</v>
      </c>
      <c r="H60" s="30">
        <f t="shared" si="0"/>
        <v>2</v>
      </c>
      <c r="I60" s="30">
        <f>VLOOKUP(C60,DATA!$A$2:$G$243,5,FALSE)</f>
        <v>7000</v>
      </c>
      <c r="J60" s="30">
        <f t="shared" si="2"/>
        <v>14000</v>
      </c>
      <c r="K60" s="31">
        <f>VLOOKUP(C60,DATA!$A$2:$G$243,3,FALSE)</f>
        <v>5.95</v>
      </c>
      <c r="L60" s="31">
        <f>VLOOKUP(C60,DATA!$A$2:$G$243,4,FALSE)</f>
        <v>2.3800000000000003</v>
      </c>
      <c r="M60" s="31">
        <f t="shared" si="1"/>
        <v>4.7600000000000007</v>
      </c>
      <c r="N60" s="25" t="str">
        <f>VLOOKUP(C60,DATA!$A$2:$G$243,6,FALSE)</f>
        <v>Rope Laces</v>
      </c>
      <c r="O60" s="16">
        <v>28605</v>
      </c>
    </row>
    <row r="61" spans="1:15" s="4" customFormat="1">
      <c r="A61" s="16" t="s">
        <v>6</v>
      </c>
      <c r="B61" s="18">
        <v>42927</v>
      </c>
      <c r="C61" s="18" t="s">
        <v>459</v>
      </c>
      <c r="D61" s="21">
        <v>54</v>
      </c>
      <c r="E61" s="22">
        <v>1</v>
      </c>
      <c r="F61" s="18" t="s">
        <v>414</v>
      </c>
      <c r="G61" s="29" t="str">
        <f>VLOOKUP(C61,DATA!$A$2:$G$243,2,FALSE)</f>
        <v>Columbia Blue/Black Rope Laces</v>
      </c>
      <c r="H61" s="30">
        <f t="shared" si="0"/>
        <v>1</v>
      </c>
      <c r="I61" s="30">
        <f>VLOOKUP(C61,DATA!$A$2:$G$243,5,FALSE)</f>
        <v>7000</v>
      </c>
      <c r="J61" s="30">
        <f t="shared" si="2"/>
        <v>7000</v>
      </c>
      <c r="K61" s="31">
        <f>VLOOKUP(C61,DATA!$A$2:$G$243,3,FALSE)</f>
        <v>5.95</v>
      </c>
      <c r="L61" s="31">
        <f>VLOOKUP(C61,DATA!$A$2:$G$243,4,FALSE)</f>
        <v>2.3800000000000003</v>
      </c>
      <c r="M61" s="31">
        <f t="shared" si="1"/>
        <v>2.3800000000000003</v>
      </c>
      <c r="N61" s="25" t="str">
        <f>VLOOKUP(C61,DATA!$A$2:$G$243,6,FALSE)</f>
        <v>Rope Laces</v>
      </c>
      <c r="O61" s="16">
        <v>28605</v>
      </c>
    </row>
    <row r="62" spans="1:15" s="4" customFormat="1">
      <c r="A62" s="16" t="s">
        <v>6</v>
      </c>
      <c r="B62" s="18">
        <v>42927</v>
      </c>
      <c r="C62" s="18" t="s">
        <v>460</v>
      </c>
      <c r="D62" s="21">
        <v>45</v>
      </c>
      <c r="E62" s="22">
        <v>1</v>
      </c>
      <c r="F62" s="18" t="s">
        <v>414</v>
      </c>
      <c r="G62" s="29" t="str">
        <f>VLOOKUP(C62,DATA!$A$2:$G$243,2,FALSE)</f>
        <v>Red/Orange Rope Laces</v>
      </c>
      <c r="H62" s="30">
        <f t="shared" si="0"/>
        <v>1</v>
      </c>
      <c r="I62" s="30">
        <f>VLOOKUP(C62,DATA!$A$2:$G$243,5,FALSE)</f>
        <v>7000</v>
      </c>
      <c r="J62" s="30">
        <f t="shared" si="2"/>
        <v>7000</v>
      </c>
      <c r="K62" s="31">
        <f>VLOOKUP(C62,DATA!$A$2:$G$243,3,FALSE)</f>
        <v>5.95</v>
      </c>
      <c r="L62" s="31">
        <f>VLOOKUP(C62,DATA!$A$2:$G$243,4,FALSE)</f>
        <v>2.3800000000000003</v>
      </c>
      <c r="M62" s="31">
        <f t="shared" si="1"/>
        <v>2.3800000000000003</v>
      </c>
      <c r="N62" s="25" t="str">
        <f>VLOOKUP(C62,DATA!$A$2:$G$243,6,FALSE)</f>
        <v>Rope Laces</v>
      </c>
      <c r="O62" s="16">
        <v>28605</v>
      </c>
    </row>
    <row r="63" spans="1:15" s="4" customFormat="1">
      <c r="A63" s="16" t="s">
        <v>6</v>
      </c>
      <c r="B63" s="18">
        <v>42927</v>
      </c>
      <c r="C63" s="18" t="s">
        <v>460</v>
      </c>
      <c r="D63" s="21">
        <v>54</v>
      </c>
      <c r="E63" s="22">
        <v>1</v>
      </c>
      <c r="F63" s="18" t="s">
        <v>414</v>
      </c>
      <c r="G63" s="29" t="str">
        <f>VLOOKUP(C63,DATA!$A$2:$G$243,2,FALSE)</f>
        <v>Red/Orange Rope Laces</v>
      </c>
      <c r="H63" s="30">
        <f t="shared" si="0"/>
        <v>1</v>
      </c>
      <c r="I63" s="30">
        <f>VLOOKUP(C63,DATA!$A$2:$G$243,5,FALSE)</f>
        <v>7000</v>
      </c>
      <c r="J63" s="30">
        <f t="shared" si="2"/>
        <v>7000</v>
      </c>
      <c r="K63" s="31">
        <f>VLOOKUP(C63,DATA!$A$2:$G$243,3,FALSE)</f>
        <v>5.95</v>
      </c>
      <c r="L63" s="31">
        <f>VLOOKUP(C63,DATA!$A$2:$G$243,4,FALSE)</f>
        <v>2.3800000000000003</v>
      </c>
      <c r="M63" s="31">
        <f t="shared" si="1"/>
        <v>2.3800000000000003</v>
      </c>
      <c r="N63" s="25" t="str">
        <f>VLOOKUP(C63,DATA!$A$2:$G$243,6,FALSE)</f>
        <v>Rope Laces</v>
      </c>
      <c r="O63" s="16">
        <v>28605</v>
      </c>
    </row>
    <row r="64" spans="1:15" s="4" customFormat="1">
      <c r="A64" s="16" t="s">
        <v>6</v>
      </c>
      <c r="B64" s="18">
        <v>42927</v>
      </c>
      <c r="C64" s="18" t="s">
        <v>461</v>
      </c>
      <c r="D64" s="21">
        <v>36</v>
      </c>
      <c r="E64" s="22">
        <v>2</v>
      </c>
      <c r="F64" s="18" t="s">
        <v>414</v>
      </c>
      <c r="G64" s="29" t="str">
        <f>VLOOKUP(C64,DATA!$A$2:$G$243,2,FALSE)</f>
        <v>Infrapink/Black Rope Laces</v>
      </c>
      <c r="H64" s="30">
        <f t="shared" si="0"/>
        <v>2</v>
      </c>
      <c r="I64" s="30">
        <f>VLOOKUP(C64,DATA!$A$2:$G$243,5,FALSE)</f>
        <v>7000</v>
      </c>
      <c r="J64" s="30">
        <f t="shared" si="2"/>
        <v>14000</v>
      </c>
      <c r="K64" s="31">
        <f>VLOOKUP(C64,DATA!$A$2:$G$243,3,FALSE)</f>
        <v>5.95</v>
      </c>
      <c r="L64" s="31">
        <f>VLOOKUP(C64,DATA!$A$2:$G$243,4,FALSE)</f>
        <v>2.3800000000000003</v>
      </c>
      <c r="M64" s="31">
        <f t="shared" si="1"/>
        <v>4.7600000000000007</v>
      </c>
      <c r="N64" s="25" t="str">
        <f>VLOOKUP(C64,DATA!$A$2:$G$243,6,FALSE)</f>
        <v>Rope Laces</v>
      </c>
      <c r="O64" s="16">
        <v>28605</v>
      </c>
    </row>
    <row r="65" spans="1:15" s="4" customFormat="1">
      <c r="A65" s="16" t="s">
        <v>6</v>
      </c>
      <c r="B65" s="18">
        <v>42927</v>
      </c>
      <c r="C65" s="18" t="s">
        <v>461</v>
      </c>
      <c r="D65" s="21">
        <v>45</v>
      </c>
      <c r="E65" s="22">
        <v>2</v>
      </c>
      <c r="F65" s="18" t="s">
        <v>414</v>
      </c>
      <c r="G65" s="29" t="str">
        <f>VLOOKUP(C65,DATA!$A$2:$G$243,2,FALSE)</f>
        <v>Infrapink/Black Rope Laces</v>
      </c>
      <c r="H65" s="30">
        <f t="shared" si="0"/>
        <v>2</v>
      </c>
      <c r="I65" s="30">
        <f>VLOOKUP(C65,DATA!$A$2:$G$243,5,FALSE)</f>
        <v>7000</v>
      </c>
      <c r="J65" s="30">
        <f t="shared" si="2"/>
        <v>14000</v>
      </c>
      <c r="K65" s="31">
        <f>VLOOKUP(C65,DATA!$A$2:$G$243,3,FALSE)</f>
        <v>5.95</v>
      </c>
      <c r="L65" s="31">
        <f>VLOOKUP(C65,DATA!$A$2:$G$243,4,FALSE)</f>
        <v>2.3800000000000003</v>
      </c>
      <c r="M65" s="31">
        <f t="shared" si="1"/>
        <v>4.7600000000000007</v>
      </c>
      <c r="N65" s="25" t="str">
        <f>VLOOKUP(C65,DATA!$A$2:$G$243,6,FALSE)</f>
        <v>Rope Laces</v>
      </c>
      <c r="O65" s="16">
        <v>28605</v>
      </c>
    </row>
    <row r="66" spans="1:15" s="4" customFormat="1">
      <c r="A66" s="16" t="s">
        <v>6</v>
      </c>
      <c r="B66" s="18">
        <v>42927</v>
      </c>
      <c r="C66" s="18" t="s">
        <v>461</v>
      </c>
      <c r="D66" s="21">
        <v>54</v>
      </c>
      <c r="E66" s="22">
        <v>1</v>
      </c>
      <c r="F66" s="18" t="s">
        <v>414</v>
      </c>
      <c r="G66" s="29" t="str">
        <f>VLOOKUP(C66,DATA!$A$2:$G$243,2,FALSE)</f>
        <v>Infrapink/Black Rope Laces</v>
      </c>
      <c r="H66" s="30">
        <f t="shared" ref="H66:H129" si="3">IF(F66="입",E66,-1*E66)</f>
        <v>1</v>
      </c>
      <c r="I66" s="30">
        <f>VLOOKUP(C66,DATA!$A$2:$G$243,5,FALSE)</f>
        <v>7000</v>
      </c>
      <c r="J66" s="30">
        <f t="shared" si="2"/>
        <v>7000</v>
      </c>
      <c r="K66" s="31">
        <f>VLOOKUP(C66,DATA!$A$2:$G$243,3,FALSE)</f>
        <v>5.95</v>
      </c>
      <c r="L66" s="31">
        <f>VLOOKUP(C66,DATA!$A$2:$G$243,4,FALSE)</f>
        <v>2.3800000000000003</v>
      </c>
      <c r="M66" s="31">
        <f t="shared" ref="M66:M129" si="4">L66*E66</f>
        <v>2.3800000000000003</v>
      </c>
      <c r="N66" s="25" t="str">
        <f>VLOOKUP(C66,DATA!$A$2:$G$243,6,FALSE)</f>
        <v>Rope Laces</v>
      </c>
      <c r="O66" s="16">
        <v>28605</v>
      </c>
    </row>
    <row r="67" spans="1:15" s="4" customFormat="1">
      <c r="A67" s="16" t="s">
        <v>6</v>
      </c>
      <c r="B67" s="18">
        <v>42927</v>
      </c>
      <c r="C67" s="18" t="s">
        <v>462</v>
      </c>
      <c r="D67" s="21">
        <v>36</v>
      </c>
      <c r="E67" s="22">
        <v>1</v>
      </c>
      <c r="F67" s="18" t="s">
        <v>414</v>
      </c>
      <c r="G67" s="29" t="str">
        <f>VLOOKUP(C67,DATA!$A$2:$G$243,2,FALSE)</f>
        <v>Hot Pink/Black Rope Laces</v>
      </c>
      <c r="H67" s="30">
        <f t="shared" si="3"/>
        <v>1</v>
      </c>
      <c r="I67" s="30">
        <f>VLOOKUP(C67,DATA!$A$2:$G$243,5,FALSE)</f>
        <v>7000</v>
      </c>
      <c r="J67" s="30">
        <f t="shared" ref="J67:J130" si="5">I67*E67</f>
        <v>7000</v>
      </c>
      <c r="K67" s="31">
        <f>VLOOKUP(C67,DATA!$A$2:$G$243,3,FALSE)</f>
        <v>5.95</v>
      </c>
      <c r="L67" s="31">
        <f>VLOOKUP(C67,DATA!$A$2:$G$243,4,FALSE)</f>
        <v>2.3800000000000003</v>
      </c>
      <c r="M67" s="31">
        <f t="shared" si="4"/>
        <v>2.3800000000000003</v>
      </c>
      <c r="N67" s="25" t="str">
        <f>VLOOKUP(C67,DATA!$A$2:$G$243,6,FALSE)</f>
        <v>Rope Laces</v>
      </c>
      <c r="O67" s="16">
        <v>28605</v>
      </c>
    </row>
    <row r="68" spans="1:15" s="4" customFormat="1">
      <c r="A68" s="16" t="s">
        <v>6</v>
      </c>
      <c r="B68" s="18">
        <v>42927</v>
      </c>
      <c r="C68" s="18" t="s">
        <v>462</v>
      </c>
      <c r="D68" s="21">
        <v>45</v>
      </c>
      <c r="E68" s="22">
        <v>1</v>
      </c>
      <c r="F68" s="18" t="s">
        <v>414</v>
      </c>
      <c r="G68" s="29" t="str">
        <f>VLOOKUP(C68,DATA!$A$2:$G$243,2,FALSE)</f>
        <v>Hot Pink/Black Rope Laces</v>
      </c>
      <c r="H68" s="30">
        <f t="shared" si="3"/>
        <v>1</v>
      </c>
      <c r="I68" s="30">
        <f>VLOOKUP(C68,DATA!$A$2:$G$243,5,FALSE)</f>
        <v>7000</v>
      </c>
      <c r="J68" s="30">
        <f t="shared" si="5"/>
        <v>7000</v>
      </c>
      <c r="K68" s="31">
        <f>VLOOKUP(C68,DATA!$A$2:$G$243,3,FALSE)</f>
        <v>5.95</v>
      </c>
      <c r="L68" s="31">
        <f>VLOOKUP(C68,DATA!$A$2:$G$243,4,FALSE)</f>
        <v>2.3800000000000003</v>
      </c>
      <c r="M68" s="31">
        <f t="shared" si="4"/>
        <v>2.3800000000000003</v>
      </c>
      <c r="N68" s="25" t="str">
        <f>VLOOKUP(C68,DATA!$A$2:$G$243,6,FALSE)</f>
        <v>Rope Laces</v>
      </c>
      <c r="O68" s="16">
        <v>28605</v>
      </c>
    </row>
    <row r="69" spans="1:15" s="4" customFormat="1">
      <c r="A69" s="16" t="s">
        <v>6</v>
      </c>
      <c r="B69" s="18">
        <v>42927</v>
      </c>
      <c r="C69" s="18" t="s">
        <v>462</v>
      </c>
      <c r="D69" s="21">
        <v>54</v>
      </c>
      <c r="E69" s="22">
        <v>1</v>
      </c>
      <c r="F69" s="18" t="s">
        <v>414</v>
      </c>
      <c r="G69" s="29" t="str">
        <f>VLOOKUP(C69,DATA!$A$2:$G$243,2,FALSE)</f>
        <v>Hot Pink/Black Rope Laces</v>
      </c>
      <c r="H69" s="30">
        <f t="shared" si="3"/>
        <v>1</v>
      </c>
      <c r="I69" s="30">
        <f>VLOOKUP(C69,DATA!$A$2:$G$243,5,FALSE)</f>
        <v>7000</v>
      </c>
      <c r="J69" s="30">
        <f t="shared" si="5"/>
        <v>7000</v>
      </c>
      <c r="K69" s="31">
        <f>VLOOKUP(C69,DATA!$A$2:$G$243,3,FALSE)</f>
        <v>5.95</v>
      </c>
      <c r="L69" s="31">
        <f>VLOOKUP(C69,DATA!$A$2:$G$243,4,FALSE)</f>
        <v>2.3800000000000003</v>
      </c>
      <c r="M69" s="31">
        <f t="shared" si="4"/>
        <v>2.3800000000000003</v>
      </c>
      <c r="N69" s="25" t="str">
        <f>VLOOKUP(C69,DATA!$A$2:$G$243,6,FALSE)</f>
        <v>Rope Laces</v>
      </c>
      <c r="O69" s="16">
        <v>28605</v>
      </c>
    </row>
    <row r="70" spans="1:15" s="4" customFormat="1">
      <c r="A70" s="16" t="s">
        <v>6</v>
      </c>
      <c r="B70" s="18">
        <v>42927</v>
      </c>
      <c r="C70" s="18" t="s">
        <v>463</v>
      </c>
      <c r="D70" s="21">
        <v>45</v>
      </c>
      <c r="E70" s="22">
        <v>1</v>
      </c>
      <c r="F70" s="18" t="s">
        <v>414</v>
      </c>
      <c r="G70" s="29" t="str">
        <f>VLOOKUP(C70,DATA!$A$2:$G$243,2,FALSE)</f>
        <v>Purple/Black Rope Laces</v>
      </c>
      <c r="H70" s="30">
        <f t="shared" si="3"/>
        <v>1</v>
      </c>
      <c r="I70" s="30">
        <f>VLOOKUP(C70,DATA!$A$2:$G$243,5,FALSE)</f>
        <v>7000</v>
      </c>
      <c r="J70" s="30">
        <f t="shared" si="5"/>
        <v>7000</v>
      </c>
      <c r="K70" s="31">
        <f>VLOOKUP(C70,DATA!$A$2:$G$243,3,FALSE)</f>
        <v>5.95</v>
      </c>
      <c r="L70" s="31">
        <f>VLOOKUP(C70,DATA!$A$2:$G$243,4,FALSE)</f>
        <v>2.3800000000000003</v>
      </c>
      <c r="M70" s="31">
        <f t="shared" si="4"/>
        <v>2.3800000000000003</v>
      </c>
      <c r="N70" s="25" t="str">
        <f>VLOOKUP(C70,DATA!$A$2:$G$243,6,FALSE)</f>
        <v>Rope Laces</v>
      </c>
      <c r="O70" s="16">
        <v>28605</v>
      </c>
    </row>
    <row r="71" spans="1:15" s="4" customFormat="1">
      <c r="A71" s="16" t="s">
        <v>6</v>
      </c>
      <c r="B71" s="18">
        <v>42927</v>
      </c>
      <c r="C71" s="18" t="s">
        <v>463</v>
      </c>
      <c r="D71" s="21">
        <v>54</v>
      </c>
      <c r="E71" s="22">
        <v>1</v>
      </c>
      <c r="F71" s="18" t="s">
        <v>414</v>
      </c>
      <c r="G71" s="29" t="str">
        <f>VLOOKUP(C71,DATA!$A$2:$G$243,2,FALSE)</f>
        <v>Purple/Black Rope Laces</v>
      </c>
      <c r="H71" s="30">
        <f t="shared" si="3"/>
        <v>1</v>
      </c>
      <c r="I71" s="30">
        <f>VLOOKUP(C71,DATA!$A$2:$G$243,5,FALSE)</f>
        <v>7000</v>
      </c>
      <c r="J71" s="30">
        <f t="shared" si="5"/>
        <v>7000</v>
      </c>
      <c r="K71" s="31">
        <f>VLOOKUP(C71,DATA!$A$2:$G$243,3,FALSE)</f>
        <v>5.95</v>
      </c>
      <c r="L71" s="31">
        <f>VLOOKUP(C71,DATA!$A$2:$G$243,4,FALSE)</f>
        <v>2.3800000000000003</v>
      </c>
      <c r="M71" s="31">
        <f t="shared" si="4"/>
        <v>2.3800000000000003</v>
      </c>
      <c r="N71" s="25" t="str">
        <f>VLOOKUP(C71,DATA!$A$2:$G$243,6,FALSE)</f>
        <v>Rope Laces</v>
      </c>
      <c r="O71" s="16">
        <v>28605</v>
      </c>
    </row>
    <row r="72" spans="1:15" s="4" customFormat="1">
      <c r="A72" s="16" t="s">
        <v>6</v>
      </c>
      <c r="B72" s="18">
        <v>42927</v>
      </c>
      <c r="C72" s="18" t="s">
        <v>464</v>
      </c>
      <c r="D72" s="21">
        <v>45</v>
      </c>
      <c r="E72" s="22">
        <v>1</v>
      </c>
      <c r="F72" s="18" t="s">
        <v>414</v>
      </c>
      <c r="G72" s="29" t="str">
        <f>VLOOKUP(C72,DATA!$A$2:$G$243,2,FALSE)</f>
        <v>Yellow/Black Rope Laces</v>
      </c>
      <c r="H72" s="30">
        <f t="shared" si="3"/>
        <v>1</v>
      </c>
      <c r="I72" s="30">
        <f>VLOOKUP(C72,DATA!$A$2:$G$243,5,FALSE)</f>
        <v>7000</v>
      </c>
      <c r="J72" s="30">
        <f t="shared" si="5"/>
        <v>7000</v>
      </c>
      <c r="K72" s="31">
        <f>VLOOKUP(C72,DATA!$A$2:$G$243,3,FALSE)</f>
        <v>5.95</v>
      </c>
      <c r="L72" s="31">
        <f>VLOOKUP(C72,DATA!$A$2:$G$243,4,FALSE)</f>
        <v>2.3800000000000003</v>
      </c>
      <c r="M72" s="31">
        <f t="shared" si="4"/>
        <v>2.3800000000000003</v>
      </c>
      <c r="N72" s="25" t="str">
        <f>VLOOKUP(C72,DATA!$A$2:$G$243,6,FALSE)</f>
        <v>Rope Laces</v>
      </c>
      <c r="O72" s="16">
        <v>28605</v>
      </c>
    </row>
    <row r="73" spans="1:15" s="4" customFormat="1">
      <c r="A73" s="16" t="s">
        <v>6</v>
      </c>
      <c r="B73" s="18">
        <v>42927</v>
      </c>
      <c r="C73" s="18" t="s">
        <v>464</v>
      </c>
      <c r="D73" s="21">
        <v>54</v>
      </c>
      <c r="E73" s="22">
        <v>1</v>
      </c>
      <c r="F73" s="18" t="s">
        <v>414</v>
      </c>
      <c r="G73" s="29" t="str">
        <f>VLOOKUP(C73,DATA!$A$2:$G$243,2,FALSE)</f>
        <v>Yellow/Black Rope Laces</v>
      </c>
      <c r="H73" s="30">
        <f t="shared" si="3"/>
        <v>1</v>
      </c>
      <c r="I73" s="30">
        <f>VLOOKUP(C73,DATA!$A$2:$G$243,5,FALSE)</f>
        <v>7000</v>
      </c>
      <c r="J73" s="30">
        <f t="shared" si="5"/>
        <v>7000</v>
      </c>
      <c r="K73" s="31">
        <f>VLOOKUP(C73,DATA!$A$2:$G$243,3,FALSE)</f>
        <v>5.95</v>
      </c>
      <c r="L73" s="31">
        <f>VLOOKUP(C73,DATA!$A$2:$G$243,4,FALSE)</f>
        <v>2.3800000000000003</v>
      </c>
      <c r="M73" s="31">
        <f t="shared" si="4"/>
        <v>2.3800000000000003</v>
      </c>
      <c r="N73" s="25" t="str">
        <f>VLOOKUP(C73,DATA!$A$2:$G$243,6,FALSE)</f>
        <v>Rope Laces</v>
      </c>
      <c r="O73" s="16">
        <v>28605</v>
      </c>
    </row>
    <row r="74" spans="1:15" s="4" customFormat="1">
      <c r="A74" s="16" t="s">
        <v>6</v>
      </c>
      <c r="B74" s="18">
        <v>42927</v>
      </c>
      <c r="C74" s="18" t="s">
        <v>465</v>
      </c>
      <c r="D74" s="21">
        <v>45</v>
      </c>
      <c r="E74" s="22">
        <v>1</v>
      </c>
      <c r="F74" s="18" t="s">
        <v>414</v>
      </c>
      <c r="G74" s="29" t="str">
        <f>VLOOKUP(C74,DATA!$A$2:$G$243,2,FALSE)</f>
        <v>Yellow/White Rope Laces</v>
      </c>
      <c r="H74" s="30">
        <f t="shared" si="3"/>
        <v>1</v>
      </c>
      <c r="I74" s="30">
        <f>VLOOKUP(C74,DATA!$A$2:$G$243,5,FALSE)</f>
        <v>7000</v>
      </c>
      <c r="J74" s="30">
        <f t="shared" si="5"/>
        <v>7000</v>
      </c>
      <c r="K74" s="31">
        <f>VLOOKUP(C74,DATA!$A$2:$G$243,3,FALSE)</f>
        <v>5.95</v>
      </c>
      <c r="L74" s="31">
        <f>VLOOKUP(C74,DATA!$A$2:$G$243,4,FALSE)</f>
        <v>2.3800000000000003</v>
      </c>
      <c r="M74" s="31">
        <f t="shared" si="4"/>
        <v>2.3800000000000003</v>
      </c>
      <c r="N74" s="25" t="str">
        <f>VLOOKUP(C74,DATA!$A$2:$G$243,6,FALSE)</f>
        <v>Rope Laces</v>
      </c>
      <c r="O74" s="16">
        <v>28605</v>
      </c>
    </row>
    <row r="75" spans="1:15" s="4" customFormat="1">
      <c r="A75" s="16" t="s">
        <v>6</v>
      </c>
      <c r="B75" s="18">
        <v>42927</v>
      </c>
      <c r="C75" s="18" t="s">
        <v>465</v>
      </c>
      <c r="D75" s="21">
        <v>54</v>
      </c>
      <c r="E75" s="22">
        <v>1</v>
      </c>
      <c r="F75" s="18" t="s">
        <v>414</v>
      </c>
      <c r="G75" s="29" t="str">
        <f>VLOOKUP(C75,DATA!$A$2:$G$243,2,FALSE)</f>
        <v>Yellow/White Rope Laces</v>
      </c>
      <c r="H75" s="30">
        <f t="shared" si="3"/>
        <v>1</v>
      </c>
      <c r="I75" s="30">
        <f>VLOOKUP(C75,DATA!$A$2:$G$243,5,FALSE)</f>
        <v>7000</v>
      </c>
      <c r="J75" s="30">
        <f t="shared" si="5"/>
        <v>7000</v>
      </c>
      <c r="K75" s="31">
        <f>VLOOKUP(C75,DATA!$A$2:$G$243,3,FALSE)</f>
        <v>5.95</v>
      </c>
      <c r="L75" s="31">
        <f>VLOOKUP(C75,DATA!$A$2:$G$243,4,FALSE)</f>
        <v>2.3800000000000003</v>
      </c>
      <c r="M75" s="31">
        <f t="shared" si="4"/>
        <v>2.3800000000000003</v>
      </c>
      <c r="N75" s="25" t="str">
        <f>VLOOKUP(C75,DATA!$A$2:$G$243,6,FALSE)</f>
        <v>Rope Laces</v>
      </c>
      <c r="O75" s="16">
        <v>28605</v>
      </c>
    </row>
    <row r="76" spans="1:15" s="4" customFormat="1">
      <c r="A76" s="16" t="s">
        <v>6</v>
      </c>
      <c r="B76" s="18">
        <v>42927</v>
      </c>
      <c r="C76" s="18" t="s">
        <v>466</v>
      </c>
      <c r="D76" s="21">
        <v>45</v>
      </c>
      <c r="E76" s="22">
        <v>1</v>
      </c>
      <c r="F76" s="18" t="s">
        <v>414</v>
      </c>
      <c r="G76" s="29" t="str">
        <f>VLOOKUP(C76,DATA!$A$2:$G$243,2,FALSE)</f>
        <v>Black/Tan Rope Laces</v>
      </c>
      <c r="H76" s="30">
        <f t="shared" si="3"/>
        <v>1</v>
      </c>
      <c r="I76" s="30">
        <f>VLOOKUP(C76,DATA!$A$2:$G$243,5,FALSE)</f>
        <v>7000</v>
      </c>
      <c r="J76" s="30">
        <f t="shared" si="5"/>
        <v>7000</v>
      </c>
      <c r="K76" s="31">
        <f>VLOOKUP(C76,DATA!$A$2:$G$243,3,FALSE)</f>
        <v>5.95</v>
      </c>
      <c r="L76" s="31">
        <f>VLOOKUP(C76,DATA!$A$2:$G$243,4,FALSE)</f>
        <v>2.3800000000000003</v>
      </c>
      <c r="M76" s="31">
        <f t="shared" si="4"/>
        <v>2.3800000000000003</v>
      </c>
      <c r="N76" s="25" t="str">
        <f>VLOOKUP(C76,DATA!$A$2:$G$243,6,FALSE)</f>
        <v>Rope Laces</v>
      </c>
      <c r="O76" s="16">
        <v>28605</v>
      </c>
    </row>
    <row r="77" spans="1:15" s="4" customFormat="1">
      <c r="A77" s="16" t="s">
        <v>6</v>
      </c>
      <c r="B77" s="18">
        <v>42927</v>
      </c>
      <c r="C77" s="18" t="s">
        <v>466</v>
      </c>
      <c r="D77" s="21">
        <v>54</v>
      </c>
      <c r="E77" s="22">
        <v>1</v>
      </c>
      <c r="F77" s="18" t="s">
        <v>414</v>
      </c>
      <c r="G77" s="29" t="str">
        <f>VLOOKUP(C77,DATA!$A$2:$G$243,2,FALSE)</f>
        <v>Black/Tan Rope Laces</v>
      </c>
      <c r="H77" s="30">
        <f t="shared" si="3"/>
        <v>1</v>
      </c>
      <c r="I77" s="30">
        <f>VLOOKUP(C77,DATA!$A$2:$G$243,5,FALSE)</f>
        <v>7000</v>
      </c>
      <c r="J77" s="30">
        <f t="shared" si="5"/>
        <v>7000</v>
      </c>
      <c r="K77" s="31">
        <f>VLOOKUP(C77,DATA!$A$2:$G$243,3,FALSE)</f>
        <v>5.95</v>
      </c>
      <c r="L77" s="31">
        <f>VLOOKUP(C77,DATA!$A$2:$G$243,4,FALSE)</f>
        <v>2.3800000000000003</v>
      </c>
      <c r="M77" s="31">
        <f t="shared" si="4"/>
        <v>2.3800000000000003</v>
      </c>
      <c r="N77" s="25" t="str">
        <f>VLOOKUP(C77,DATA!$A$2:$G$243,6,FALSE)</f>
        <v>Rope Laces</v>
      </c>
      <c r="O77" s="16">
        <v>28605</v>
      </c>
    </row>
    <row r="78" spans="1:15" s="4" customFormat="1">
      <c r="A78" s="16" t="s">
        <v>6</v>
      </c>
      <c r="B78" s="18">
        <v>42927</v>
      </c>
      <c r="C78" s="18" t="s">
        <v>467</v>
      </c>
      <c r="D78" s="21">
        <v>45</v>
      </c>
      <c r="E78" s="22">
        <v>1</v>
      </c>
      <c r="F78" s="18" t="s">
        <v>414</v>
      </c>
      <c r="G78" s="29" t="str">
        <f>VLOOKUP(C78,DATA!$A$2:$G$243,2,FALSE)</f>
        <v>Cream/White Rope Laces</v>
      </c>
      <c r="H78" s="30">
        <f t="shared" si="3"/>
        <v>1</v>
      </c>
      <c r="I78" s="30">
        <f>VLOOKUP(C78,DATA!$A$2:$G$243,5,FALSE)</f>
        <v>7000</v>
      </c>
      <c r="J78" s="30">
        <f t="shared" si="5"/>
        <v>7000</v>
      </c>
      <c r="K78" s="31">
        <f>VLOOKUP(C78,DATA!$A$2:$G$243,3,FALSE)</f>
        <v>5.95</v>
      </c>
      <c r="L78" s="31">
        <f>VLOOKUP(C78,DATA!$A$2:$G$243,4,FALSE)</f>
        <v>2.3800000000000003</v>
      </c>
      <c r="M78" s="31">
        <f t="shared" si="4"/>
        <v>2.3800000000000003</v>
      </c>
      <c r="N78" s="25" t="str">
        <f>VLOOKUP(C78,DATA!$A$2:$G$243,6,FALSE)</f>
        <v>Rope Laces</v>
      </c>
      <c r="O78" s="16">
        <v>28605</v>
      </c>
    </row>
    <row r="79" spans="1:15" s="4" customFormat="1">
      <c r="A79" s="16" t="s">
        <v>6</v>
      </c>
      <c r="B79" s="18">
        <v>42927</v>
      </c>
      <c r="C79" s="18" t="s">
        <v>467</v>
      </c>
      <c r="D79" s="21">
        <v>54</v>
      </c>
      <c r="E79" s="22">
        <v>1</v>
      </c>
      <c r="F79" s="18" t="s">
        <v>414</v>
      </c>
      <c r="G79" s="29" t="str">
        <f>VLOOKUP(C79,DATA!$A$2:$G$243,2,FALSE)</f>
        <v>Cream/White Rope Laces</v>
      </c>
      <c r="H79" s="30">
        <f t="shared" si="3"/>
        <v>1</v>
      </c>
      <c r="I79" s="30">
        <f>VLOOKUP(C79,DATA!$A$2:$G$243,5,FALSE)</f>
        <v>7000</v>
      </c>
      <c r="J79" s="30">
        <f t="shared" si="5"/>
        <v>7000</v>
      </c>
      <c r="K79" s="31">
        <f>VLOOKUP(C79,DATA!$A$2:$G$243,3,FALSE)</f>
        <v>5.95</v>
      </c>
      <c r="L79" s="31">
        <f>VLOOKUP(C79,DATA!$A$2:$G$243,4,FALSE)</f>
        <v>2.3800000000000003</v>
      </c>
      <c r="M79" s="31">
        <f t="shared" si="4"/>
        <v>2.3800000000000003</v>
      </c>
      <c r="N79" s="25" t="str">
        <f>VLOOKUP(C79,DATA!$A$2:$G$243,6,FALSE)</f>
        <v>Rope Laces</v>
      </c>
      <c r="O79" s="16">
        <v>28605</v>
      </c>
    </row>
    <row r="80" spans="1:15" s="4" customFormat="1">
      <c r="A80" s="16" t="s">
        <v>6</v>
      </c>
      <c r="B80" s="18">
        <v>42927</v>
      </c>
      <c r="C80" s="18" t="s">
        <v>468</v>
      </c>
      <c r="D80" s="21">
        <v>36</v>
      </c>
      <c r="E80" s="22">
        <v>1</v>
      </c>
      <c r="F80" s="18" t="s">
        <v>414</v>
      </c>
      <c r="G80" s="29" t="str">
        <f>VLOOKUP(C80,DATA!$A$2:$G$243,2,FALSE)</f>
        <v>Black/Metallic Gold v2.0 Rope Laces</v>
      </c>
      <c r="H80" s="30">
        <f t="shared" si="3"/>
        <v>1</v>
      </c>
      <c r="I80" s="30">
        <f>VLOOKUP(C80,DATA!$A$2:$G$243,5,FALSE)</f>
        <v>7000</v>
      </c>
      <c r="J80" s="30">
        <f t="shared" si="5"/>
        <v>7000</v>
      </c>
      <c r="K80" s="31">
        <f>VLOOKUP(C80,DATA!$A$2:$G$243,3,FALSE)</f>
        <v>5.95</v>
      </c>
      <c r="L80" s="31">
        <f>VLOOKUP(C80,DATA!$A$2:$G$243,4,FALSE)</f>
        <v>2.3800000000000003</v>
      </c>
      <c r="M80" s="31">
        <f t="shared" si="4"/>
        <v>2.3800000000000003</v>
      </c>
      <c r="N80" s="25" t="str">
        <f>VLOOKUP(C80,DATA!$A$2:$G$243,6,FALSE)</f>
        <v>Rope Laces</v>
      </c>
      <c r="O80" s="16">
        <v>28605</v>
      </c>
    </row>
    <row r="81" spans="1:15" s="4" customFormat="1">
      <c r="A81" s="16" t="s">
        <v>6</v>
      </c>
      <c r="B81" s="18">
        <v>42927</v>
      </c>
      <c r="C81" s="18" t="s">
        <v>468</v>
      </c>
      <c r="D81" s="21">
        <v>45</v>
      </c>
      <c r="E81" s="22">
        <v>1</v>
      </c>
      <c r="F81" s="18" t="s">
        <v>414</v>
      </c>
      <c r="G81" s="29" t="str">
        <f>VLOOKUP(C81,DATA!$A$2:$G$243,2,FALSE)</f>
        <v>Black/Metallic Gold v2.0 Rope Laces</v>
      </c>
      <c r="H81" s="30">
        <f t="shared" si="3"/>
        <v>1</v>
      </c>
      <c r="I81" s="30">
        <f>VLOOKUP(C81,DATA!$A$2:$G$243,5,FALSE)</f>
        <v>7000</v>
      </c>
      <c r="J81" s="30">
        <f t="shared" si="5"/>
        <v>7000</v>
      </c>
      <c r="K81" s="31">
        <f>VLOOKUP(C81,DATA!$A$2:$G$243,3,FALSE)</f>
        <v>5.95</v>
      </c>
      <c r="L81" s="31">
        <f>VLOOKUP(C81,DATA!$A$2:$G$243,4,FALSE)</f>
        <v>2.3800000000000003</v>
      </c>
      <c r="M81" s="31">
        <f t="shared" si="4"/>
        <v>2.3800000000000003</v>
      </c>
      <c r="N81" s="25" t="str">
        <f>VLOOKUP(C81,DATA!$A$2:$G$243,6,FALSE)</f>
        <v>Rope Laces</v>
      </c>
      <c r="O81" s="16">
        <v>28605</v>
      </c>
    </row>
    <row r="82" spans="1:15" s="4" customFormat="1">
      <c r="A82" s="16" t="s">
        <v>6</v>
      </c>
      <c r="B82" s="18">
        <v>42927</v>
      </c>
      <c r="C82" s="18" t="s">
        <v>468</v>
      </c>
      <c r="D82" s="21">
        <v>54</v>
      </c>
      <c r="E82" s="22">
        <v>1</v>
      </c>
      <c r="F82" s="18" t="s">
        <v>414</v>
      </c>
      <c r="G82" s="29" t="str">
        <f>VLOOKUP(C82,DATA!$A$2:$G$243,2,FALSE)</f>
        <v>Black/Metallic Gold v2.0 Rope Laces</v>
      </c>
      <c r="H82" s="30">
        <f t="shared" si="3"/>
        <v>1</v>
      </c>
      <c r="I82" s="30">
        <f>VLOOKUP(C82,DATA!$A$2:$G$243,5,FALSE)</f>
        <v>7000</v>
      </c>
      <c r="J82" s="30">
        <f t="shared" si="5"/>
        <v>7000</v>
      </c>
      <c r="K82" s="31">
        <f>VLOOKUP(C82,DATA!$A$2:$G$243,3,FALSE)</f>
        <v>5.95</v>
      </c>
      <c r="L82" s="31">
        <f>VLOOKUP(C82,DATA!$A$2:$G$243,4,FALSE)</f>
        <v>2.3800000000000003</v>
      </c>
      <c r="M82" s="31">
        <f t="shared" si="4"/>
        <v>2.3800000000000003</v>
      </c>
      <c r="N82" s="25" t="str">
        <f>VLOOKUP(C82,DATA!$A$2:$G$243,6,FALSE)</f>
        <v>Rope Laces</v>
      </c>
      <c r="O82" s="16">
        <v>28605</v>
      </c>
    </row>
    <row r="83" spans="1:15" s="4" customFormat="1">
      <c r="A83" s="16" t="s">
        <v>6</v>
      </c>
      <c r="B83" s="18">
        <v>42927</v>
      </c>
      <c r="C83" s="18" t="s">
        <v>469</v>
      </c>
      <c r="D83" s="21">
        <v>36</v>
      </c>
      <c r="E83" s="22">
        <v>1</v>
      </c>
      <c r="F83" s="18" t="s">
        <v>414</v>
      </c>
      <c r="G83" s="29" t="str">
        <f>VLOOKUP(C83,DATA!$A$2:$G$243,2,FALSE)</f>
        <v>White/Metallic Gold v2.0 Rope Laces</v>
      </c>
      <c r="H83" s="30">
        <f t="shared" si="3"/>
        <v>1</v>
      </c>
      <c r="I83" s="30">
        <f>VLOOKUP(C83,DATA!$A$2:$G$243,5,FALSE)</f>
        <v>7000</v>
      </c>
      <c r="J83" s="30">
        <f t="shared" si="5"/>
        <v>7000</v>
      </c>
      <c r="K83" s="31">
        <f>VLOOKUP(C83,DATA!$A$2:$G$243,3,FALSE)</f>
        <v>5.95</v>
      </c>
      <c r="L83" s="31">
        <f>VLOOKUP(C83,DATA!$A$2:$G$243,4,FALSE)</f>
        <v>2.3800000000000003</v>
      </c>
      <c r="M83" s="31">
        <f t="shared" si="4"/>
        <v>2.3800000000000003</v>
      </c>
      <c r="N83" s="25" t="str">
        <f>VLOOKUP(C83,DATA!$A$2:$G$243,6,FALSE)</f>
        <v>Rope Laces</v>
      </c>
      <c r="O83" s="16">
        <v>28605</v>
      </c>
    </row>
    <row r="84" spans="1:15" s="4" customFormat="1">
      <c r="A84" s="16" t="s">
        <v>6</v>
      </c>
      <c r="B84" s="18">
        <v>42927</v>
      </c>
      <c r="C84" s="18" t="s">
        <v>469</v>
      </c>
      <c r="D84" s="21">
        <v>45</v>
      </c>
      <c r="E84" s="22">
        <v>1</v>
      </c>
      <c r="F84" s="18" t="s">
        <v>414</v>
      </c>
      <c r="G84" s="29" t="str">
        <f>VLOOKUP(C84,DATA!$A$2:$G$243,2,FALSE)</f>
        <v>White/Metallic Gold v2.0 Rope Laces</v>
      </c>
      <c r="H84" s="30">
        <f t="shared" si="3"/>
        <v>1</v>
      </c>
      <c r="I84" s="30">
        <f>VLOOKUP(C84,DATA!$A$2:$G$243,5,FALSE)</f>
        <v>7000</v>
      </c>
      <c r="J84" s="30">
        <f t="shared" si="5"/>
        <v>7000</v>
      </c>
      <c r="K84" s="31">
        <f>VLOOKUP(C84,DATA!$A$2:$G$243,3,FALSE)</f>
        <v>5.95</v>
      </c>
      <c r="L84" s="31">
        <f>VLOOKUP(C84,DATA!$A$2:$G$243,4,FALSE)</f>
        <v>2.3800000000000003</v>
      </c>
      <c r="M84" s="31">
        <f t="shared" si="4"/>
        <v>2.3800000000000003</v>
      </c>
      <c r="N84" s="25" t="str">
        <f>VLOOKUP(C84,DATA!$A$2:$G$243,6,FALSE)</f>
        <v>Rope Laces</v>
      </c>
      <c r="O84" s="16">
        <v>28605</v>
      </c>
    </row>
    <row r="85" spans="1:15" s="4" customFormat="1">
      <c r="A85" s="16" t="s">
        <v>6</v>
      </c>
      <c r="B85" s="18">
        <v>42927</v>
      </c>
      <c r="C85" s="18" t="s">
        <v>469</v>
      </c>
      <c r="D85" s="21">
        <v>54</v>
      </c>
      <c r="E85" s="22">
        <v>1</v>
      </c>
      <c r="F85" s="18" t="s">
        <v>414</v>
      </c>
      <c r="G85" s="29" t="str">
        <f>VLOOKUP(C85,DATA!$A$2:$G$243,2,FALSE)</f>
        <v>White/Metallic Gold v2.0 Rope Laces</v>
      </c>
      <c r="H85" s="30">
        <f t="shared" si="3"/>
        <v>1</v>
      </c>
      <c r="I85" s="30">
        <f>VLOOKUP(C85,DATA!$A$2:$G$243,5,FALSE)</f>
        <v>7000</v>
      </c>
      <c r="J85" s="30">
        <f t="shared" si="5"/>
        <v>7000</v>
      </c>
      <c r="K85" s="31">
        <f>VLOOKUP(C85,DATA!$A$2:$G$243,3,FALSE)</f>
        <v>5.95</v>
      </c>
      <c r="L85" s="31">
        <f>VLOOKUP(C85,DATA!$A$2:$G$243,4,FALSE)</f>
        <v>2.3800000000000003</v>
      </c>
      <c r="M85" s="31">
        <f t="shared" si="4"/>
        <v>2.3800000000000003</v>
      </c>
      <c r="N85" s="25" t="str">
        <f>VLOOKUP(C85,DATA!$A$2:$G$243,6,FALSE)</f>
        <v>Rope Laces</v>
      </c>
      <c r="O85" s="16">
        <v>28605</v>
      </c>
    </row>
    <row r="86" spans="1:15" s="4" customFormat="1">
      <c r="A86" s="16" t="s">
        <v>6</v>
      </c>
      <c r="B86" s="18">
        <v>42927</v>
      </c>
      <c r="C86" s="18" t="s">
        <v>470</v>
      </c>
      <c r="D86" s="21">
        <v>45</v>
      </c>
      <c r="E86" s="22">
        <v>1</v>
      </c>
      <c r="F86" s="18" t="s">
        <v>414</v>
      </c>
      <c r="G86" s="29" t="str">
        <f>VLOOKUP(C86,DATA!$A$2:$G$243,2,FALSE)</f>
        <v>Green/Black Rope Laces</v>
      </c>
      <c r="H86" s="30">
        <f t="shared" si="3"/>
        <v>1</v>
      </c>
      <c r="I86" s="30">
        <f>VLOOKUP(C86,DATA!$A$2:$G$243,5,FALSE)</f>
        <v>7000</v>
      </c>
      <c r="J86" s="30">
        <f t="shared" si="5"/>
        <v>7000</v>
      </c>
      <c r="K86" s="31">
        <f>VLOOKUP(C86,DATA!$A$2:$G$243,3,FALSE)</f>
        <v>5.95</v>
      </c>
      <c r="L86" s="31">
        <f>VLOOKUP(C86,DATA!$A$2:$G$243,4,FALSE)</f>
        <v>2.3800000000000003</v>
      </c>
      <c r="M86" s="31">
        <f t="shared" si="4"/>
        <v>2.3800000000000003</v>
      </c>
      <c r="N86" s="25" t="str">
        <f>VLOOKUP(C86,DATA!$A$2:$G$243,6,FALSE)</f>
        <v>Rope Laces</v>
      </c>
      <c r="O86" s="16">
        <v>28605</v>
      </c>
    </row>
    <row r="87" spans="1:15" s="4" customFormat="1">
      <c r="A87" s="16" t="s">
        <v>6</v>
      </c>
      <c r="B87" s="18">
        <v>42927</v>
      </c>
      <c r="C87" s="18" t="s">
        <v>470</v>
      </c>
      <c r="D87" s="21">
        <v>54</v>
      </c>
      <c r="E87" s="22">
        <v>1</v>
      </c>
      <c r="F87" s="18" t="s">
        <v>414</v>
      </c>
      <c r="G87" s="29" t="str">
        <f>VLOOKUP(C87,DATA!$A$2:$G$243,2,FALSE)</f>
        <v>Green/Black Rope Laces</v>
      </c>
      <c r="H87" s="30">
        <f t="shared" si="3"/>
        <v>1</v>
      </c>
      <c r="I87" s="30">
        <f>VLOOKUP(C87,DATA!$A$2:$G$243,5,FALSE)</f>
        <v>7000</v>
      </c>
      <c r="J87" s="30">
        <f t="shared" si="5"/>
        <v>7000</v>
      </c>
      <c r="K87" s="31">
        <f>VLOOKUP(C87,DATA!$A$2:$G$243,3,FALSE)</f>
        <v>5.95</v>
      </c>
      <c r="L87" s="31">
        <f>VLOOKUP(C87,DATA!$A$2:$G$243,4,FALSE)</f>
        <v>2.3800000000000003</v>
      </c>
      <c r="M87" s="31">
        <f t="shared" si="4"/>
        <v>2.3800000000000003</v>
      </c>
      <c r="N87" s="25" t="str">
        <f>VLOOKUP(C87,DATA!$A$2:$G$243,6,FALSE)</f>
        <v>Rope Laces</v>
      </c>
      <c r="O87" s="16">
        <v>28605</v>
      </c>
    </row>
    <row r="88" spans="1:15" s="4" customFormat="1">
      <c r="A88" s="16" t="s">
        <v>6</v>
      </c>
      <c r="B88" s="18">
        <v>42927</v>
      </c>
      <c r="C88" s="18" t="s">
        <v>471</v>
      </c>
      <c r="D88" s="21">
        <v>45</v>
      </c>
      <c r="E88" s="22">
        <v>1</v>
      </c>
      <c r="F88" s="18" t="s">
        <v>414</v>
      </c>
      <c r="G88" s="29" t="str">
        <f>VLOOKUP(C88,DATA!$A$2:$G$243,2,FALSE)</f>
        <v>Burgundy/Grey Rope Laces</v>
      </c>
      <c r="H88" s="30">
        <f t="shared" si="3"/>
        <v>1</v>
      </c>
      <c r="I88" s="30">
        <f>VLOOKUP(C88,DATA!$A$2:$G$243,5,FALSE)</f>
        <v>7000</v>
      </c>
      <c r="J88" s="30">
        <f t="shared" si="5"/>
        <v>7000</v>
      </c>
      <c r="K88" s="31">
        <f>VLOOKUP(C88,DATA!$A$2:$G$243,3,FALSE)</f>
        <v>5.95</v>
      </c>
      <c r="L88" s="31">
        <f>VLOOKUP(C88,DATA!$A$2:$G$243,4,FALSE)</f>
        <v>2.3800000000000003</v>
      </c>
      <c r="M88" s="31">
        <f t="shared" si="4"/>
        <v>2.3800000000000003</v>
      </c>
      <c r="N88" s="25" t="str">
        <f>VLOOKUP(C88,DATA!$A$2:$G$243,6,FALSE)</f>
        <v>Rope Laces</v>
      </c>
      <c r="O88" s="16">
        <v>28605</v>
      </c>
    </row>
    <row r="89" spans="1:15" s="4" customFormat="1">
      <c r="A89" s="16" t="s">
        <v>6</v>
      </c>
      <c r="B89" s="18">
        <v>42927</v>
      </c>
      <c r="C89" s="18" t="s">
        <v>471</v>
      </c>
      <c r="D89" s="21">
        <v>54</v>
      </c>
      <c r="E89" s="22">
        <v>1</v>
      </c>
      <c r="F89" s="18" t="s">
        <v>414</v>
      </c>
      <c r="G89" s="29" t="str">
        <f>VLOOKUP(C89,DATA!$A$2:$G$243,2,FALSE)</f>
        <v>Burgundy/Grey Rope Laces</v>
      </c>
      <c r="H89" s="30">
        <f t="shared" si="3"/>
        <v>1</v>
      </c>
      <c r="I89" s="30">
        <f>VLOOKUP(C89,DATA!$A$2:$G$243,5,FALSE)</f>
        <v>7000</v>
      </c>
      <c r="J89" s="30">
        <f t="shared" si="5"/>
        <v>7000</v>
      </c>
      <c r="K89" s="31">
        <f>VLOOKUP(C89,DATA!$A$2:$G$243,3,FALSE)</f>
        <v>5.95</v>
      </c>
      <c r="L89" s="31">
        <f>VLOOKUP(C89,DATA!$A$2:$G$243,4,FALSE)</f>
        <v>2.3800000000000003</v>
      </c>
      <c r="M89" s="31">
        <f t="shared" si="4"/>
        <v>2.3800000000000003</v>
      </c>
      <c r="N89" s="25" t="str">
        <f>VLOOKUP(C89,DATA!$A$2:$G$243,6,FALSE)</f>
        <v>Rope Laces</v>
      </c>
      <c r="O89" s="16">
        <v>28605</v>
      </c>
    </row>
    <row r="90" spans="1:15" s="4" customFormat="1">
      <c r="A90" s="16" t="s">
        <v>6</v>
      </c>
      <c r="B90" s="18">
        <v>42927</v>
      </c>
      <c r="C90" s="18" t="s">
        <v>472</v>
      </c>
      <c r="D90" s="21">
        <v>45</v>
      </c>
      <c r="E90" s="22">
        <v>1</v>
      </c>
      <c r="F90" s="18" t="s">
        <v>414</v>
      </c>
      <c r="G90" s="29" t="str">
        <f>VLOOKUP(C90,DATA!$A$2:$G$243,2,FALSE)</f>
        <v>Navy Blue/Burgundy Rope Laces</v>
      </c>
      <c r="H90" s="30">
        <f t="shared" si="3"/>
        <v>1</v>
      </c>
      <c r="I90" s="30">
        <f>VLOOKUP(C90,DATA!$A$2:$G$243,5,FALSE)</f>
        <v>7000</v>
      </c>
      <c r="J90" s="30">
        <f t="shared" si="5"/>
        <v>7000</v>
      </c>
      <c r="K90" s="31">
        <f>VLOOKUP(C90,DATA!$A$2:$G$243,3,FALSE)</f>
        <v>5.95</v>
      </c>
      <c r="L90" s="31">
        <f>VLOOKUP(C90,DATA!$A$2:$G$243,4,FALSE)</f>
        <v>2.3800000000000003</v>
      </c>
      <c r="M90" s="31">
        <f t="shared" si="4"/>
        <v>2.3800000000000003</v>
      </c>
      <c r="N90" s="25" t="str">
        <f>VLOOKUP(C90,DATA!$A$2:$G$243,6,FALSE)</f>
        <v>Rope Laces</v>
      </c>
      <c r="O90" s="16">
        <v>28605</v>
      </c>
    </row>
    <row r="91" spans="1:15" s="4" customFormat="1">
      <c r="A91" s="16" t="s">
        <v>6</v>
      </c>
      <c r="B91" s="18">
        <v>42927</v>
      </c>
      <c r="C91" s="18" t="s">
        <v>472</v>
      </c>
      <c r="D91" s="21">
        <v>54</v>
      </c>
      <c r="E91" s="22">
        <v>1</v>
      </c>
      <c r="F91" s="18" t="s">
        <v>414</v>
      </c>
      <c r="G91" s="29" t="str">
        <f>VLOOKUP(C91,DATA!$A$2:$G$243,2,FALSE)</f>
        <v>Navy Blue/Burgundy Rope Laces</v>
      </c>
      <c r="H91" s="30">
        <f t="shared" si="3"/>
        <v>1</v>
      </c>
      <c r="I91" s="30">
        <f>VLOOKUP(C91,DATA!$A$2:$G$243,5,FALSE)</f>
        <v>7000</v>
      </c>
      <c r="J91" s="30">
        <f t="shared" si="5"/>
        <v>7000</v>
      </c>
      <c r="K91" s="31">
        <f>VLOOKUP(C91,DATA!$A$2:$G$243,3,FALSE)</f>
        <v>5.95</v>
      </c>
      <c r="L91" s="31">
        <f>VLOOKUP(C91,DATA!$A$2:$G$243,4,FALSE)</f>
        <v>2.3800000000000003</v>
      </c>
      <c r="M91" s="31">
        <f t="shared" si="4"/>
        <v>2.3800000000000003</v>
      </c>
      <c r="N91" s="25" t="str">
        <f>VLOOKUP(C91,DATA!$A$2:$G$243,6,FALSE)</f>
        <v>Rope Laces</v>
      </c>
      <c r="O91" s="16">
        <v>28605</v>
      </c>
    </row>
    <row r="92" spans="1:15" s="4" customFormat="1">
      <c r="A92" s="16" t="s">
        <v>6</v>
      </c>
      <c r="B92" s="18">
        <v>42927</v>
      </c>
      <c r="C92" s="18" t="s">
        <v>473</v>
      </c>
      <c r="D92" s="21">
        <v>36</v>
      </c>
      <c r="E92" s="22">
        <v>1</v>
      </c>
      <c r="F92" s="18" t="s">
        <v>414</v>
      </c>
      <c r="G92" s="29" t="str">
        <f>VLOOKUP(C92,DATA!$A$2:$G$243,2,FALSE)</f>
        <v>Sail Blue Rope Laces</v>
      </c>
      <c r="H92" s="30">
        <f t="shared" si="3"/>
        <v>1</v>
      </c>
      <c r="I92" s="30">
        <f>VLOOKUP(C92,DATA!$A$2:$G$243,5,FALSE)</f>
        <v>7000</v>
      </c>
      <c r="J92" s="30">
        <f t="shared" si="5"/>
        <v>7000</v>
      </c>
      <c r="K92" s="31">
        <f>VLOOKUP(C92,DATA!$A$2:$G$243,3,FALSE)</f>
        <v>5.95</v>
      </c>
      <c r="L92" s="31">
        <f>VLOOKUP(C92,DATA!$A$2:$G$243,4,FALSE)</f>
        <v>2.3800000000000003</v>
      </c>
      <c r="M92" s="31">
        <f t="shared" si="4"/>
        <v>2.3800000000000003</v>
      </c>
      <c r="N92" s="25" t="str">
        <f>VLOOKUP(C92,DATA!$A$2:$G$243,6,FALSE)</f>
        <v>Rope Laces</v>
      </c>
      <c r="O92" s="16">
        <v>28605</v>
      </c>
    </row>
    <row r="93" spans="1:15" s="4" customFormat="1">
      <c r="A93" s="16" t="s">
        <v>6</v>
      </c>
      <c r="B93" s="18">
        <v>42927</v>
      </c>
      <c r="C93" s="18" t="s">
        <v>474</v>
      </c>
      <c r="D93" s="21">
        <v>36</v>
      </c>
      <c r="E93" s="22">
        <v>1</v>
      </c>
      <c r="F93" s="18" t="s">
        <v>414</v>
      </c>
      <c r="G93" s="29" t="str">
        <f>VLOOKUP(C93,DATA!$A$2:$G$243,2,FALSE)</f>
        <v>Team Red/White Rope Laces</v>
      </c>
      <c r="H93" s="30">
        <f t="shared" si="3"/>
        <v>1</v>
      </c>
      <c r="I93" s="30">
        <f>VLOOKUP(C93,DATA!$A$2:$G$243,5,FALSE)</f>
        <v>7000</v>
      </c>
      <c r="J93" s="30">
        <f t="shared" si="5"/>
        <v>7000</v>
      </c>
      <c r="K93" s="31">
        <f>VLOOKUP(C93,DATA!$A$2:$G$243,3,FALSE)</f>
        <v>5.95</v>
      </c>
      <c r="L93" s="31">
        <f>VLOOKUP(C93,DATA!$A$2:$G$243,4,FALSE)</f>
        <v>2.3800000000000003</v>
      </c>
      <c r="M93" s="31">
        <f t="shared" si="4"/>
        <v>2.3800000000000003</v>
      </c>
      <c r="N93" s="25" t="str">
        <f>VLOOKUP(C93,DATA!$A$2:$G$243,6,FALSE)</f>
        <v>Rope Laces</v>
      </c>
      <c r="O93" s="16">
        <v>28605</v>
      </c>
    </row>
    <row r="94" spans="1:15" s="4" customFormat="1">
      <c r="A94" s="16" t="s">
        <v>6</v>
      </c>
      <c r="B94" s="18">
        <v>42927</v>
      </c>
      <c r="C94" s="18" t="s">
        <v>475</v>
      </c>
      <c r="D94" s="21">
        <v>30</v>
      </c>
      <c r="E94" s="22">
        <v>1</v>
      </c>
      <c r="F94" s="18" t="s">
        <v>414</v>
      </c>
      <c r="G94" s="29" t="str">
        <f>VLOOKUP(C94,DATA!$A$2:$G$243,2,FALSE)</f>
        <v>Beige Rope Laces</v>
      </c>
      <c r="H94" s="30">
        <f t="shared" si="3"/>
        <v>1</v>
      </c>
      <c r="I94" s="30">
        <f>VLOOKUP(C94,DATA!$A$2:$G$243,5,FALSE)</f>
        <v>7000</v>
      </c>
      <c r="J94" s="30">
        <f t="shared" si="5"/>
        <v>7000</v>
      </c>
      <c r="K94" s="31">
        <f>VLOOKUP(C94,DATA!$A$2:$G$243,3,FALSE)</f>
        <v>5.95</v>
      </c>
      <c r="L94" s="31">
        <f>VLOOKUP(C94,DATA!$A$2:$G$243,4,FALSE)</f>
        <v>2.3800000000000003</v>
      </c>
      <c r="M94" s="31">
        <f t="shared" si="4"/>
        <v>2.3800000000000003</v>
      </c>
      <c r="N94" s="25" t="str">
        <f>VLOOKUP(C94,DATA!$A$2:$G$243,6,FALSE)</f>
        <v>Rope Laces</v>
      </c>
      <c r="O94" s="16">
        <v>28605</v>
      </c>
    </row>
    <row r="95" spans="1:15" s="4" customFormat="1">
      <c r="A95" s="16" t="s">
        <v>6</v>
      </c>
      <c r="B95" s="18">
        <v>42927</v>
      </c>
      <c r="C95" s="18" t="s">
        <v>475</v>
      </c>
      <c r="D95" s="21">
        <v>36</v>
      </c>
      <c r="E95" s="22">
        <v>2</v>
      </c>
      <c r="F95" s="18" t="s">
        <v>414</v>
      </c>
      <c r="G95" s="29" t="str">
        <f>VLOOKUP(C95,DATA!$A$2:$G$243,2,FALSE)</f>
        <v>Beige Rope Laces</v>
      </c>
      <c r="H95" s="30">
        <f t="shared" si="3"/>
        <v>2</v>
      </c>
      <c r="I95" s="30">
        <f>VLOOKUP(C95,DATA!$A$2:$G$243,5,FALSE)</f>
        <v>7000</v>
      </c>
      <c r="J95" s="30">
        <f t="shared" si="5"/>
        <v>14000</v>
      </c>
      <c r="K95" s="31">
        <f>VLOOKUP(C95,DATA!$A$2:$G$243,3,FALSE)</f>
        <v>5.95</v>
      </c>
      <c r="L95" s="31">
        <f>VLOOKUP(C95,DATA!$A$2:$G$243,4,FALSE)</f>
        <v>2.3800000000000003</v>
      </c>
      <c r="M95" s="31">
        <f t="shared" si="4"/>
        <v>4.7600000000000007</v>
      </c>
      <c r="N95" s="25" t="str">
        <f>VLOOKUP(C95,DATA!$A$2:$G$243,6,FALSE)</f>
        <v>Rope Laces</v>
      </c>
      <c r="O95" s="16">
        <v>28605</v>
      </c>
    </row>
    <row r="96" spans="1:15" s="4" customFormat="1">
      <c r="A96" s="16" t="s">
        <v>6</v>
      </c>
      <c r="B96" s="18">
        <v>42927</v>
      </c>
      <c r="C96" s="18" t="s">
        <v>475</v>
      </c>
      <c r="D96" s="21">
        <v>45</v>
      </c>
      <c r="E96" s="22">
        <v>1</v>
      </c>
      <c r="F96" s="18" t="s">
        <v>414</v>
      </c>
      <c r="G96" s="29" t="str">
        <f>VLOOKUP(C96,DATA!$A$2:$G$243,2,FALSE)</f>
        <v>Beige Rope Laces</v>
      </c>
      <c r="H96" s="30">
        <f t="shared" si="3"/>
        <v>1</v>
      </c>
      <c r="I96" s="30">
        <f>VLOOKUP(C96,DATA!$A$2:$G$243,5,FALSE)</f>
        <v>7000</v>
      </c>
      <c r="J96" s="30">
        <f t="shared" si="5"/>
        <v>7000</v>
      </c>
      <c r="K96" s="31">
        <f>VLOOKUP(C96,DATA!$A$2:$G$243,3,FALSE)</f>
        <v>5.95</v>
      </c>
      <c r="L96" s="31">
        <f>VLOOKUP(C96,DATA!$A$2:$G$243,4,FALSE)</f>
        <v>2.3800000000000003</v>
      </c>
      <c r="M96" s="31">
        <f t="shared" si="4"/>
        <v>2.3800000000000003</v>
      </c>
      <c r="N96" s="25" t="str">
        <f>VLOOKUP(C96,DATA!$A$2:$G$243,6,FALSE)</f>
        <v>Rope Laces</v>
      </c>
      <c r="O96" s="16">
        <v>28605</v>
      </c>
    </row>
    <row r="97" spans="1:15" s="4" customFormat="1">
      <c r="A97" s="16" t="s">
        <v>6</v>
      </c>
      <c r="B97" s="18">
        <v>42927</v>
      </c>
      <c r="C97" s="18" t="s">
        <v>476</v>
      </c>
      <c r="D97" s="21">
        <v>30</v>
      </c>
      <c r="E97" s="22">
        <v>1</v>
      </c>
      <c r="F97" s="18" t="s">
        <v>414</v>
      </c>
      <c r="G97" s="29" t="str">
        <f>VLOOKUP(C97,DATA!$A$2:$G$243,2,FALSE)</f>
        <v>Black Rope Laces</v>
      </c>
      <c r="H97" s="30">
        <f t="shared" si="3"/>
        <v>1</v>
      </c>
      <c r="I97" s="30">
        <f>VLOOKUP(C97,DATA!$A$2:$G$243,5,FALSE)</f>
        <v>7000</v>
      </c>
      <c r="J97" s="30">
        <f t="shared" si="5"/>
        <v>7000</v>
      </c>
      <c r="K97" s="31">
        <f>VLOOKUP(C97,DATA!$A$2:$G$243,3,FALSE)</f>
        <v>5.95</v>
      </c>
      <c r="L97" s="31">
        <f>VLOOKUP(C97,DATA!$A$2:$G$243,4,FALSE)</f>
        <v>2.3800000000000003</v>
      </c>
      <c r="M97" s="31">
        <f t="shared" si="4"/>
        <v>2.3800000000000003</v>
      </c>
      <c r="N97" s="25" t="str">
        <f>VLOOKUP(C97,DATA!$A$2:$G$243,6,FALSE)</f>
        <v>Rope Laces</v>
      </c>
      <c r="O97" s="16">
        <v>28605</v>
      </c>
    </row>
    <row r="98" spans="1:15" s="4" customFormat="1">
      <c r="A98" s="16" t="s">
        <v>6</v>
      </c>
      <c r="B98" s="18">
        <v>42927</v>
      </c>
      <c r="C98" s="18" t="s">
        <v>476</v>
      </c>
      <c r="D98" s="21">
        <v>36</v>
      </c>
      <c r="E98" s="22">
        <v>3</v>
      </c>
      <c r="F98" s="18" t="s">
        <v>414</v>
      </c>
      <c r="G98" s="29" t="str">
        <f>VLOOKUP(C98,DATA!$A$2:$G$243,2,FALSE)</f>
        <v>Black Rope Laces</v>
      </c>
      <c r="H98" s="30">
        <f t="shared" si="3"/>
        <v>3</v>
      </c>
      <c r="I98" s="30">
        <f>VLOOKUP(C98,DATA!$A$2:$G$243,5,FALSE)</f>
        <v>7000</v>
      </c>
      <c r="J98" s="30">
        <f t="shared" si="5"/>
        <v>21000</v>
      </c>
      <c r="K98" s="31">
        <f>VLOOKUP(C98,DATA!$A$2:$G$243,3,FALSE)</f>
        <v>5.95</v>
      </c>
      <c r="L98" s="31">
        <f>VLOOKUP(C98,DATA!$A$2:$G$243,4,FALSE)</f>
        <v>2.3800000000000003</v>
      </c>
      <c r="M98" s="31">
        <f t="shared" si="4"/>
        <v>7.1400000000000006</v>
      </c>
      <c r="N98" s="25" t="str">
        <f>VLOOKUP(C98,DATA!$A$2:$G$243,6,FALSE)</f>
        <v>Rope Laces</v>
      </c>
      <c r="O98" s="16">
        <v>28605</v>
      </c>
    </row>
    <row r="99" spans="1:15" s="4" customFormat="1">
      <c r="A99" s="16" t="s">
        <v>6</v>
      </c>
      <c r="B99" s="18">
        <v>42927</v>
      </c>
      <c r="C99" s="18" t="s">
        <v>476</v>
      </c>
      <c r="D99" s="21">
        <v>41</v>
      </c>
      <c r="E99" s="22">
        <v>3</v>
      </c>
      <c r="F99" s="18" t="s">
        <v>414</v>
      </c>
      <c r="G99" s="29" t="str">
        <f>VLOOKUP(C99,DATA!$A$2:$G$243,2,FALSE)</f>
        <v>Black Rope Laces</v>
      </c>
      <c r="H99" s="30">
        <f t="shared" si="3"/>
        <v>3</v>
      </c>
      <c r="I99" s="30">
        <f>VLOOKUP(C99,DATA!$A$2:$G$243,5,FALSE)</f>
        <v>7000</v>
      </c>
      <c r="J99" s="30">
        <f t="shared" si="5"/>
        <v>21000</v>
      </c>
      <c r="K99" s="31">
        <f>VLOOKUP(C99,DATA!$A$2:$G$243,3,FALSE)</f>
        <v>5.95</v>
      </c>
      <c r="L99" s="31">
        <f>VLOOKUP(C99,DATA!$A$2:$G$243,4,FALSE)</f>
        <v>2.3800000000000003</v>
      </c>
      <c r="M99" s="31">
        <f t="shared" si="4"/>
        <v>7.1400000000000006</v>
      </c>
      <c r="N99" s="25" t="str">
        <f>VLOOKUP(C99,DATA!$A$2:$G$243,6,FALSE)</f>
        <v>Rope Laces</v>
      </c>
      <c r="O99" s="16">
        <v>28605</v>
      </c>
    </row>
    <row r="100" spans="1:15" s="4" customFormat="1">
      <c r="A100" s="16" t="s">
        <v>6</v>
      </c>
      <c r="B100" s="18">
        <v>42927</v>
      </c>
      <c r="C100" s="18" t="s">
        <v>476</v>
      </c>
      <c r="D100" s="21">
        <v>45</v>
      </c>
      <c r="E100" s="22">
        <v>3</v>
      </c>
      <c r="F100" s="18" t="s">
        <v>414</v>
      </c>
      <c r="G100" s="29" t="str">
        <f>VLOOKUP(C100,DATA!$A$2:$G$243,2,FALSE)</f>
        <v>Black Rope Laces</v>
      </c>
      <c r="H100" s="30">
        <f t="shared" si="3"/>
        <v>3</v>
      </c>
      <c r="I100" s="30">
        <f>VLOOKUP(C100,DATA!$A$2:$G$243,5,FALSE)</f>
        <v>7000</v>
      </c>
      <c r="J100" s="30">
        <f t="shared" si="5"/>
        <v>21000</v>
      </c>
      <c r="K100" s="31">
        <f>VLOOKUP(C100,DATA!$A$2:$G$243,3,FALSE)</f>
        <v>5.95</v>
      </c>
      <c r="L100" s="31">
        <f>VLOOKUP(C100,DATA!$A$2:$G$243,4,FALSE)</f>
        <v>2.3800000000000003</v>
      </c>
      <c r="M100" s="31">
        <f t="shared" si="4"/>
        <v>7.1400000000000006</v>
      </c>
      <c r="N100" s="25" t="str">
        <f>VLOOKUP(C100,DATA!$A$2:$G$243,6,FALSE)</f>
        <v>Rope Laces</v>
      </c>
      <c r="O100" s="16">
        <v>28605</v>
      </c>
    </row>
    <row r="101" spans="1:15" s="4" customFormat="1">
      <c r="A101" s="16" t="s">
        <v>6</v>
      </c>
      <c r="B101" s="18">
        <v>42927</v>
      </c>
      <c r="C101" s="18" t="s">
        <v>476</v>
      </c>
      <c r="D101" s="21">
        <v>54</v>
      </c>
      <c r="E101" s="22">
        <v>2</v>
      </c>
      <c r="F101" s="18" t="s">
        <v>414</v>
      </c>
      <c r="G101" s="29" t="str">
        <f>VLOOKUP(C101,DATA!$A$2:$G$243,2,FALSE)</f>
        <v>Black Rope Laces</v>
      </c>
      <c r="H101" s="30">
        <f t="shared" si="3"/>
        <v>2</v>
      </c>
      <c r="I101" s="30">
        <f>VLOOKUP(C101,DATA!$A$2:$G$243,5,FALSE)</f>
        <v>7000</v>
      </c>
      <c r="J101" s="30">
        <f t="shared" si="5"/>
        <v>14000</v>
      </c>
      <c r="K101" s="31">
        <f>VLOOKUP(C101,DATA!$A$2:$G$243,3,FALSE)</f>
        <v>5.95</v>
      </c>
      <c r="L101" s="31">
        <f>VLOOKUP(C101,DATA!$A$2:$G$243,4,FALSE)</f>
        <v>2.3800000000000003</v>
      </c>
      <c r="M101" s="31">
        <f t="shared" si="4"/>
        <v>4.7600000000000007</v>
      </c>
      <c r="N101" s="25" t="str">
        <f>VLOOKUP(C101,DATA!$A$2:$G$243,6,FALSE)</f>
        <v>Rope Laces</v>
      </c>
      <c r="O101" s="16">
        <v>28605</v>
      </c>
    </row>
    <row r="102" spans="1:15" s="4" customFormat="1">
      <c r="A102" s="16" t="s">
        <v>6</v>
      </c>
      <c r="B102" s="18">
        <v>42927</v>
      </c>
      <c r="C102" s="18" t="s">
        <v>477</v>
      </c>
      <c r="D102" s="21">
        <v>30</v>
      </c>
      <c r="E102" s="22">
        <v>1</v>
      </c>
      <c r="F102" s="18" t="s">
        <v>414</v>
      </c>
      <c r="G102" s="29" t="str">
        <f>VLOOKUP(C102,DATA!$A$2:$G$243,2,FALSE)</f>
        <v>White Rope Laces</v>
      </c>
      <c r="H102" s="30">
        <f t="shared" si="3"/>
        <v>1</v>
      </c>
      <c r="I102" s="30">
        <f>VLOOKUP(C102,DATA!$A$2:$G$243,5,FALSE)</f>
        <v>7000</v>
      </c>
      <c r="J102" s="30">
        <f t="shared" si="5"/>
        <v>7000</v>
      </c>
      <c r="K102" s="31">
        <f>VLOOKUP(C102,DATA!$A$2:$G$243,3,FALSE)</f>
        <v>5.95</v>
      </c>
      <c r="L102" s="31">
        <f>VLOOKUP(C102,DATA!$A$2:$G$243,4,FALSE)</f>
        <v>2.3800000000000003</v>
      </c>
      <c r="M102" s="31">
        <f t="shared" si="4"/>
        <v>2.3800000000000003</v>
      </c>
      <c r="N102" s="25" t="str">
        <f>VLOOKUP(C102,DATA!$A$2:$G$243,6,FALSE)</f>
        <v>Rope Laces</v>
      </c>
      <c r="O102" s="16">
        <v>28605</v>
      </c>
    </row>
    <row r="103" spans="1:15" s="4" customFormat="1">
      <c r="A103" s="16" t="s">
        <v>6</v>
      </c>
      <c r="B103" s="18">
        <v>42927</v>
      </c>
      <c r="C103" s="18" t="s">
        <v>477</v>
      </c>
      <c r="D103" s="21">
        <v>36</v>
      </c>
      <c r="E103" s="22">
        <v>3</v>
      </c>
      <c r="F103" s="18" t="s">
        <v>414</v>
      </c>
      <c r="G103" s="29" t="str">
        <f>VLOOKUP(C103,DATA!$A$2:$G$243,2,FALSE)</f>
        <v>White Rope Laces</v>
      </c>
      <c r="H103" s="30">
        <f t="shared" si="3"/>
        <v>3</v>
      </c>
      <c r="I103" s="30">
        <f>VLOOKUP(C103,DATA!$A$2:$G$243,5,FALSE)</f>
        <v>7000</v>
      </c>
      <c r="J103" s="30">
        <f t="shared" si="5"/>
        <v>21000</v>
      </c>
      <c r="K103" s="31">
        <f>VLOOKUP(C103,DATA!$A$2:$G$243,3,FALSE)</f>
        <v>5.95</v>
      </c>
      <c r="L103" s="31">
        <f>VLOOKUP(C103,DATA!$A$2:$G$243,4,FALSE)</f>
        <v>2.3800000000000003</v>
      </c>
      <c r="M103" s="31">
        <f t="shared" si="4"/>
        <v>7.1400000000000006</v>
      </c>
      <c r="N103" s="25" t="str">
        <f>VLOOKUP(C103,DATA!$A$2:$G$243,6,FALSE)</f>
        <v>Rope Laces</v>
      </c>
      <c r="O103" s="16">
        <v>28605</v>
      </c>
    </row>
    <row r="104" spans="1:15" s="4" customFormat="1">
      <c r="A104" s="16" t="s">
        <v>6</v>
      </c>
      <c r="B104" s="18">
        <v>42927</v>
      </c>
      <c r="C104" s="18" t="s">
        <v>477</v>
      </c>
      <c r="D104" s="21">
        <v>41</v>
      </c>
      <c r="E104" s="22">
        <v>3</v>
      </c>
      <c r="F104" s="18" t="s">
        <v>414</v>
      </c>
      <c r="G104" s="29" t="str">
        <f>VLOOKUP(C104,DATA!$A$2:$G$243,2,FALSE)</f>
        <v>White Rope Laces</v>
      </c>
      <c r="H104" s="30">
        <f t="shared" si="3"/>
        <v>3</v>
      </c>
      <c r="I104" s="30">
        <f>VLOOKUP(C104,DATA!$A$2:$G$243,5,FALSE)</f>
        <v>7000</v>
      </c>
      <c r="J104" s="30">
        <f t="shared" si="5"/>
        <v>21000</v>
      </c>
      <c r="K104" s="31">
        <f>VLOOKUP(C104,DATA!$A$2:$G$243,3,FALSE)</f>
        <v>5.95</v>
      </c>
      <c r="L104" s="31">
        <f>VLOOKUP(C104,DATA!$A$2:$G$243,4,FALSE)</f>
        <v>2.3800000000000003</v>
      </c>
      <c r="M104" s="31">
        <f t="shared" si="4"/>
        <v>7.1400000000000006</v>
      </c>
      <c r="N104" s="25" t="str">
        <f>VLOOKUP(C104,DATA!$A$2:$G$243,6,FALSE)</f>
        <v>Rope Laces</v>
      </c>
      <c r="O104" s="16">
        <v>28605</v>
      </c>
    </row>
    <row r="105" spans="1:15" s="4" customFormat="1">
      <c r="A105" s="16" t="s">
        <v>6</v>
      </c>
      <c r="B105" s="18">
        <v>42927</v>
      </c>
      <c r="C105" s="18" t="s">
        <v>477</v>
      </c>
      <c r="D105" s="21">
        <v>45</v>
      </c>
      <c r="E105" s="22">
        <v>3</v>
      </c>
      <c r="F105" s="18" t="s">
        <v>414</v>
      </c>
      <c r="G105" s="29" t="str">
        <f>VLOOKUP(C105,DATA!$A$2:$G$243,2,FALSE)</f>
        <v>White Rope Laces</v>
      </c>
      <c r="H105" s="30">
        <f t="shared" si="3"/>
        <v>3</v>
      </c>
      <c r="I105" s="30">
        <f>VLOOKUP(C105,DATA!$A$2:$G$243,5,FALSE)</f>
        <v>7000</v>
      </c>
      <c r="J105" s="30">
        <f t="shared" si="5"/>
        <v>21000</v>
      </c>
      <c r="K105" s="31">
        <f>VLOOKUP(C105,DATA!$A$2:$G$243,3,FALSE)</f>
        <v>5.95</v>
      </c>
      <c r="L105" s="31">
        <f>VLOOKUP(C105,DATA!$A$2:$G$243,4,FALSE)</f>
        <v>2.3800000000000003</v>
      </c>
      <c r="M105" s="31">
        <f t="shared" si="4"/>
        <v>7.1400000000000006</v>
      </c>
      <c r="N105" s="25" t="str">
        <f>VLOOKUP(C105,DATA!$A$2:$G$243,6,FALSE)</f>
        <v>Rope Laces</v>
      </c>
      <c r="O105" s="16">
        <v>28605</v>
      </c>
    </row>
    <row r="106" spans="1:15" s="4" customFormat="1">
      <c r="A106" s="16" t="s">
        <v>6</v>
      </c>
      <c r="B106" s="18">
        <v>42927</v>
      </c>
      <c r="C106" s="18" t="s">
        <v>477</v>
      </c>
      <c r="D106" s="21">
        <v>54</v>
      </c>
      <c r="E106" s="22">
        <v>2</v>
      </c>
      <c r="F106" s="18" t="s">
        <v>414</v>
      </c>
      <c r="G106" s="29" t="str">
        <f>VLOOKUP(C106,DATA!$A$2:$G$243,2,FALSE)</f>
        <v>White Rope Laces</v>
      </c>
      <c r="H106" s="30">
        <f t="shared" si="3"/>
        <v>2</v>
      </c>
      <c r="I106" s="30">
        <f>VLOOKUP(C106,DATA!$A$2:$G$243,5,FALSE)</f>
        <v>7000</v>
      </c>
      <c r="J106" s="30">
        <f t="shared" si="5"/>
        <v>14000</v>
      </c>
      <c r="K106" s="31">
        <f>VLOOKUP(C106,DATA!$A$2:$G$243,3,FALSE)</f>
        <v>5.95</v>
      </c>
      <c r="L106" s="31">
        <f>VLOOKUP(C106,DATA!$A$2:$G$243,4,FALSE)</f>
        <v>2.3800000000000003</v>
      </c>
      <c r="M106" s="31">
        <f t="shared" si="4"/>
        <v>4.7600000000000007</v>
      </c>
      <c r="N106" s="25" t="str">
        <f>VLOOKUP(C106,DATA!$A$2:$G$243,6,FALSE)</f>
        <v>Rope Laces</v>
      </c>
      <c r="O106" s="16">
        <v>28605</v>
      </c>
    </row>
    <row r="107" spans="1:15" s="4" customFormat="1">
      <c r="A107" s="16" t="s">
        <v>6</v>
      </c>
      <c r="B107" s="18">
        <v>42927</v>
      </c>
      <c r="C107" s="18" t="s">
        <v>478</v>
      </c>
      <c r="D107" s="21">
        <v>30</v>
      </c>
      <c r="E107" s="22">
        <v>2</v>
      </c>
      <c r="F107" s="18" t="s">
        <v>414</v>
      </c>
      <c r="G107" s="29" t="str">
        <f>VLOOKUP(C107,DATA!$A$2:$G$243,2,FALSE)</f>
        <v>Blue Rope Laces</v>
      </c>
      <c r="H107" s="30">
        <f t="shared" si="3"/>
        <v>2</v>
      </c>
      <c r="I107" s="30">
        <f>VLOOKUP(C107,DATA!$A$2:$G$243,5,FALSE)</f>
        <v>7000</v>
      </c>
      <c r="J107" s="30">
        <f t="shared" si="5"/>
        <v>14000</v>
      </c>
      <c r="K107" s="31">
        <f>VLOOKUP(C107,DATA!$A$2:$G$243,3,FALSE)</f>
        <v>5.95</v>
      </c>
      <c r="L107" s="31">
        <f>VLOOKUP(C107,DATA!$A$2:$G$243,4,FALSE)</f>
        <v>2.3800000000000003</v>
      </c>
      <c r="M107" s="31">
        <f t="shared" si="4"/>
        <v>4.7600000000000007</v>
      </c>
      <c r="N107" s="25" t="str">
        <f>VLOOKUP(C107,DATA!$A$2:$G$243,6,FALSE)</f>
        <v>Rope Laces</v>
      </c>
      <c r="O107" s="16">
        <v>28605</v>
      </c>
    </row>
    <row r="108" spans="1:15" s="4" customFormat="1">
      <c r="A108" s="16" t="s">
        <v>6</v>
      </c>
      <c r="B108" s="18">
        <v>42927</v>
      </c>
      <c r="C108" s="18" t="s">
        <v>478</v>
      </c>
      <c r="D108" s="21">
        <v>36</v>
      </c>
      <c r="E108" s="22">
        <v>2</v>
      </c>
      <c r="F108" s="18" t="s">
        <v>414</v>
      </c>
      <c r="G108" s="29" t="str">
        <f>VLOOKUP(C108,DATA!$A$2:$G$243,2,FALSE)</f>
        <v>Blue Rope Laces</v>
      </c>
      <c r="H108" s="30">
        <f t="shared" si="3"/>
        <v>2</v>
      </c>
      <c r="I108" s="30">
        <f>VLOOKUP(C108,DATA!$A$2:$G$243,5,FALSE)</f>
        <v>7000</v>
      </c>
      <c r="J108" s="30">
        <f t="shared" si="5"/>
        <v>14000</v>
      </c>
      <c r="K108" s="31">
        <f>VLOOKUP(C108,DATA!$A$2:$G$243,3,FALSE)</f>
        <v>5.95</v>
      </c>
      <c r="L108" s="31">
        <f>VLOOKUP(C108,DATA!$A$2:$G$243,4,FALSE)</f>
        <v>2.3800000000000003</v>
      </c>
      <c r="M108" s="31">
        <f t="shared" si="4"/>
        <v>4.7600000000000007</v>
      </c>
      <c r="N108" s="25" t="str">
        <f>VLOOKUP(C108,DATA!$A$2:$G$243,6,FALSE)</f>
        <v>Rope Laces</v>
      </c>
      <c r="O108" s="16">
        <v>28605</v>
      </c>
    </row>
    <row r="109" spans="1:15" s="4" customFormat="1">
      <c r="A109" s="16" t="s">
        <v>6</v>
      </c>
      <c r="B109" s="18">
        <v>42927</v>
      </c>
      <c r="C109" s="18" t="s">
        <v>478</v>
      </c>
      <c r="D109" s="21">
        <v>45</v>
      </c>
      <c r="E109" s="22">
        <v>2</v>
      </c>
      <c r="F109" s="18" t="s">
        <v>414</v>
      </c>
      <c r="G109" s="29" t="str">
        <f>VLOOKUP(C109,DATA!$A$2:$G$243,2,FALSE)</f>
        <v>Blue Rope Laces</v>
      </c>
      <c r="H109" s="30">
        <f t="shared" si="3"/>
        <v>2</v>
      </c>
      <c r="I109" s="30">
        <f>VLOOKUP(C109,DATA!$A$2:$G$243,5,FALSE)</f>
        <v>7000</v>
      </c>
      <c r="J109" s="30">
        <f t="shared" si="5"/>
        <v>14000</v>
      </c>
      <c r="K109" s="31">
        <f>VLOOKUP(C109,DATA!$A$2:$G$243,3,FALSE)</f>
        <v>5.95</v>
      </c>
      <c r="L109" s="31">
        <f>VLOOKUP(C109,DATA!$A$2:$G$243,4,FALSE)</f>
        <v>2.3800000000000003</v>
      </c>
      <c r="M109" s="31">
        <f t="shared" si="4"/>
        <v>4.7600000000000007</v>
      </c>
      <c r="N109" s="25" t="str">
        <f>VLOOKUP(C109,DATA!$A$2:$G$243,6,FALSE)</f>
        <v>Rope Laces</v>
      </c>
      <c r="O109" s="16">
        <v>28605</v>
      </c>
    </row>
    <row r="110" spans="1:15" s="4" customFormat="1">
      <c r="A110" s="16" t="s">
        <v>6</v>
      </c>
      <c r="B110" s="18">
        <v>42927</v>
      </c>
      <c r="C110" s="18" t="s">
        <v>479</v>
      </c>
      <c r="D110" s="21">
        <v>30</v>
      </c>
      <c r="E110" s="22">
        <v>2</v>
      </c>
      <c r="F110" s="18" t="s">
        <v>414</v>
      </c>
      <c r="G110" s="29" t="str">
        <f>VLOOKUP(C110,DATA!$A$2:$G$243,2,FALSE)</f>
        <v>Red Rope Laces</v>
      </c>
      <c r="H110" s="30">
        <f t="shared" si="3"/>
        <v>2</v>
      </c>
      <c r="I110" s="30">
        <f>VLOOKUP(C110,DATA!$A$2:$G$243,5,FALSE)</f>
        <v>7000</v>
      </c>
      <c r="J110" s="30">
        <f t="shared" si="5"/>
        <v>14000</v>
      </c>
      <c r="K110" s="31">
        <f>VLOOKUP(C110,DATA!$A$2:$G$243,3,FALSE)</f>
        <v>5.95</v>
      </c>
      <c r="L110" s="31">
        <f>VLOOKUP(C110,DATA!$A$2:$G$243,4,FALSE)</f>
        <v>2.3800000000000003</v>
      </c>
      <c r="M110" s="31">
        <f t="shared" si="4"/>
        <v>4.7600000000000007</v>
      </c>
      <c r="N110" s="25" t="str">
        <f>VLOOKUP(C110,DATA!$A$2:$G$243,6,FALSE)</f>
        <v>Rope Laces</v>
      </c>
      <c r="O110" s="16">
        <v>28605</v>
      </c>
    </row>
    <row r="111" spans="1:15" s="4" customFormat="1">
      <c r="A111" s="16" t="s">
        <v>6</v>
      </c>
      <c r="B111" s="18">
        <v>42927</v>
      </c>
      <c r="C111" s="18" t="s">
        <v>479</v>
      </c>
      <c r="D111" s="21">
        <v>36</v>
      </c>
      <c r="E111" s="22">
        <v>2</v>
      </c>
      <c r="F111" s="18" t="s">
        <v>414</v>
      </c>
      <c r="G111" s="29" t="str">
        <f>VLOOKUP(C111,DATA!$A$2:$G$243,2,FALSE)</f>
        <v>Red Rope Laces</v>
      </c>
      <c r="H111" s="30">
        <f t="shared" si="3"/>
        <v>2</v>
      </c>
      <c r="I111" s="30">
        <f>VLOOKUP(C111,DATA!$A$2:$G$243,5,FALSE)</f>
        <v>7000</v>
      </c>
      <c r="J111" s="30">
        <f t="shared" si="5"/>
        <v>14000</v>
      </c>
      <c r="K111" s="31">
        <f>VLOOKUP(C111,DATA!$A$2:$G$243,3,FALSE)</f>
        <v>5.95</v>
      </c>
      <c r="L111" s="31">
        <f>VLOOKUP(C111,DATA!$A$2:$G$243,4,FALSE)</f>
        <v>2.3800000000000003</v>
      </c>
      <c r="M111" s="31">
        <f t="shared" si="4"/>
        <v>4.7600000000000007</v>
      </c>
      <c r="N111" s="25" t="str">
        <f>VLOOKUP(C111,DATA!$A$2:$G$243,6,FALSE)</f>
        <v>Rope Laces</v>
      </c>
      <c r="O111" s="16">
        <v>28605</v>
      </c>
    </row>
    <row r="112" spans="1:15" s="4" customFormat="1">
      <c r="A112" s="16" t="s">
        <v>6</v>
      </c>
      <c r="B112" s="18">
        <v>42927</v>
      </c>
      <c r="C112" s="18" t="s">
        <v>479</v>
      </c>
      <c r="D112" s="21">
        <v>45</v>
      </c>
      <c r="E112" s="22">
        <v>2</v>
      </c>
      <c r="F112" s="18" t="s">
        <v>414</v>
      </c>
      <c r="G112" s="29" t="str">
        <f>VLOOKUP(C112,DATA!$A$2:$G$243,2,FALSE)</f>
        <v>Red Rope Laces</v>
      </c>
      <c r="H112" s="30">
        <f t="shared" si="3"/>
        <v>2</v>
      </c>
      <c r="I112" s="30">
        <f>VLOOKUP(C112,DATA!$A$2:$G$243,5,FALSE)</f>
        <v>7000</v>
      </c>
      <c r="J112" s="30">
        <f t="shared" si="5"/>
        <v>14000</v>
      </c>
      <c r="K112" s="31">
        <f>VLOOKUP(C112,DATA!$A$2:$G$243,3,FALSE)</f>
        <v>5.95</v>
      </c>
      <c r="L112" s="31">
        <f>VLOOKUP(C112,DATA!$A$2:$G$243,4,FALSE)</f>
        <v>2.3800000000000003</v>
      </c>
      <c r="M112" s="31">
        <f t="shared" si="4"/>
        <v>4.7600000000000007</v>
      </c>
      <c r="N112" s="25" t="str">
        <f>VLOOKUP(C112,DATA!$A$2:$G$243,6,FALSE)</f>
        <v>Rope Laces</v>
      </c>
      <c r="O112" s="16">
        <v>28605</v>
      </c>
    </row>
    <row r="113" spans="1:15" s="4" customFormat="1">
      <c r="A113" s="16" t="s">
        <v>6</v>
      </c>
      <c r="B113" s="18">
        <v>42927</v>
      </c>
      <c r="C113" s="18" t="s">
        <v>480</v>
      </c>
      <c r="D113" s="21">
        <v>30</v>
      </c>
      <c r="E113" s="22">
        <v>1</v>
      </c>
      <c r="F113" s="18" t="s">
        <v>414</v>
      </c>
      <c r="G113" s="29" t="str">
        <f>VLOOKUP(C113,DATA!$A$2:$G$243,2,FALSE)</f>
        <v>Navy Blue Rope Laces</v>
      </c>
      <c r="H113" s="30">
        <f t="shared" si="3"/>
        <v>1</v>
      </c>
      <c r="I113" s="30">
        <f>VLOOKUP(C113,DATA!$A$2:$G$243,5,FALSE)</f>
        <v>7000</v>
      </c>
      <c r="J113" s="30">
        <f t="shared" si="5"/>
        <v>7000</v>
      </c>
      <c r="K113" s="31">
        <f>VLOOKUP(C113,DATA!$A$2:$G$243,3,FALSE)</f>
        <v>5.95</v>
      </c>
      <c r="L113" s="31">
        <f>VLOOKUP(C113,DATA!$A$2:$G$243,4,FALSE)</f>
        <v>2.3800000000000003</v>
      </c>
      <c r="M113" s="31">
        <f t="shared" si="4"/>
        <v>2.3800000000000003</v>
      </c>
      <c r="N113" s="25" t="str">
        <f>VLOOKUP(C113,DATA!$A$2:$G$243,6,FALSE)</f>
        <v>Rope Laces</v>
      </c>
      <c r="O113" s="16">
        <v>28605</v>
      </c>
    </row>
    <row r="114" spans="1:15" s="4" customFormat="1">
      <c r="A114" s="16" t="s">
        <v>6</v>
      </c>
      <c r="B114" s="18">
        <v>42927</v>
      </c>
      <c r="C114" s="18" t="s">
        <v>480</v>
      </c>
      <c r="D114" s="21">
        <v>36</v>
      </c>
      <c r="E114" s="22">
        <v>1</v>
      </c>
      <c r="F114" s="18" t="s">
        <v>414</v>
      </c>
      <c r="G114" s="29" t="str">
        <f>VLOOKUP(C114,DATA!$A$2:$G$243,2,FALSE)</f>
        <v>Navy Blue Rope Laces</v>
      </c>
      <c r="H114" s="30">
        <f t="shared" si="3"/>
        <v>1</v>
      </c>
      <c r="I114" s="30">
        <f>VLOOKUP(C114,DATA!$A$2:$G$243,5,FALSE)</f>
        <v>7000</v>
      </c>
      <c r="J114" s="30">
        <f t="shared" si="5"/>
        <v>7000</v>
      </c>
      <c r="K114" s="31">
        <f>VLOOKUP(C114,DATA!$A$2:$G$243,3,FALSE)</f>
        <v>5.95</v>
      </c>
      <c r="L114" s="31">
        <f>VLOOKUP(C114,DATA!$A$2:$G$243,4,FALSE)</f>
        <v>2.3800000000000003</v>
      </c>
      <c r="M114" s="31">
        <f t="shared" si="4"/>
        <v>2.3800000000000003</v>
      </c>
      <c r="N114" s="25" t="str">
        <f>VLOOKUP(C114,DATA!$A$2:$G$243,6,FALSE)</f>
        <v>Rope Laces</v>
      </c>
      <c r="O114" s="16">
        <v>28605</v>
      </c>
    </row>
    <row r="115" spans="1:15" s="4" customFormat="1">
      <c r="A115" s="16" t="s">
        <v>6</v>
      </c>
      <c r="B115" s="18">
        <v>42927</v>
      </c>
      <c r="C115" s="18" t="s">
        <v>480</v>
      </c>
      <c r="D115" s="21">
        <v>45</v>
      </c>
      <c r="E115" s="22">
        <v>1</v>
      </c>
      <c r="F115" s="18" t="s">
        <v>414</v>
      </c>
      <c r="G115" s="29" t="str">
        <f>VLOOKUP(C115,DATA!$A$2:$G$243,2,FALSE)</f>
        <v>Navy Blue Rope Laces</v>
      </c>
      <c r="H115" s="30">
        <f t="shared" si="3"/>
        <v>1</v>
      </c>
      <c r="I115" s="30">
        <f>VLOOKUP(C115,DATA!$A$2:$G$243,5,FALSE)</f>
        <v>7000</v>
      </c>
      <c r="J115" s="30">
        <f t="shared" si="5"/>
        <v>7000</v>
      </c>
      <c r="K115" s="31">
        <f>VLOOKUP(C115,DATA!$A$2:$G$243,3,FALSE)</f>
        <v>5.95</v>
      </c>
      <c r="L115" s="31">
        <f>VLOOKUP(C115,DATA!$A$2:$G$243,4,FALSE)</f>
        <v>2.3800000000000003</v>
      </c>
      <c r="M115" s="31">
        <f t="shared" si="4"/>
        <v>2.3800000000000003</v>
      </c>
      <c r="N115" s="25" t="str">
        <f>VLOOKUP(C115,DATA!$A$2:$G$243,6,FALSE)</f>
        <v>Rope Laces</v>
      </c>
      <c r="O115" s="16">
        <v>28605</v>
      </c>
    </row>
    <row r="116" spans="1:15" s="4" customFormat="1">
      <c r="A116" s="16" t="s">
        <v>6</v>
      </c>
      <c r="B116" s="18">
        <v>42927</v>
      </c>
      <c r="C116" s="18" t="s">
        <v>481</v>
      </c>
      <c r="D116" s="19">
        <v>30</v>
      </c>
      <c r="E116" s="22">
        <v>1</v>
      </c>
      <c r="F116" s="18" t="s">
        <v>414</v>
      </c>
      <c r="G116" s="29" t="str">
        <f>VLOOKUP(C116,DATA!$A$2:$G$243,2,FALSE)</f>
        <v>Black 3M Reflective Rope Laces</v>
      </c>
      <c r="H116" s="30">
        <f t="shared" si="3"/>
        <v>1</v>
      </c>
      <c r="I116" s="30">
        <f>VLOOKUP(C116,DATA!$A$2:$G$243,5,FALSE)</f>
        <v>8000</v>
      </c>
      <c r="J116" s="30">
        <f t="shared" si="5"/>
        <v>8000</v>
      </c>
      <c r="K116" s="31">
        <f>VLOOKUP(C116,DATA!$A$2:$G$243,3,FALSE)</f>
        <v>6.95</v>
      </c>
      <c r="L116" s="31">
        <f>VLOOKUP(C116,DATA!$A$2:$G$243,4,FALSE)</f>
        <v>2.7800000000000002</v>
      </c>
      <c r="M116" s="31">
        <f t="shared" si="4"/>
        <v>2.7800000000000002</v>
      </c>
      <c r="N116" s="25" t="str">
        <f>VLOOKUP(C116,DATA!$A$2:$G$243,6,FALSE)</f>
        <v>3M Reflective Rope Laces</v>
      </c>
      <c r="O116" s="16">
        <v>28605</v>
      </c>
    </row>
    <row r="117" spans="1:15" s="4" customFormat="1">
      <c r="A117" s="16" t="s">
        <v>6</v>
      </c>
      <c r="B117" s="18">
        <v>42927</v>
      </c>
      <c r="C117" s="18" t="s">
        <v>481</v>
      </c>
      <c r="D117" s="21">
        <v>36</v>
      </c>
      <c r="E117" s="22">
        <v>2</v>
      </c>
      <c r="F117" s="18" t="s">
        <v>414</v>
      </c>
      <c r="G117" s="29" t="str">
        <f>VLOOKUP(C117,DATA!$A$2:$G$243,2,FALSE)</f>
        <v>Black 3M Reflective Rope Laces</v>
      </c>
      <c r="H117" s="30">
        <f t="shared" si="3"/>
        <v>2</v>
      </c>
      <c r="I117" s="30">
        <f>VLOOKUP(C117,DATA!$A$2:$G$243,5,FALSE)</f>
        <v>8000</v>
      </c>
      <c r="J117" s="30">
        <f t="shared" si="5"/>
        <v>16000</v>
      </c>
      <c r="K117" s="31">
        <f>VLOOKUP(C117,DATA!$A$2:$G$243,3,FALSE)</f>
        <v>6.95</v>
      </c>
      <c r="L117" s="31">
        <f>VLOOKUP(C117,DATA!$A$2:$G$243,4,FALSE)</f>
        <v>2.7800000000000002</v>
      </c>
      <c r="M117" s="31">
        <f t="shared" si="4"/>
        <v>5.5600000000000005</v>
      </c>
      <c r="N117" s="25" t="str">
        <f>VLOOKUP(C117,DATA!$A$2:$G$243,6,FALSE)</f>
        <v>3M Reflective Rope Laces</v>
      </c>
      <c r="O117" s="16">
        <v>28605</v>
      </c>
    </row>
    <row r="118" spans="1:15" s="4" customFormat="1">
      <c r="A118" s="16" t="s">
        <v>6</v>
      </c>
      <c r="B118" s="18">
        <v>42927</v>
      </c>
      <c r="C118" s="18" t="s">
        <v>481</v>
      </c>
      <c r="D118" s="21">
        <v>41</v>
      </c>
      <c r="E118" s="22">
        <v>2</v>
      </c>
      <c r="F118" s="18" t="s">
        <v>414</v>
      </c>
      <c r="G118" s="29" t="str">
        <f>VLOOKUP(C118,DATA!$A$2:$G$243,2,FALSE)</f>
        <v>Black 3M Reflective Rope Laces</v>
      </c>
      <c r="H118" s="30">
        <f t="shared" si="3"/>
        <v>2</v>
      </c>
      <c r="I118" s="30">
        <f>VLOOKUP(C118,DATA!$A$2:$G$243,5,FALSE)</f>
        <v>8000</v>
      </c>
      <c r="J118" s="30">
        <f t="shared" si="5"/>
        <v>16000</v>
      </c>
      <c r="K118" s="31">
        <f>VLOOKUP(C118,DATA!$A$2:$G$243,3,FALSE)</f>
        <v>6.95</v>
      </c>
      <c r="L118" s="31">
        <f>VLOOKUP(C118,DATA!$A$2:$G$243,4,FALSE)</f>
        <v>2.7800000000000002</v>
      </c>
      <c r="M118" s="31">
        <f t="shared" si="4"/>
        <v>5.5600000000000005</v>
      </c>
      <c r="N118" s="25" t="str">
        <f>VLOOKUP(C118,DATA!$A$2:$G$243,6,FALSE)</f>
        <v>3M Reflective Rope Laces</v>
      </c>
      <c r="O118" s="16">
        <v>28605</v>
      </c>
    </row>
    <row r="119" spans="1:15" s="4" customFormat="1">
      <c r="A119" s="16" t="s">
        <v>6</v>
      </c>
      <c r="B119" s="18">
        <v>42927</v>
      </c>
      <c r="C119" s="18" t="s">
        <v>481</v>
      </c>
      <c r="D119" s="21">
        <v>45</v>
      </c>
      <c r="E119" s="22">
        <v>2</v>
      </c>
      <c r="F119" s="18" t="s">
        <v>414</v>
      </c>
      <c r="G119" s="29" t="str">
        <f>VLOOKUP(C119,DATA!$A$2:$G$243,2,FALSE)</f>
        <v>Black 3M Reflective Rope Laces</v>
      </c>
      <c r="H119" s="30">
        <f t="shared" si="3"/>
        <v>2</v>
      </c>
      <c r="I119" s="30">
        <f>VLOOKUP(C119,DATA!$A$2:$G$243,5,FALSE)</f>
        <v>8000</v>
      </c>
      <c r="J119" s="30">
        <f t="shared" si="5"/>
        <v>16000</v>
      </c>
      <c r="K119" s="31">
        <f>VLOOKUP(C119,DATA!$A$2:$G$243,3,FALSE)</f>
        <v>6.95</v>
      </c>
      <c r="L119" s="31">
        <f>VLOOKUP(C119,DATA!$A$2:$G$243,4,FALSE)</f>
        <v>2.7800000000000002</v>
      </c>
      <c r="M119" s="31">
        <f t="shared" si="4"/>
        <v>5.5600000000000005</v>
      </c>
      <c r="N119" s="25" t="str">
        <f>VLOOKUP(C119,DATA!$A$2:$G$243,6,FALSE)</f>
        <v>3M Reflective Rope Laces</v>
      </c>
      <c r="O119" s="16">
        <v>28605</v>
      </c>
    </row>
    <row r="120" spans="1:15" s="4" customFormat="1">
      <c r="A120" s="16" t="s">
        <v>6</v>
      </c>
      <c r="B120" s="18">
        <v>42927</v>
      </c>
      <c r="C120" s="18" t="s">
        <v>481</v>
      </c>
      <c r="D120" s="21">
        <v>54</v>
      </c>
      <c r="E120" s="22">
        <v>1</v>
      </c>
      <c r="F120" s="18" t="s">
        <v>414</v>
      </c>
      <c r="G120" s="29" t="str">
        <f>VLOOKUP(C120,DATA!$A$2:$G$243,2,FALSE)</f>
        <v>Black 3M Reflective Rope Laces</v>
      </c>
      <c r="H120" s="30">
        <f t="shared" si="3"/>
        <v>1</v>
      </c>
      <c r="I120" s="30">
        <f>VLOOKUP(C120,DATA!$A$2:$G$243,5,FALSE)</f>
        <v>8000</v>
      </c>
      <c r="J120" s="30">
        <f t="shared" si="5"/>
        <v>8000</v>
      </c>
      <c r="K120" s="31">
        <f>VLOOKUP(C120,DATA!$A$2:$G$243,3,FALSE)</f>
        <v>6.95</v>
      </c>
      <c r="L120" s="31">
        <f>VLOOKUP(C120,DATA!$A$2:$G$243,4,FALSE)</f>
        <v>2.7800000000000002</v>
      </c>
      <c r="M120" s="31">
        <f t="shared" si="4"/>
        <v>2.7800000000000002</v>
      </c>
      <c r="N120" s="25" t="str">
        <f>VLOOKUP(C120,DATA!$A$2:$G$243,6,FALSE)</f>
        <v>3M Reflective Rope Laces</v>
      </c>
      <c r="O120" s="16">
        <v>28605</v>
      </c>
    </row>
    <row r="121" spans="1:15" s="4" customFormat="1">
      <c r="A121" s="16" t="s">
        <v>6</v>
      </c>
      <c r="B121" s="18">
        <v>42927</v>
      </c>
      <c r="C121" s="18" t="s">
        <v>483</v>
      </c>
      <c r="D121" s="21">
        <v>30</v>
      </c>
      <c r="E121" s="22">
        <v>1</v>
      </c>
      <c r="F121" s="18" t="s">
        <v>414</v>
      </c>
      <c r="G121" s="29" t="str">
        <f>VLOOKUP(C121,DATA!$A$2:$G$243,2,FALSE)</f>
        <v>Blue 3M Reflective Rope Laces</v>
      </c>
      <c r="H121" s="30">
        <f t="shared" si="3"/>
        <v>1</v>
      </c>
      <c r="I121" s="30">
        <f>VLOOKUP(C121,DATA!$A$2:$G$243,5,FALSE)</f>
        <v>8000</v>
      </c>
      <c r="J121" s="30">
        <f t="shared" si="5"/>
        <v>8000</v>
      </c>
      <c r="K121" s="31">
        <f>VLOOKUP(C121,DATA!$A$2:$G$243,3,FALSE)</f>
        <v>6.95</v>
      </c>
      <c r="L121" s="31">
        <f>VLOOKUP(C121,DATA!$A$2:$G$243,4,FALSE)</f>
        <v>2.7800000000000002</v>
      </c>
      <c r="M121" s="31">
        <f t="shared" si="4"/>
        <v>2.7800000000000002</v>
      </c>
      <c r="N121" s="25" t="str">
        <f>VLOOKUP(C121,DATA!$A$2:$G$243,6,FALSE)</f>
        <v>3M Reflective Rope Laces</v>
      </c>
      <c r="O121" s="16">
        <v>28605</v>
      </c>
    </row>
    <row r="122" spans="1:15" s="4" customFormat="1">
      <c r="A122" s="16" t="s">
        <v>6</v>
      </c>
      <c r="B122" s="18">
        <v>42927</v>
      </c>
      <c r="C122" s="18" t="s">
        <v>483</v>
      </c>
      <c r="D122" s="21">
        <v>36</v>
      </c>
      <c r="E122" s="22">
        <v>2</v>
      </c>
      <c r="F122" s="18" t="s">
        <v>414</v>
      </c>
      <c r="G122" s="29" t="str">
        <f>VLOOKUP(C122,DATA!$A$2:$G$243,2,FALSE)</f>
        <v>Blue 3M Reflective Rope Laces</v>
      </c>
      <c r="H122" s="30">
        <f t="shared" si="3"/>
        <v>2</v>
      </c>
      <c r="I122" s="30">
        <f>VLOOKUP(C122,DATA!$A$2:$G$243,5,FALSE)</f>
        <v>8000</v>
      </c>
      <c r="J122" s="30">
        <f t="shared" si="5"/>
        <v>16000</v>
      </c>
      <c r="K122" s="31">
        <f>VLOOKUP(C122,DATA!$A$2:$G$243,3,FALSE)</f>
        <v>6.95</v>
      </c>
      <c r="L122" s="31">
        <f>VLOOKUP(C122,DATA!$A$2:$G$243,4,FALSE)</f>
        <v>2.7800000000000002</v>
      </c>
      <c r="M122" s="31">
        <f t="shared" si="4"/>
        <v>5.5600000000000005</v>
      </c>
      <c r="N122" s="25" t="str">
        <f>VLOOKUP(C122,DATA!$A$2:$G$243,6,FALSE)</f>
        <v>3M Reflective Rope Laces</v>
      </c>
      <c r="O122" s="16">
        <v>28605</v>
      </c>
    </row>
    <row r="123" spans="1:15" s="4" customFormat="1">
      <c r="A123" s="16" t="s">
        <v>6</v>
      </c>
      <c r="B123" s="18">
        <v>42927</v>
      </c>
      <c r="C123" s="18" t="s">
        <v>483</v>
      </c>
      <c r="D123" s="21">
        <v>45</v>
      </c>
      <c r="E123" s="22">
        <v>2</v>
      </c>
      <c r="F123" s="18" t="s">
        <v>414</v>
      </c>
      <c r="G123" s="29" t="str">
        <f>VLOOKUP(C123,DATA!$A$2:$G$243,2,FALSE)</f>
        <v>Blue 3M Reflective Rope Laces</v>
      </c>
      <c r="H123" s="30">
        <f t="shared" si="3"/>
        <v>2</v>
      </c>
      <c r="I123" s="30">
        <f>VLOOKUP(C123,DATA!$A$2:$G$243,5,FALSE)</f>
        <v>8000</v>
      </c>
      <c r="J123" s="30">
        <f t="shared" si="5"/>
        <v>16000</v>
      </c>
      <c r="K123" s="31">
        <f>VLOOKUP(C123,DATA!$A$2:$G$243,3,FALSE)</f>
        <v>6.95</v>
      </c>
      <c r="L123" s="31">
        <f>VLOOKUP(C123,DATA!$A$2:$G$243,4,FALSE)</f>
        <v>2.7800000000000002</v>
      </c>
      <c r="M123" s="31">
        <f t="shared" si="4"/>
        <v>5.5600000000000005</v>
      </c>
      <c r="N123" s="25" t="str">
        <f>VLOOKUP(C123,DATA!$A$2:$G$243,6,FALSE)</f>
        <v>3M Reflective Rope Laces</v>
      </c>
      <c r="O123" s="16">
        <v>28605</v>
      </c>
    </row>
    <row r="124" spans="1:15" s="4" customFormat="1">
      <c r="A124" s="16" t="s">
        <v>6</v>
      </c>
      <c r="B124" s="18">
        <v>42927</v>
      </c>
      <c r="C124" s="18" t="s">
        <v>483</v>
      </c>
      <c r="D124" s="21">
        <v>54</v>
      </c>
      <c r="E124" s="22">
        <v>1</v>
      </c>
      <c r="F124" s="18" t="s">
        <v>414</v>
      </c>
      <c r="G124" s="29" t="str">
        <f>VLOOKUP(C124,DATA!$A$2:$G$243,2,FALSE)</f>
        <v>Blue 3M Reflective Rope Laces</v>
      </c>
      <c r="H124" s="30">
        <f t="shared" si="3"/>
        <v>1</v>
      </c>
      <c r="I124" s="30">
        <f>VLOOKUP(C124,DATA!$A$2:$G$243,5,FALSE)</f>
        <v>8000</v>
      </c>
      <c r="J124" s="30">
        <f t="shared" si="5"/>
        <v>8000</v>
      </c>
      <c r="K124" s="31">
        <f>VLOOKUP(C124,DATA!$A$2:$G$243,3,FALSE)</f>
        <v>6.95</v>
      </c>
      <c r="L124" s="31">
        <f>VLOOKUP(C124,DATA!$A$2:$G$243,4,FALSE)</f>
        <v>2.7800000000000002</v>
      </c>
      <c r="M124" s="31">
        <f t="shared" si="4"/>
        <v>2.7800000000000002</v>
      </c>
      <c r="N124" s="25" t="str">
        <f>VLOOKUP(C124,DATA!$A$2:$G$243,6,FALSE)</f>
        <v>3M Reflective Rope Laces</v>
      </c>
      <c r="O124" s="16">
        <v>28605</v>
      </c>
    </row>
    <row r="125" spans="1:15" s="4" customFormat="1">
      <c r="A125" s="16" t="s">
        <v>6</v>
      </c>
      <c r="B125" s="18">
        <v>42927</v>
      </c>
      <c r="C125" s="18" t="s">
        <v>484</v>
      </c>
      <c r="D125" s="21">
        <v>30</v>
      </c>
      <c r="E125" s="22">
        <v>1</v>
      </c>
      <c r="F125" s="18" t="s">
        <v>414</v>
      </c>
      <c r="G125" s="29" t="str">
        <f>VLOOKUP(C125,DATA!$A$2:$G$243,2,FALSE)</f>
        <v>White 3M Reflective Rope Laces</v>
      </c>
      <c r="H125" s="30">
        <f t="shared" si="3"/>
        <v>1</v>
      </c>
      <c r="I125" s="30">
        <f>VLOOKUP(C125,DATA!$A$2:$G$243,5,FALSE)</f>
        <v>8000</v>
      </c>
      <c r="J125" s="30">
        <f t="shared" si="5"/>
        <v>8000</v>
      </c>
      <c r="K125" s="31">
        <f>VLOOKUP(C125,DATA!$A$2:$G$243,3,FALSE)</f>
        <v>6.95</v>
      </c>
      <c r="L125" s="31">
        <f>VLOOKUP(C125,DATA!$A$2:$G$243,4,FALSE)</f>
        <v>2.7800000000000002</v>
      </c>
      <c r="M125" s="31">
        <f t="shared" si="4"/>
        <v>2.7800000000000002</v>
      </c>
      <c r="N125" s="25" t="str">
        <f>VLOOKUP(C125,DATA!$A$2:$G$243,6,FALSE)</f>
        <v>3M Reflective Rope Laces</v>
      </c>
      <c r="O125" s="16">
        <v>28605</v>
      </c>
    </row>
    <row r="126" spans="1:15" s="4" customFormat="1">
      <c r="A126" s="16" t="s">
        <v>6</v>
      </c>
      <c r="B126" s="18">
        <v>42927</v>
      </c>
      <c r="C126" s="18" t="s">
        <v>484</v>
      </c>
      <c r="D126" s="21">
        <v>36</v>
      </c>
      <c r="E126" s="22">
        <v>2</v>
      </c>
      <c r="F126" s="18" t="s">
        <v>414</v>
      </c>
      <c r="G126" s="29" t="str">
        <f>VLOOKUP(C126,DATA!$A$2:$G$243,2,FALSE)</f>
        <v>White 3M Reflective Rope Laces</v>
      </c>
      <c r="H126" s="30">
        <f t="shared" si="3"/>
        <v>2</v>
      </c>
      <c r="I126" s="30">
        <f>VLOOKUP(C126,DATA!$A$2:$G$243,5,FALSE)</f>
        <v>8000</v>
      </c>
      <c r="J126" s="30">
        <f t="shared" si="5"/>
        <v>16000</v>
      </c>
      <c r="K126" s="31">
        <f>VLOOKUP(C126,DATA!$A$2:$G$243,3,FALSE)</f>
        <v>6.95</v>
      </c>
      <c r="L126" s="31">
        <f>VLOOKUP(C126,DATA!$A$2:$G$243,4,FALSE)</f>
        <v>2.7800000000000002</v>
      </c>
      <c r="M126" s="31">
        <f t="shared" si="4"/>
        <v>5.5600000000000005</v>
      </c>
      <c r="N126" s="25" t="str">
        <f>VLOOKUP(C126,DATA!$A$2:$G$243,6,FALSE)</f>
        <v>3M Reflective Rope Laces</v>
      </c>
      <c r="O126" s="16">
        <v>28605</v>
      </c>
    </row>
    <row r="127" spans="1:15" s="4" customFormat="1">
      <c r="A127" s="16" t="s">
        <v>6</v>
      </c>
      <c r="B127" s="18">
        <v>42927</v>
      </c>
      <c r="C127" s="18" t="s">
        <v>484</v>
      </c>
      <c r="D127" s="21">
        <v>41</v>
      </c>
      <c r="E127" s="22">
        <v>2</v>
      </c>
      <c r="F127" s="18" t="s">
        <v>414</v>
      </c>
      <c r="G127" s="29" t="str">
        <f>VLOOKUP(C127,DATA!$A$2:$G$243,2,FALSE)</f>
        <v>White 3M Reflective Rope Laces</v>
      </c>
      <c r="H127" s="30">
        <f t="shared" si="3"/>
        <v>2</v>
      </c>
      <c r="I127" s="30">
        <f>VLOOKUP(C127,DATA!$A$2:$G$243,5,FALSE)</f>
        <v>8000</v>
      </c>
      <c r="J127" s="30">
        <f t="shared" si="5"/>
        <v>16000</v>
      </c>
      <c r="K127" s="31">
        <f>VLOOKUP(C127,DATA!$A$2:$G$243,3,FALSE)</f>
        <v>6.95</v>
      </c>
      <c r="L127" s="31">
        <f>VLOOKUP(C127,DATA!$A$2:$G$243,4,FALSE)</f>
        <v>2.7800000000000002</v>
      </c>
      <c r="M127" s="31">
        <f t="shared" si="4"/>
        <v>5.5600000000000005</v>
      </c>
      <c r="N127" s="25" t="str">
        <f>VLOOKUP(C127,DATA!$A$2:$G$243,6,FALSE)</f>
        <v>3M Reflective Rope Laces</v>
      </c>
      <c r="O127" s="16">
        <v>28605</v>
      </c>
    </row>
    <row r="128" spans="1:15" s="4" customFormat="1">
      <c r="A128" s="16" t="s">
        <v>6</v>
      </c>
      <c r="B128" s="18">
        <v>42927</v>
      </c>
      <c r="C128" s="18" t="s">
        <v>484</v>
      </c>
      <c r="D128" s="21">
        <v>45</v>
      </c>
      <c r="E128" s="22">
        <v>2</v>
      </c>
      <c r="F128" s="18" t="s">
        <v>414</v>
      </c>
      <c r="G128" s="29" t="str">
        <f>VLOOKUP(C128,DATA!$A$2:$G$243,2,FALSE)</f>
        <v>White 3M Reflective Rope Laces</v>
      </c>
      <c r="H128" s="30">
        <f t="shared" si="3"/>
        <v>2</v>
      </c>
      <c r="I128" s="30">
        <f>VLOOKUP(C128,DATA!$A$2:$G$243,5,FALSE)</f>
        <v>8000</v>
      </c>
      <c r="J128" s="30">
        <f t="shared" si="5"/>
        <v>16000</v>
      </c>
      <c r="K128" s="31">
        <f>VLOOKUP(C128,DATA!$A$2:$G$243,3,FALSE)</f>
        <v>6.95</v>
      </c>
      <c r="L128" s="31">
        <f>VLOOKUP(C128,DATA!$A$2:$G$243,4,FALSE)</f>
        <v>2.7800000000000002</v>
      </c>
      <c r="M128" s="31">
        <f t="shared" si="4"/>
        <v>5.5600000000000005</v>
      </c>
      <c r="N128" s="25" t="str">
        <f>VLOOKUP(C128,DATA!$A$2:$G$243,6,FALSE)</f>
        <v>3M Reflective Rope Laces</v>
      </c>
      <c r="O128" s="16">
        <v>28605</v>
      </c>
    </row>
    <row r="129" spans="1:15" s="4" customFormat="1">
      <c r="A129" s="16" t="s">
        <v>6</v>
      </c>
      <c r="B129" s="18">
        <v>42927</v>
      </c>
      <c r="C129" s="18" t="s">
        <v>484</v>
      </c>
      <c r="D129" s="21">
        <v>54</v>
      </c>
      <c r="E129" s="22">
        <v>1</v>
      </c>
      <c r="F129" s="18" t="s">
        <v>414</v>
      </c>
      <c r="G129" s="29" t="str">
        <f>VLOOKUP(C129,DATA!$A$2:$G$243,2,FALSE)</f>
        <v>White 3M Reflective Rope Laces</v>
      </c>
      <c r="H129" s="30">
        <f t="shared" si="3"/>
        <v>1</v>
      </c>
      <c r="I129" s="30">
        <f>VLOOKUP(C129,DATA!$A$2:$G$243,5,FALSE)</f>
        <v>8000</v>
      </c>
      <c r="J129" s="30">
        <f t="shared" si="5"/>
        <v>8000</v>
      </c>
      <c r="K129" s="31">
        <f>VLOOKUP(C129,DATA!$A$2:$G$243,3,FALSE)</f>
        <v>6.95</v>
      </c>
      <c r="L129" s="31">
        <f>VLOOKUP(C129,DATA!$A$2:$G$243,4,FALSE)</f>
        <v>2.7800000000000002</v>
      </c>
      <c r="M129" s="31">
        <f t="shared" si="4"/>
        <v>2.7800000000000002</v>
      </c>
      <c r="N129" s="25" t="str">
        <f>VLOOKUP(C129,DATA!$A$2:$G$243,6,FALSE)</f>
        <v>3M Reflective Rope Laces</v>
      </c>
      <c r="O129" s="16">
        <v>28605</v>
      </c>
    </row>
    <row r="130" spans="1:15" s="4" customFormat="1">
      <c r="A130" s="16" t="s">
        <v>6</v>
      </c>
      <c r="B130" s="18">
        <v>42927</v>
      </c>
      <c r="C130" s="18" t="s">
        <v>485</v>
      </c>
      <c r="D130" s="21">
        <v>30</v>
      </c>
      <c r="E130" s="22">
        <v>1</v>
      </c>
      <c r="F130" s="18" t="s">
        <v>414</v>
      </c>
      <c r="G130" s="29" t="str">
        <f>VLOOKUP(C130,DATA!$A$2:$G$243,2,FALSE)</f>
        <v>Red 3M Reflective Rope Laces</v>
      </c>
      <c r="H130" s="30">
        <f t="shared" ref="H130:H193" si="6">IF(F130="입",E130,-1*E130)</f>
        <v>1</v>
      </c>
      <c r="I130" s="30">
        <f>VLOOKUP(C130,DATA!$A$2:$G$243,5,FALSE)</f>
        <v>8000</v>
      </c>
      <c r="J130" s="30">
        <f t="shared" si="5"/>
        <v>8000</v>
      </c>
      <c r="K130" s="31">
        <f>VLOOKUP(C130,DATA!$A$2:$G$243,3,FALSE)</f>
        <v>6.95</v>
      </c>
      <c r="L130" s="31">
        <f>VLOOKUP(C130,DATA!$A$2:$G$243,4,FALSE)</f>
        <v>2.7800000000000002</v>
      </c>
      <c r="M130" s="31">
        <f t="shared" ref="M130:M193" si="7">L130*E130</f>
        <v>2.7800000000000002</v>
      </c>
      <c r="N130" s="25" t="str">
        <f>VLOOKUP(C130,DATA!$A$2:$G$243,6,FALSE)</f>
        <v>3M Reflective Rope Laces</v>
      </c>
      <c r="O130" s="16">
        <v>28605</v>
      </c>
    </row>
    <row r="131" spans="1:15" s="4" customFormat="1">
      <c r="A131" s="16" t="s">
        <v>6</v>
      </c>
      <c r="B131" s="18">
        <v>42927</v>
      </c>
      <c r="C131" s="18" t="s">
        <v>485</v>
      </c>
      <c r="D131" s="21">
        <v>36</v>
      </c>
      <c r="E131" s="22">
        <v>2</v>
      </c>
      <c r="F131" s="18" t="s">
        <v>414</v>
      </c>
      <c r="G131" s="29" t="str">
        <f>VLOOKUP(C131,DATA!$A$2:$G$243,2,FALSE)</f>
        <v>Red 3M Reflective Rope Laces</v>
      </c>
      <c r="H131" s="30">
        <f t="shared" si="6"/>
        <v>2</v>
      </c>
      <c r="I131" s="30">
        <f>VLOOKUP(C131,DATA!$A$2:$G$243,5,FALSE)</f>
        <v>8000</v>
      </c>
      <c r="J131" s="30">
        <f t="shared" ref="J131:J194" si="8">I131*E131</f>
        <v>16000</v>
      </c>
      <c r="K131" s="31">
        <f>VLOOKUP(C131,DATA!$A$2:$G$243,3,FALSE)</f>
        <v>6.95</v>
      </c>
      <c r="L131" s="31">
        <f>VLOOKUP(C131,DATA!$A$2:$G$243,4,FALSE)</f>
        <v>2.7800000000000002</v>
      </c>
      <c r="M131" s="31">
        <f t="shared" si="7"/>
        <v>5.5600000000000005</v>
      </c>
      <c r="N131" s="25" t="str">
        <f>VLOOKUP(C131,DATA!$A$2:$G$243,6,FALSE)</f>
        <v>3M Reflective Rope Laces</v>
      </c>
      <c r="O131" s="16">
        <v>28605</v>
      </c>
    </row>
    <row r="132" spans="1:15" s="4" customFormat="1">
      <c r="A132" s="16" t="s">
        <v>6</v>
      </c>
      <c r="B132" s="18">
        <v>42927</v>
      </c>
      <c r="C132" s="18" t="s">
        <v>485</v>
      </c>
      <c r="D132" s="21">
        <v>45</v>
      </c>
      <c r="E132" s="22">
        <v>2</v>
      </c>
      <c r="F132" s="18" t="s">
        <v>414</v>
      </c>
      <c r="G132" s="29" t="str">
        <f>VLOOKUP(C132,DATA!$A$2:$G$243,2,FALSE)</f>
        <v>Red 3M Reflective Rope Laces</v>
      </c>
      <c r="H132" s="30">
        <f t="shared" si="6"/>
        <v>2</v>
      </c>
      <c r="I132" s="30">
        <f>VLOOKUP(C132,DATA!$A$2:$G$243,5,FALSE)</f>
        <v>8000</v>
      </c>
      <c r="J132" s="30">
        <f t="shared" si="8"/>
        <v>16000</v>
      </c>
      <c r="K132" s="31">
        <f>VLOOKUP(C132,DATA!$A$2:$G$243,3,FALSE)</f>
        <v>6.95</v>
      </c>
      <c r="L132" s="31">
        <f>VLOOKUP(C132,DATA!$A$2:$G$243,4,FALSE)</f>
        <v>2.7800000000000002</v>
      </c>
      <c r="M132" s="31">
        <f t="shared" si="7"/>
        <v>5.5600000000000005</v>
      </c>
      <c r="N132" s="25" t="str">
        <f>VLOOKUP(C132,DATA!$A$2:$G$243,6,FALSE)</f>
        <v>3M Reflective Rope Laces</v>
      </c>
      <c r="O132" s="16">
        <v>28605</v>
      </c>
    </row>
    <row r="133" spans="1:15" s="4" customFormat="1">
      <c r="A133" s="16" t="s">
        <v>6</v>
      </c>
      <c r="B133" s="18">
        <v>42927</v>
      </c>
      <c r="C133" s="18" t="s">
        <v>485</v>
      </c>
      <c r="D133" s="21">
        <v>54</v>
      </c>
      <c r="E133" s="22">
        <v>1</v>
      </c>
      <c r="F133" s="18" t="s">
        <v>414</v>
      </c>
      <c r="G133" s="29" t="str">
        <f>VLOOKUP(C133,DATA!$A$2:$G$243,2,FALSE)</f>
        <v>Red 3M Reflective Rope Laces</v>
      </c>
      <c r="H133" s="30">
        <f t="shared" si="6"/>
        <v>1</v>
      </c>
      <c r="I133" s="30">
        <f>VLOOKUP(C133,DATA!$A$2:$G$243,5,FALSE)</f>
        <v>8000</v>
      </c>
      <c r="J133" s="30">
        <f t="shared" si="8"/>
        <v>8000</v>
      </c>
      <c r="K133" s="31">
        <f>VLOOKUP(C133,DATA!$A$2:$G$243,3,FALSE)</f>
        <v>6.95</v>
      </c>
      <c r="L133" s="31">
        <f>VLOOKUP(C133,DATA!$A$2:$G$243,4,FALSE)</f>
        <v>2.7800000000000002</v>
      </c>
      <c r="M133" s="31">
        <f t="shared" si="7"/>
        <v>2.7800000000000002</v>
      </c>
      <c r="N133" s="25" t="str">
        <f>VLOOKUP(C133,DATA!$A$2:$G$243,6,FALSE)</f>
        <v>3M Reflective Rope Laces</v>
      </c>
      <c r="O133" s="16">
        <v>28605</v>
      </c>
    </row>
    <row r="134" spans="1:15" s="4" customFormat="1">
      <c r="A134" s="16" t="s">
        <v>6</v>
      </c>
      <c r="B134" s="18">
        <v>42927</v>
      </c>
      <c r="C134" s="18" t="s">
        <v>486</v>
      </c>
      <c r="D134" s="21">
        <v>54</v>
      </c>
      <c r="E134" s="22">
        <v>1</v>
      </c>
      <c r="F134" s="18" t="s">
        <v>414</v>
      </c>
      <c r="G134" s="29" t="str">
        <f>VLOOKUP(C134,DATA!$A$2:$G$243,2,FALSE)</f>
        <v>Grey 3M/3M Reflective Rope Laces</v>
      </c>
      <c r="H134" s="30">
        <f t="shared" si="6"/>
        <v>1</v>
      </c>
      <c r="I134" s="30">
        <f>VLOOKUP(C134,DATA!$A$2:$G$243,5,FALSE)</f>
        <v>8000</v>
      </c>
      <c r="J134" s="30">
        <f t="shared" si="8"/>
        <v>8000</v>
      </c>
      <c r="K134" s="31">
        <f>VLOOKUP(C134,DATA!$A$2:$G$243,3,FALSE)</f>
        <v>5.95</v>
      </c>
      <c r="L134" s="31">
        <f>VLOOKUP(C134,DATA!$A$2:$G$243,4,FALSE)</f>
        <v>2.3800000000000003</v>
      </c>
      <c r="M134" s="31">
        <f t="shared" si="7"/>
        <v>2.3800000000000003</v>
      </c>
      <c r="N134" s="25" t="str">
        <f>VLOOKUP(C134,DATA!$A$2:$G$243,6,FALSE)</f>
        <v>3M Reflective Rope Laces</v>
      </c>
      <c r="O134" s="16">
        <v>28605</v>
      </c>
    </row>
    <row r="135" spans="1:15" s="4" customFormat="1">
      <c r="A135" s="16" t="s">
        <v>6</v>
      </c>
      <c r="B135" s="18">
        <v>42927</v>
      </c>
      <c r="C135" s="18" t="s">
        <v>487</v>
      </c>
      <c r="D135" s="21">
        <v>36</v>
      </c>
      <c r="E135" s="22">
        <v>2</v>
      </c>
      <c r="F135" s="18" t="s">
        <v>414</v>
      </c>
      <c r="G135" s="29" t="str">
        <f>VLOOKUP(C135,DATA!$A$2:$G$243,2,FALSE)</f>
        <v>Olive 3M Reflective Rope Laces</v>
      </c>
      <c r="H135" s="30">
        <f t="shared" si="6"/>
        <v>2</v>
      </c>
      <c r="I135" s="30">
        <f>VLOOKUP(C135,DATA!$A$2:$G$243,5,FALSE)</f>
        <v>8000</v>
      </c>
      <c r="J135" s="30">
        <f t="shared" si="8"/>
        <v>16000</v>
      </c>
      <c r="K135" s="31">
        <f>VLOOKUP(C135,DATA!$A$2:$G$243,3,FALSE)</f>
        <v>6.95</v>
      </c>
      <c r="L135" s="31">
        <f>VLOOKUP(C135,DATA!$A$2:$G$243,4,FALSE)</f>
        <v>2.7800000000000002</v>
      </c>
      <c r="M135" s="31">
        <f t="shared" si="7"/>
        <v>5.5600000000000005</v>
      </c>
      <c r="N135" s="25" t="str">
        <f>VLOOKUP(C135,DATA!$A$2:$G$243,6,FALSE)</f>
        <v>3M Reflective Rope Laces</v>
      </c>
      <c r="O135" s="16">
        <v>28605</v>
      </c>
    </row>
    <row r="136" spans="1:15" s="4" customFormat="1">
      <c r="A136" s="16" t="s">
        <v>6</v>
      </c>
      <c r="B136" s="18">
        <v>42927</v>
      </c>
      <c r="C136" s="18" t="s">
        <v>487</v>
      </c>
      <c r="D136" s="21">
        <v>45</v>
      </c>
      <c r="E136" s="22">
        <v>2</v>
      </c>
      <c r="F136" s="18" t="s">
        <v>414</v>
      </c>
      <c r="G136" s="29" t="str">
        <f>VLOOKUP(C136,DATA!$A$2:$G$243,2,FALSE)</f>
        <v>Olive 3M Reflective Rope Laces</v>
      </c>
      <c r="H136" s="30">
        <f t="shared" si="6"/>
        <v>2</v>
      </c>
      <c r="I136" s="30">
        <f>VLOOKUP(C136,DATA!$A$2:$G$243,5,FALSE)</f>
        <v>8000</v>
      </c>
      <c r="J136" s="30">
        <f t="shared" si="8"/>
        <v>16000</v>
      </c>
      <c r="K136" s="31">
        <f>VLOOKUP(C136,DATA!$A$2:$G$243,3,FALSE)</f>
        <v>6.95</v>
      </c>
      <c r="L136" s="31">
        <f>VLOOKUP(C136,DATA!$A$2:$G$243,4,FALSE)</f>
        <v>2.7800000000000002</v>
      </c>
      <c r="M136" s="31">
        <f t="shared" si="7"/>
        <v>5.5600000000000005</v>
      </c>
      <c r="N136" s="25" t="str">
        <f>VLOOKUP(C136,DATA!$A$2:$G$243,6,FALSE)</f>
        <v>3M Reflective Rope Laces</v>
      </c>
      <c r="O136" s="16">
        <v>28605</v>
      </c>
    </row>
    <row r="137" spans="1:15" s="4" customFormat="1">
      <c r="A137" s="16" t="s">
        <v>6</v>
      </c>
      <c r="B137" s="18">
        <v>42927</v>
      </c>
      <c r="C137" s="18" t="s">
        <v>487</v>
      </c>
      <c r="D137" s="21">
        <v>54</v>
      </c>
      <c r="E137" s="22">
        <v>1</v>
      </c>
      <c r="F137" s="18" t="s">
        <v>414</v>
      </c>
      <c r="G137" s="29" t="str">
        <f>VLOOKUP(C137,DATA!$A$2:$G$243,2,FALSE)</f>
        <v>Olive 3M Reflective Rope Laces</v>
      </c>
      <c r="H137" s="30">
        <f t="shared" si="6"/>
        <v>1</v>
      </c>
      <c r="I137" s="30">
        <f>VLOOKUP(C137,DATA!$A$2:$G$243,5,FALSE)</f>
        <v>8000</v>
      </c>
      <c r="J137" s="30">
        <f t="shared" si="8"/>
        <v>8000</v>
      </c>
      <c r="K137" s="31">
        <f>VLOOKUP(C137,DATA!$A$2:$G$243,3,FALSE)</f>
        <v>6.95</v>
      </c>
      <c r="L137" s="31">
        <f>VLOOKUP(C137,DATA!$A$2:$G$243,4,FALSE)</f>
        <v>2.7800000000000002</v>
      </c>
      <c r="M137" s="31">
        <f t="shared" si="7"/>
        <v>2.7800000000000002</v>
      </c>
      <c r="N137" s="25" t="str">
        <f>VLOOKUP(C137,DATA!$A$2:$G$243,6,FALSE)</f>
        <v>3M Reflective Rope Laces</v>
      </c>
      <c r="O137" s="16">
        <v>28605</v>
      </c>
    </row>
    <row r="138" spans="1:15" s="4" customFormat="1">
      <c r="A138" s="16" t="s">
        <v>6</v>
      </c>
      <c r="B138" s="18">
        <v>42927</v>
      </c>
      <c r="C138" s="18" t="s">
        <v>488</v>
      </c>
      <c r="D138" s="21">
        <v>36</v>
      </c>
      <c r="E138" s="22">
        <v>2</v>
      </c>
      <c r="F138" s="18" t="s">
        <v>414</v>
      </c>
      <c r="G138" s="29" t="str">
        <f>VLOOKUP(C138,DATA!$A$2:$G$243,2,FALSE)</f>
        <v>Volt 3M Reflective Rope Laces</v>
      </c>
      <c r="H138" s="30">
        <f t="shared" si="6"/>
        <v>2</v>
      </c>
      <c r="I138" s="30">
        <f>VLOOKUP(C138,DATA!$A$2:$G$243,5,FALSE)</f>
        <v>8000</v>
      </c>
      <c r="J138" s="30">
        <f t="shared" si="8"/>
        <v>16000</v>
      </c>
      <c r="K138" s="31">
        <f>VLOOKUP(C138,DATA!$A$2:$G$243,3,FALSE)</f>
        <v>6.95</v>
      </c>
      <c r="L138" s="31">
        <f>VLOOKUP(C138,DATA!$A$2:$G$243,4,FALSE)</f>
        <v>2.7800000000000002</v>
      </c>
      <c r="M138" s="31">
        <f t="shared" si="7"/>
        <v>5.5600000000000005</v>
      </c>
      <c r="N138" s="25" t="str">
        <f>VLOOKUP(C138,DATA!$A$2:$G$243,6,FALSE)</f>
        <v>3M Reflective Rope Laces</v>
      </c>
      <c r="O138" s="16">
        <v>28605</v>
      </c>
    </row>
    <row r="139" spans="1:15" s="4" customFormat="1">
      <c r="A139" s="16" t="s">
        <v>6</v>
      </c>
      <c r="B139" s="18">
        <v>42927</v>
      </c>
      <c r="C139" s="18" t="s">
        <v>488</v>
      </c>
      <c r="D139" s="21">
        <v>45</v>
      </c>
      <c r="E139" s="22">
        <v>2</v>
      </c>
      <c r="F139" s="18" t="s">
        <v>414</v>
      </c>
      <c r="G139" s="29" t="str">
        <f>VLOOKUP(C139,DATA!$A$2:$G$243,2,FALSE)</f>
        <v>Volt 3M Reflective Rope Laces</v>
      </c>
      <c r="H139" s="30">
        <f t="shared" si="6"/>
        <v>2</v>
      </c>
      <c r="I139" s="30">
        <f>VLOOKUP(C139,DATA!$A$2:$G$243,5,FALSE)</f>
        <v>8000</v>
      </c>
      <c r="J139" s="30">
        <f t="shared" si="8"/>
        <v>16000</v>
      </c>
      <c r="K139" s="31">
        <f>VLOOKUP(C139,DATA!$A$2:$G$243,3,FALSE)</f>
        <v>6.95</v>
      </c>
      <c r="L139" s="31">
        <f>VLOOKUP(C139,DATA!$A$2:$G$243,4,FALSE)</f>
        <v>2.7800000000000002</v>
      </c>
      <c r="M139" s="31">
        <f t="shared" si="7"/>
        <v>5.5600000000000005</v>
      </c>
      <c r="N139" s="25" t="str">
        <f>VLOOKUP(C139,DATA!$A$2:$G$243,6,FALSE)</f>
        <v>3M Reflective Rope Laces</v>
      </c>
      <c r="O139" s="16">
        <v>28605</v>
      </c>
    </row>
    <row r="140" spans="1:15" s="4" customFormat="1">
      <c r="A140" s="16" t="s">
        <v>6</v>
      </c>
      <c r="B140" s="18">
        <v>42927</v>
      </c>
      <c r="C140" s="18" t="s">
        <v>488</v>
      </c>
      <c r="D140" s="21">
        <v>54</v>
      </c>
      <c r="E140" s="22">
        <v>1</v>
      </c>
      <c r="F140" s="18" t="s">
        <v>414</v>
      </c>
      <c r="G140" s="29" t="str">
        <f>VLOOKUP(C140,DATA!$A$2:$G$243,2,FALSE)</f>
        <v>Volt 3M Reflective Rope Laces</v>
      </c>
      <c r="H140" s="30">
        <f t="shared" si="6"/>
        <v>1</v>
      </c>
      <c r="I140" s="30">
        <f>VLOOKUP(C140,DATA!$A$2:$G$243,5,FALSE)</f>
        <v>8000</v>
      </c>
      <c r="J140" s="30">
        <f t="shared" si="8"/>
        <v>8000</v>
      </c>
      <c r="K140" s="31">
        <f>VLOOKUP(C140,DATA!$A$2:$G$243,3,FALSE)</f>
        <v>6.95</v>
      </c>
      <c r="L140" s="31">
        <f>VLOOKUP(C140,DATA!$A$2:$G$243,4,FALSE)</f>
        <v>2.7800000000000002</v>
      </c>
      <c r="M140" s="31">
        <f t="shared" si="7"/>
        <v>2.7800000000000002</v>
      </c>
      <c r="N140" s="25" t="str">
        <f>VLOOKUP(C140,DATA!$A$2:$G$243,6,FALSE)</f>
        <v>3M Reflective Rope Laces</v>
      </c>
      <c r="O140" s="16">
        <v>28605</v>
      </c>
    </row>
    <row r="141" spans="1:15" s="4" customFormat="1">
      <c r="A141" s="16" t="s">
        <v>6</v>
      </c>
      <c r="B141" s="18">
        <v>42927</v>
      </c>
      <c r="C141" s="18" t="s">
        <v>489</v>
      </c>
      <c r="D141" s="21">
        <v>30</v>
      </c>
      <c r="E141" s="22">
        <v>1</v>
      </c>
      <c r="F141" s="18" t="s">
        <v>414</v>
      </c>
      <c r="G141" s="29" t="str">
        <f>VLOOKUP(C141,DATA!$A$2:$G$243,2,FALSE)</f>
        <v>Mint 3M Reflective Rope Laces</v>
      </c>
      <c r="H141" s="30">
        <f t="shared" si="6"/>
        <v>1</v>
      </c>
      <c r="I141" s="30">
        <f>VLOOKUP(C141,DATA!$A$2:$G$243,5,FALSE)</f>
        <v>8000</v>
      </c>
      <c r="J141" s="30">
        <f t="shared" si="8"/>
        <v>8000</v>
      </c>
      <c r="K141" s="31">
        <f>VLOOKUP(C141,DATA!$A$2:$G$243,3,FALSE)</f>
        <v>6.95</v>
      </c>
      <c r="L141" s="31">
        <f>VLOOKUP(C141,DATA!$A$2:$G$243,4,FALSE)</f>
        <v>2.7800000000000002</v>
      </c>
      <c r="M141" s="31">
        <f t="shared" si="7"/>
        <v>2.7800000000000002</v>
      </c>
      <c r="N141" s="25" t="str">
        <f>VLOOKUP(C141,DATA!$A$2:$G$243,6,FALSE)</f>
        <v>3M Reflective Rope Laces</v>
      </c>
      <c r="O141" s="16">
        <v>28605</v>
      </c>
    </row>
    <row r="142" spans="1:15" s="4" customFormat="1">
      <c r="A142" s="16" t="s">
        <v>6</v>
      </c>
      <c r="B142" s="18">
        <v>42927</v>
      </c>
      <c r="C142" s="18" t="s">
        <v>489</v>
      </c>
      <c r="D142" s="21">
        <v>36</v>
      </c>
      <c r="E142" s="22">
        <v>2</v>
      </c>
      <c r="F142" s="18" t="s">
        <v>414</v>
      </c>
      <c r="G142" s="29" t="str">
        <f>VLOOKUP(C142,DATA!$A$2:$G$243,2,FALSE)</f>
        <v>Mint 3M Reflective Rope Laces</v>
      </c>
      <c r="H142" s="30">
        <f t="shared" si="6"/>
        <v>2</v>
      </c>
      <c r="I142" s="30">
        <f>VLOOKUP(C142,DATA!$A$2:$G$243,5,FALSE)</f>
        <v>8000</v>
      </c>
      <c r="J142" s="30">
        <f t="shared" si="8"/>
        <v>16000</v>
      </c>
      <c r="K142" s="31">
        <f>VLOOKUP(C142,DATA!$A$2:$G$243,3,FALSE)</f>
        <v>6.95</v>
      </c>
      <c r="L142" s="31">
        <f>VLOOKUP(C142,DATA!$A$2:$G$243,4,FALSE)</f>
        <v>2.7800000000000002</v>
      </c>
      <c r="M142" s="31">
        <f t="shared" si="7"/>
        <v>5.5600000000000005</v>
      </c>
      <c r="N142" s="25" t="str">
        <f>VLOOKUP(C142,DATA!$A$2:$G$243,6,FALSE)</f>
        <v>3M Reflective Rope Laces</v>
      </c>
      <c r="O142" s="16">
        <v>28605</v>
      </c>
    </row>
    <row r="143" spans="1:15" s="4" customFormat="1">
      <c r="A143" s="16" t="s">
        <v>6</v>
      </c>
      <c r="B143" s="18">
        <v>42927</v>
      </c>
      <c r="C143" s="18" t="s">
        <v>489</v>
      </c>
      <c r="D143" s="21">
        <v>45</v>
      </c>
      <c r="E143" s="22">
        <v>2</v>
      </c>
      <c r="F143" s="18" t="s">
        <v>414</v>
      </c>
      <c r="G143" s="29" t="str">
        <f>VLOOKUP(C143,DATA!$A$2:$G$243,2,FALSE)</f>
        <v>Mint 3M Reflective Rope Laces</v>
      </c>
      <c r="H143" s="30">
        <f t="shared" si="6"/>
        <v>2</v>
      </c>
      <c r="I143" s="30">
        <f>VLOOKUP(C143,DATA!$A$2:$G$243,5,FALSE)</f>
        <v>8000</v>
      </c>
      <c r="J143" s="30">
        <f t="shared" si="8"/>
        <v>16000</v>
      </c>
      <c r="K143" s="31">
        <f>VLOOKUP(C143,DATA!$A$2:$G$243,3,FALSE)</f>
        <v>6.95</v>
      </c>
      <c r="L143" s="31">
        <f>VLOOKUP(C143,DATA!$A$2:$G$243,4,FALSE)</f>
        <v>2.7800000000000002</v>
      </c>
      <c r="M143" s="31">
        <f t="shared" si="7"/>
        <v>5.5600000000000005</v>
      </c>
      <c r="N143" s="25" t="str">
        <f>VLOOKUP(C143,DATA!$A$2:$G$243,6,FALSE)</f>
        <v>3M Reflective Rope Laces</v>
      </c>
      <c r="O143" s="16">
        <v>28605</v>
      </c>
    </row>
    <row r="144" spans="1:15" s="4" customFormat="1">
      <c r="A144" s="16" t="s">
        <v>6</v>
      </c>
      <c r="B144" s="18">
        <v>42927</v>
      </c>
      <c r="C144" s="18" t="s">
        <v>489</v>
      </c>
      <c r="D144" s="21">
        <v>54</v>
      </c>
      <c r="E144" s="22">
        <v>1</v>
      </c>
      <c r="F144" s="18" t="s">
        <v>414</v>
      </c>
      <c r="G144" s="29" t="str">
        <f>VLOOKUP(C144,DATA!$A$2:$G$243,2,FALSE)</f>
        <v>Mint 3M Reflective Rope Laces</v>
      </c>
      <c r="H144" s="30">
        <f t="shared" si="6"/>
        <v>1</v>
      </c>
      <c r="I144" s="30">
        <f>VLOOKUP(C144,DATA!$A$2:$G$243,5,FALSE)</f>
        <v>8000</v>
      </c>
      <c r="J144" s="30">
        <f t="shared" si="8"/>
        <v>8000</v>
      </c>
      <c r="K144" s="31">
        <f>VLOOKUP(C144,DATA!$A$2:$G$243,3,FALSE)</f>
        <v>6.95</v>
      </c>
      <c r="L144" s="31">
        <f>VLOOKUP(C144,DATA!$A$2:$G$243,4,FALSE)</f>
        <v>2.7800000000000002</v>
      </c>
      <c r="M144" s="31">
        <f t="shared" si="7"/>
        <v>2.7800000000000002</v>
      </c>
      <c r="N144" s="25" t="str">
        <f>VLOOKUP(C144,DATA!$A$2:$G$243,6,FALSE)</f>
        <v>3M Reflective Rope Laces</v>
      </c>
      <c r="O144" s="16">
        <v>28605</v>
      </c>
    </row>
    <row r="145" spans="1:15" s="4" customFormat="1">
      <c r="A145" s="16" t="s">
        <v>6</v>
      </c>
      <c r="B145" s="18">
        <v>42927</v>
      </c>
      <c r="C145" s="18" t="s">
        <v>490</v>
      </c>
      <c r="D145" s="21">
        <v>30</v>
      </c>
      <c r="E145" s="22">
        <v>1</v>
      </c>
      <c r="F145" s="18" t="s">
        <v>414</v>
      </c>
      <c r="G145" s="29" t="str">
        <f>VLOOKUP(C145,DATA!$A$2:$G$243,2,FALSE)</f>
        <v>Cove Blue 3M Reflective Rope Laces</v>
      </c>
      <c r="H145" s="30">
        <f t="shared" si="6"/>
        <v>1</v>
      </c>
      <c r="I145" s="30">
        <f>VLOOKUP(C145,DATA!$A$2:$G$243,5,FALSE)</f>
        <v>8000</v>
      </c>
      <c r="J145" s="30">
        <f t="shared" si="8"/>
        <v>8000</v>
      </c>
      <c r="K145" s="31">
        <f>VLOOKUP(C145,DATA!$A$2:$G$243,3,FALSE)</f>
        <v>6.95</v>
      </c>
      <c r="L145" s="31">
        <f>VLOOKUP(C145,DATA!$A$2:$G$243,4,FALSE)</f>
        <v>2.7800000000000002</v>
      </c>
      <c r="M145" s="31">
        <f t="shared" si="7"/>
        <v>2.7800000000000002</v>
      </c>
      <c r="N145" s="25" t="str">
        <f>VLOOKUP(C145,DATA!$A$2:$G$243,6,FALSE)</f>
        <v>3M Reflective Rope Laces</v>
      </c>
      <c r="O145" s="16">
        <v>28605</v>
      </c>
    </row>
    <row r="146" spans="1:15" s="4" customFormat="1">
      <c r="A146" s="16" t="s">
        <v>6</v>
      </c>
      <c r="B146" s="18">
        <v>42927</v>
      </c>
      <c r="C146" s="18" t="s">
        <v>490</v>
      </c>
      <c r="D146" s="21">
        <v>36</v>
      </c>
      <c r="E146" s="22">
        <v>2</v>
      </c>
      <c r="F146" s="18" t="s">
        <v>414</v>
      </c>
      <c r="G146" s="29" t="str">
        <f>VLOOKUP(C146,DATA!$A$2:$G$243,2,FALSE)</f>
        <v>Cove Blue 3M Reflective Rope Laces</v>
      </c>
      <c r="H146" s="30">
        <f t="shared" si="6"/>
        <v>2</v>
      </c>
      <c r="I146" s="30">
        <f>VLOOKUP(C146,DATA!$A$2:$G$243,5,FALSE)</f>
        <v>8000</v>
      </c>
      <c r="J146" s="30">
        <f t="shared" si="8"/>
        <v>16000</v>
      </c>
      <c r="K146" s="31">
        <f>VLOOKUP(C146,DATA!$A$2:$G$243,3,FALSE)</f>
        <v>6.95</v>
      </c>
      <c r="L146" s="31">
        <f>VLOOKUP(C146,DATA!$A$2:$G$243,4,FALSE)</f>
        <v>2.7800000000000002</v>
      </c>
      <c r="M146" s="31">
        <f t="shared" si="7"/>
        <v>5.5600000000000005</v>
      </c>
      <c r="N146" s="25" t="str">
        <f>VLOOKUP(C146,DATA!$A$2:$G$243,6,FALSE)</f>
        <v>3M Reflective Rope Laces</v>
      </c>
      <c r="O146" s="16">
        <v>28605</v>
      </c>
    </row>
    <row r="147" spans="1:15" s="4" customFormat="1">
      <c r="A147" s="16" t="s">
        <v>6</v>
      </c>
      <c r="B147" s="18">
        <v>42927</v>
      </c>
      <c r="C147" s="18" t="s">
        <v>490</v>
      </c>
      <c r="D147" s="21">
        <v>45</v>
      </c>
      <c r="E147" s="22">
        <v>2</v>
      </c>
      <c r="F147" s="18" t="s">
        <v>414</v>
      </c>
      <c r="G147" s="29" t="str">
        <f>VLOOKUP(C147,DATA!$A$2:$G$243,2,FALSE)</f>
        <v>Cove Blue 3M Reflective Rope Laces</v>
      </c>
      <c r="H147" s="30">
        <f t="shared" si="6"/>
        <v>2</v>
      </c>
      <c r="I147" s="30">
        <f>VLOOKUP(C147,DATA!$A$2:$G$243,5,FALSE)</f>
        <v>8000</v>
      </c>
      <c r="J147" s="30">
        <f t="shared" si="8"/>
        <v>16000</v>
      </c>
      <c r="K147" s="31">
        <f>VLOOKUP(C147,DATA!$A$2:$G$243,3,FALSE)</f>
        <v>6.95</v>
      </c>
      <c r="L147" s="31">
        <f>VLOOKUP(C147,DATA!$A$2:$G$243,4,FALSE)</f>
        <v>2.7800000000000002</v>
      </c>
      <c r="M147" s="31">
        <f t="shared" si="7"/>
        <v>5.5600000000000005</v>
      </c>
      <c r="N147" s="25" t="str">
        <f>VLOOKUP(C147,DATA!$A$2:$G$243,6,FALSE)</f>
        <v>3M Reflective Rope Laces</v>
      </c>
      <c r="O147" s="16">
        <v>28605</v>
      </c>
    </row>
    <row r="148" spans="1:15" s="4" customFormat="1">
      <c r="A148" s="16" t="s">
        <v>6</v>
      </c>
      <c r="B148" s="18">
        <v>42927</v>
      </c>
      <c r="C148" s="18" t="s">
        <v>490</v>
      </c>
      <c r="D148" s="21">
        <v>54</v>
      </c>
      <c r="E148" s="22">
        <v>1</v>
      </c>
      <c r="F148" s="18" t="s">
        <v>414</v>
      </c>
      <c r="G148" s="29" t="str">
        <f>VLOOKUP(C148,DATA!$A$2:$G$243,2,FALSE)</f>
        <v>Cove Blue 3M Reflective Rope Laces</v>
      </c>
      <c r="H148" s="30">
        <f t="shared" si="6"/>
        <v>1</v>
      </c>
      <c r="I148" s="30">
        <f>VLOOKUP(C148,DATA!$A$2:$G$243,5,FALSE)</f>
        <v>8000</v>
      </c>
      <c r="J148" s="30">
        <f t="shared" si="8"/>
        <v>8000</v>
      </c>
      <c r="K148" s="31">
        <f>VLOOKUP(C148,DATA!$A$2:$G$243,3,FALSE)</f>
        <v>6.95</v>
      </c>
      <c r="L148" s="31">
        <f>VLOOKUP(C148,DATA!$A$2:$G$243,4,FALSE)</f>
        <v>2.7800000000000002</v>
      </c>
      <c r="M148" s="31">
        <f t="shared" si="7"/>
        <v>2.7800000000000002</v>
      </c>
      <c r="N148" s="25" t="str">
        <f>VLOOKUP(C148,DATA!$A$2:$G$243,6,FALSE)</f>
        <v>3M Reflective Rope Laces</v>
      </c>
      <c r="O148" s="16">
        <v>28605</v>
      </c>
    </row>
    <row r="149" spans="1:15" s="4" customFormat="1">
      <c r="A149" s="16" t="s">
        <v>6</v>
      </c>
      <c r="B149" s="18">
        <v>42927</v>
      </c>
      <c r="C149" s="18" t="s">
        <v>491</v>
      </c>
      <c r="D149" s="21">
        <v>45</v>
      </c>
      <c r="E149" s="22">
        <v>1</v>
      </c>
      <c r="F149" s="18" t="s">
        <v>414</v>
      </c>
      <c r="G149" s="29" t="str">
        <f>VLOOKUP(C149,DATA!$A$2:$G$243,2,FALSE)</f>
        <v>Yellow 3M Reflective Rope Laces</v>
      </c>
      <c r="H149" s="30">
        <f t="shared" si="6"/>
        <v>1</v>
      </c>
      <c r="I149" s="30">
        <f>VLOOKUP(C149,DATA!$A$2:$G$243,5,FALSE)</f>
        <v>8000</v>
      </c>
      <c r="J149" s="30">
        <f t="shared" si="8"/>
        <v>8000</v>
      </c>
      <c r="K149" s="31">
        <f>VLOOKUP(C149,DATA!$A$2:$G$243,3,FALSE)</f>
        <v>6.95</v>
      </c>
      <c r="L149" s="31">
        <f>VLOOKUP(C149,DATA!$A$2:$G$243,4,FALSE)</f>
        <v>2.7800000000000002</v>
      </c>
      <c r="M149" s="31">
        <f t="shared" si="7"/>
        <v>2.7800000000000002</v>
      </c>
      <c r="N149" s="25" t="str">
        <f>VLOOKUP(C149,DATA!$A$2:$G$243,6,FALSE)</f>
        <v>3M Reflective Rope Laces</v>
      </c>
      <c r="O149" s="16">
        <v>28605</v>
      </c>
    </row>
    <row r="150" spans="1:15" s="4" customFormat="1">
      <c r="A150" s="16" t="s">
        <v>6</v>
      </c>
      <c r="B150" s="18">
        <v>42927</v>
      </c>
      <c r="C150" s="18" t="s">
        <v>491</v>
      </c>
      <c r="D150" s="21">
        <v>54</v>
      </c>
      <c r="E150" s="22">
        <v>1</v>
      </c>
      <c r="F150" s="18" t="s">
        <v>414</v>
      </c>
      <c r="G150" s="29" t="str">
        <f>VLOOKUP(C150,DATA!$A$2:$G$243,2,FALSE)</f>
        <v>Yellow 3M Reflective Rope Laces</v>
      </c>
      <c r="H150" s="30">
        <f t="shared" si="6"/>
        <v>1</v>
      </c>
      <c r="I150" s="30">
        <f>VLOOKUP(C150,DATA!$A$2:$G$243,5,FALSE)</f>
        <v>8000</v>
      </c>
      <c r="J150" s="30">
        <f t="shared" si="8"/>
        <v>8000</v>
      </c>
      <c r="K150" s="31">
        <f>VLOOKUP(C150,DATA!$A$2:$G$243,3,FALSE)</f>
        <v>6.95</v>
      </c>
      <c r="L150" s="31">
        <f>VLOOKUP(C150,DATA!$A$2:$G$243,4,FALSE)</f>
        <v>2.7800000000000002</v>
      </c>
      <c r="M150" s="31">
        <f t="shared" si="7"/>
        <v>2.7800000000000002</v>
      </c>
      <c r="N150" s="25" t="str">
        <f>VLOOKUP(C150,DATA!$A$2:$G$243,6,FALSE)</f>
        <v>3M Reflective Rope Laces</v>
      </c>
      <c r="O150" s="16">
        <v>28605</v>
      </c>
    </row>
    <row r="151" spans="1:15" s="4" customFormat="1">
      <c r="A151" s="16" t="s">
        <v>6</v>
      </c>
      <c r="B151" s="18">
        <v>42927</v>
      </c>
      <c r="C151" s="18" t="s">
        <v>492</v>
      </c>
      <c r="D151" s="21">
        <v>45</v>
      </c>
      <c r="E151" s="22">
        <v>1</v>
      </c>
      <c r="F151" s="18" t="s">
        <v>414</v>
      </c>
      <c r="G151" s="29" t="str">
        <f>VLOOKUP(C151,DATA!$A$2:$G$243,2,FALSE)</f>
        <v>Purple 3M Reflective Rope Laces</v>
      </c>
      <c r="H151" s="30">
        <f t="shared" si="6"/>
        <v>1</v>
      </c>
      <c r="I151" s="30">
        <f>VLOOKUP(C151,DATA!$A$2:$G$243,5,FALSE)</f>
        <v>8000</v>
      </c>
      <c r="J151" s="30">
        <f t="shared" si="8"/>
        <v>8000</v>
      </c>
      <c r="K151" s="31">
        <f>VLOOKUP(C151,DATA!$A$2:$G$243,3,FALSE)</f>
        <v>6.95</v>
      </c>
      <c r="L151" s="31">
        <f>VLOOKUP(C151,DATA!$A$2:$G$243,4,FALSE)</f>
        <v>2.7800000000000002</v>
      </c>
      <c r="M151" s="31">
        <f t="shared" si="7"/>
        <v>2.7800000000000002</v>
      </c>
      <c r="N151" s="25" t="str">
        <f>VLOOKUP(C151,DATA!$A$2:$G$243,6,FALSE)</f>
        <v>3M Reflective Rope Laces</v>
      </c>
      <c r="O151" s="16">
        <v>28605</v>
      </c>
    </row>
    <row r="152" spans="1:15" s="4" customFormat="1">
      <c r="A152" s="16" t="s">
        <v>6</v>
      </c>
      <c r="B152" s="18">
        <v>42927</v>
      </c>
      <c r="C152" s="18" t="s">
        <v>492</v>
      </c>
      <c r="D152" s="21">
        <v>54</v>
      </c>
      <c r="E152" s="22">
        <v>1</v>
      </c>
      <c r="F152" s="18" t="s">
        <v>414</v>
      </c>
      <c r="G152" s="29" t="str">
        <f>VLOOKUP(C152,DATA!$A$2:$G$243,2,FALSE)</f>
        <v>Purple 3M Reflective Rope Laces</v>
      </c>
      <c r="H152" s="30">
        <f t="shared" si="6"/>
        <v>1</v>
      </c>
      <c r="I152" s="30">
        <f>VLOOKUP(C152,DATA!$A$2:$G$243,5,FALSE)</f>
        <v>8000</v>
      </c>
      <c r="J152" s="30">
        <f t="shared" si="8"/>
        <v>8000</v>
      </c>
      <c r="K152" s="31">
        <f>VLOOKUP(C152,DATA!$A$2:$G$243,3,FALSE)</f>
        <v>6.95</v>
      </c>
      <c r="L152" s="31">
        <f>VLOOKUP(C152,DATA!$A$2:$G$243,4,FALSE)</f>
        <v>2.7800000000000002</v>
      </c>
      <c r="M152" s="31">
        <f t="shared" si="7"/>
        <v>2.7800000000000002</v>
      </c>
      <c r="N152" s="25" t="str">
        <f>VLOOKUP(C152,DATA!$A$2:$G$243,6,FALSE)</f>
        <v>3M Reflective Rope Laces</v>
      </c>
      <c r="O152" s="16">
        <v>28605</v>
      </c>
    </row>
    <row r="153" spans="1:15" s="4" customFormat="1">
      <c r="A153" s="16" t="s">
        <v>6</v>
      </c>
      <c r="B153" s="18">
        <v>42927</v>
      </c>
      <c r="C153" s="18" t="s">
        <v>493</v>
      </c>
      <c r="D153" s="21">
        <v>54</v>
      </c>
      <c r="E153" s="22">
        <v>1</v>
      </c>
      <c r="F153" s="18" t="s">
        <v>414</v>
      </c>
      <c r="G153" s="29" t="str">
        <f>VLOOKUP(C153,DATA!$A$2:$G$243,2,FALSE)</f>
        <v>Orange 3M Reflective Rope Laces</v>
      </c>
      <c r="H153" s="30">
        <f t="shared" si="6"/>
        <v>1</v>
      </c>
      <c r="I153" s="30">
        <f>VLOOKUP(C153,DATA!$A$2:$G$243,5,FALSE)</f>
        <v>8000</v>
      </c>
      <c r="J153" s="30">
        <f t="shared" si="8"/>
        <v>8000</v>
      </c>
      <c r="K153" s="31">
        <f>VLOOKUP(C153,DATA!$A$2:$G$243,3,FALSE)</f>
        <v>6.95</v>
      </c>
      <c r="L153" s="31">
        <f>VLOOKUP(C153,DATA!$A$2:$G$243,4,FALSE)</f>
        <v>2.7800000000000002</v>
      </c>
      <c r="M153" s="31">
        <f t="shared" si="7"/>
        <v>2.7800000000000002</v>
      </c>
      <c r="N153" s="25" t="str">
        <f>VLOOKUP(C153,DATA!$A$2:$G$243,6,FALSE)</f>
        <v>3M Reflective Rope Laces</v>
      </c>
      <c r="O153" s="16">
        <v>28605</v>
      </c>
    </row>
    <row r="154" spans="1:15" s="4" customFormat="1">
      <c r="A154" s="16" t="s">
        <v>6</v>
      </c>
      <c r="B154" s="18">
        <v>42927</v>
      </c>
      <c r="C154" s="18" t="s">
        <v>494</v>
      </c>
      <c r="D154" s="21">
        <v>30</v>
      </c>
      <c r="E154" s="22">
        <v>1</v>
      </c>
      <c r="F154" s="18" t="s">
        <v>414</v>
      </c>
      <c r="G154" s="29" t="str">
        <f>VLOOKUP(C154,DATA!$A$2:$G$243,2,FALSE)</f>
        <v>Pink 3M Reflective Rope Laces</v>
      </c>
      <c r="H154" s="30">
        <f t="shared" si="6"/>
        <v>1</v>
      </c>
      <c r="I154" s="30">
        <f>VLOOKUP(C154,DATA!$A$2:$G$243,5,FALSE)</f>
        <v>8000</v>
      </c>
      <c r="J154" s="30">
        <f t="shared" si="8"/>
        <v>8000</v>
      </c>
      <c r="K154" s="31">
        <f>VLOOKUP(C154,DATA!$A$2:$G$243,3,FALSE)</f>
        <v>6.95</v>
      </c>
      <c r="L154" s="31">
        <f>VLOOKUP(C154,DATA!$A$2:$G$243,4,FALSE)</f>
        <v>2.7800000000000002</v>
      </c>
      <c r="M154" s="31">
        <f t="shared" si="7"/>
        <v>2.7800000000000002</v>
      </c>
      <c r="N154" s="25" t="str">
        <f>VLOOKUP(C154,DATA!$A$2:$G$243,6,FALSE)</f>
        <v>3M Reflective Rope Laces</v>
      </c>
      <c r="O154" s="16">
        <v>28605</v>
      </c>
    </row>
    <row r="155" spans="1:15" s="4" customFormat="1">
      <c r="A155" s="16" t="s">
        <v>6</v>
      </c>
      <c r="B155" s="18">
        <v>42927</v>
      </c>
      <c r="C155" s="18" t="s">
        <v>494</v>
      </c>
      <c r="D155" s="21">
        <v>36</v>
      </c>
      <c r="E155" s="22">
        <v>1</v>
      </c>
      <c r="F155" s="18" t="s">
        <v>414</v>
      </c>
      <c r="G155" s="29" t="str">
        <f>VLOOKUP(C155,DATA!$A$2:$G$243,2,FALSE)</f>
        <v>Pink 3M Reflective Rope Laces</v>
      </c>
      <c r="H155" s="30">
        <f t="shared" si="6"/>
        <v>1</v>
      </c>
      <c r="I155" s="30">
        <f>VLOOKUP(C155,DATA!$A$2:$G$243,5,FALSE)</f>
        <v>8000</v>
      </c>
      <c r="J155" s="30">
        <f t="shared" si="8"/>
        <v>8000</v>
      </c>
      <c r="K155" s="31">
        <f>VLOOKUP(C155,DATA!$A$2:$G$243,3,FALSE)</f>
        <v>6.95</v>
      </c>
      <c r="L155" s="31">
        <f>VLOOKUP(C155,DATA!$A$2:$G$243,4,FALSE)</f>
        <v>2.7800000000000002</v>
      </c>
      <c r="M155" s="31">
        <f t="shared" si="7"/>
        <v>2.7800000000000002</v>
      </c>
      <c r="N155" s="25" t="str">
        <f>VLOOKUP(C155,DATA!$A$2:$G$243,6,FALSE)</f>
        <v>3M Reflective Rope Laces</v>
      </c>
      <c r="O155" s="16">
        <v>28605</v>
      </c>
    </row>
    <row r="156" spans="1:15" s="4" customFormat="1">
      <c r="A156" s="16" t="s">
        <v>6</v>
      </c>
      <c r="B156" s="18">
        <v>42927</v>
      </c>
      <c r="C156" s="18" t="s">
        <v>494</v>
      </c>
      <c r="D156" s="21">
        <v>45</v>
      </c>
      <c r="E156" s="22">
        <v>1</v>
      </c>
      <c r="F156" s="18" t="s">
        <v>414</v>
      </c>
      <c r="G156" s="29" t="str">
        <f>VLOOKUP(C156,DATA!$A$2:$G$243,2,FALSE)</f>
        <v>Pink 3M Reflective Rope Laces</v>
      </c>
      <c r="H156" s="30">
        <f t="shared" si="6"/>
        <v>1</v>
      </c>
      <c r="I156" s="30">
        <f>VLOOKUP(C156,DATA!$A$2:$G$243,5,FALSE)</f>
        <v>8000</v>
      </c>
      <c r="J156" s="30">
        <f t="shared" si="8"/>
        <v>8000</v>
      </c>
      <c r="K156" s="31">
        <f>VLOOKUP(C156,DATA!$A$2:$G$243,3,FALSE)</f>
        <v>6.95</v>
      </c>
      <c r="L156" s="31">
        <f>VLOOKUP(C156,DATA!$A$2:$G$243,4,FALSE)</f>
        <v>2.7800000000000002</v>
      </c>
      <c r="M156" s="31">
        <f t="shared" si="7"/>
        <v>2.7800000000000002</v>
      </c>
      <c r="N156" s="25" t="str">
        <f>VLOOKUP(C156,DATA!$A$2:$G$243,6,FALSE)</f>
        <v>3M Reflective Rope Laces</v>
      </c>
      <c r="O156" s="16">
        <v>28605</v>
      </c>
    </row>
    <row r="157" spans="1:15" s="4" customFormat="1">
      <c r="A157" s="16" t="s">
        <v>6</v>
      </c>
      <c r="B157" s="18">
        <v>42927</v>
      </c>
      <c r="C157" s="18" t="s">
        <v>494</v>
      </c>
      <c r="D157" s="21">
        <v>54</v>
      </c>
      <c r="E157" s="22">
        <v>1</v>
      </c>
      <c r="F157" s="18" t="s">
        <v>414</v>
      </c>
      <c r="G157" s="29" t="str">
        <f>VLOOKUP(C157,DATA!$A$2:$G$243,2,FALSE)</f>
        <v>Pink 3M Reflective Rope Laces</v>
      </c>
      <c r="H157" s="30">
        <f t="shared" si="6"/>
        <v>1</v>
      </c>
      <c r="I157" s="30">
        <f>VLOOKUP(C157,DATA!$A$2:$G$243,5,FALSE)</f>
        <v>8000</v>
      </c>
      <c r="J157" s="30">
        <f t="shared" si="8"/>
        <v>8000</v>
      </c>
      <c r="K157" s="31">
        <f>VLOOKUP(C157,DATA!$A$2:$G$243,3,FALSE)</f>
        <v>6.95</v>
      </c>
      <c r="L157" s="31">
        <f>VLOOKUP(C157,DATA!$A$2:$G$243,4,FALSE)</f>
        <v>2.7800000000000002</v>
      </c>
      <c r="M157" s="31">
        <f t="shared" si="7"/>
        <v>2.7800000000000002</v>
      </c>
      <c r="N157" s="25" t="str">
        <f>VLOOKUP(C157,DATA!$A$2:$G$243,6,FALSE)</f>
        <v>3M Reflective Rope Laces</v>
      </c>
      <c r="O157" s="16">
        <v>28605</v>
      </c>
    </row>
    <row r="158" spans="1:15" s="4" customFormat="1">
      <c r="A158" s="16" t="s">
        <v>6</v>
      </c>
      <c r="B158" s="18">
        <v>42927</v>
      </c>
      <c r="C158" s="18" t="s">
        <v>495</v>
      </c>
      <c r="D158" s="21">
        <v>36</v>
      </c>
      <c r="E158" s="22">
        <v>1</v>
      </c>
      <c r="F158" s="18" t="s">
        <v>414</v>
      </c>
      <c r="G158" s="29" t="str">
        <f>VLOOKUP(C158,DATA!$A$2:$G$243,2,FALSE)</f>
        <v>Green 3M Reflective Rope Laces</v>
      </c>
      <c r="H158" s="30">
        <f t="shared" si="6"/>
        <v>1</v>
      </c>
      <c r="I158" s="30">
        <f>VLOOKUP(C158,DATA!$A$2:$G$243,5,FALSE)</f>
        <v>8000</v>
      </c>
      <c r="J158" s="30">
        <f t="shared" si="8"/>
        <v>8000</v>
      </c>
      <c r="K158" s="31">
        <f>VLOOKUP(C158,DATA!$A$2:$G$243,3,FALSE)</f>
        <v>5.95</v>
      </c>
      <c r="L158" s="31">
        <f>VLOOKUP(C158,DATA!$A$2:$G$243,4,FALSE)</f>
        <v>2.3800000000000003</v>
      </c>
      <c r="M158" s="31">
        <f t="shared" si="7"/>
        <v>2.3800000000000003</v>
      </c>
      <c r="N158" s="25" t="str">
        <f>VLOOKUP(C158,DATA!$A$2:$G$243,6,FALSE)</f>
        <v>3M Reflective Rope Laces</v>
      </c>
      <c r="O158" s="16">
        <v>28605</v>
      </c>
    </row>
    <row r="159" spans="1:15" s="4" customFormat="1">
      <c r="A159" s="16" t="s">
        <v>6</v>
      </c>
      <c r="B159" s="18">
        <v>42927</v>
      </c>
      <c r="C159" s="18" t="s">
        <v>495</v>
      </c>
      <c r="D159" s="21">
        <v>45</v>
      </c>
      <c r="E159" s="22">
        <v>1</v>
      </c>
      <c r="F159" s="18" t="s">
        <v>414</v>
      </c>
      <c r="G159" s="29" t="str">
        <f>VLOOKUP(C159,DATA!$A$2:$G$243,2,FALSE)</f>
        <v>Green 3M Reflective Rope Laces</v>
      </c>
      <c r="H159" s="30">
        <f t="shared" si="6"/>
        <v>1</v>
      </c>
      <c r="I159" s="30">
        <f>VLOOKUP(C159,DATA!$A$2:$G$243,5,FALSE)</f>
        <v>8000</v>
      </c>
      <c r="J159" s="30">
        <f t="shared" si="8"/>
        <v>8000</v>
      </c>
      <c r="K159" s="31">
        <f>VLOOKUP(C159,DATA!$A$2:$G$243,3,FALSE)</f>
        <v>5.95</v>
      </c>
      <c r="L159" s="31">
        <f>VLOOKUP(C159,DATA!$A$2:$G$243,4,FALSE)</f>
        <v>2.3800000000000003</v>
      </c>
      <c r="M159" s="31">
        <f t="shared" si="7"/>
        <v>2.3800000000000003</v>
      </c>
      <c r="N159" s="25" t="str">
        <f>VLOOKUP(C159,DATA!$A$2:$G$243,6,FALSE)</f>
        <v>3M Reflective Rope Laces</v>
      </c>
      <c r="O159" s="16">
        <v>28605</v>
      </c>
    </row>
    <row r="160" spans="1:15" s="4" customFormat="1">
      <c r="A160" s="16" t="s">
        <v>6</v>
      </c>
      <c r="B160" s="18">
        <v>42927</v>
      </c>
      <c r="C160" s="18" t="s">
        <v>495</v>
      </c>
      <c r="D160" s="21">
        <v>54</v>
      </c>
      <c r="E160" s="22">
        <v>1</v>
      </c>
      <c r="F160" s="18" t="s">
        <v>414</v>
      </c>
      <c r="G160" s="29" t="str">
        <f>VLOOKUP(C160,DATA!$A$2:$G$243,2,FALSE)</f>
        <v>Green 3M Reflective Rope Laces</v>
      </c>
      <c r="H160" s="30">
        <f t="shared" si="6"/>
        <v>1</v>
      </c>
      <c r="I160" s="30">
        <f>VLOOKUP(C160,DATA!$A$2:$G$243,5,FALSE)</f>
        <v>8000</v>
      </c>
      <c r="J160" s="30">
        <f t="shared" si="8"/>
        <v>8000</v>
      </c>
      <c r="K160" s="31">
        <f>VLOOKUP(C160,DATA!$A$2:$G$243,3,FALSE)</f>
        <v>5.95</v>
      </c>
      <c r="L160" s="31">
        <f>VLOOKUP(C160,DATA!$A$2:$G$243,4,FALSE)</f>
        <v>2.3800000000000003</v>
      </c>
      <c r="M160" s="31">
        <f t="shared" si="7"/>
        <v>2.3800000000000003</v>
      </c>
      <c r="N160" s="25" t="str">
        <f>VLOOKUP(C160,DATA!$A$2:$G$243,6,FALSE)</f>
        <v>3M Reflective Rope Laces</v>
      </c>
      <c r="O160" s="16">
        <v>28605</v>
      </c>
    </row>
    <row r="161" spans="1:15" s="4" customFormat="1">
      <c r="A161" s="16" t="s">
        <v>6</v>
      </c>
      <c r="B161" s="18">
        <v>42927</v>
      </c>
      <c r="C161" s="18" t="s">
        <v>496</v>
      </c>
      <c r="D161" s="21">
        <v>36</v>
      </c>
      <c r="E161" s="22">
        <v>1</v>
      </c>
      <c r="F161" s="18" t="s">
        <v>414</v>
      </c>
      <c r="G161" s="29" t="str">
        <f>VLOOKUP(C161,DATA!$A$2:$G$243,2,FALSE)</f>
        <v>Sapphire 3M Reflective Rope Laces</v>
      </c>
      <c r="H161" s="30">
        <f t="shared" si="6"/>
        <v>1</v>
      </c>
      <c r="I161" s="30">
        <f>VLOOKUP(C161,DATA!$A$2:$G$243,5,FALSE)</f>
        <v>8000</v>
      </c>
      <c r="J161" s="30">
        <f t="shared" si="8"/>
        <v>8000</v>
      </c>
      <c r="K161" s="31">
        <f>VLOOKUP(C161,DATA!$A$2:$G$243,3,FALSE)</f>
        <v>6.95</v>
      </c>
      <c r="L161" s="31">
        <f>VLOOKUP(C161,DATA!$A$2:$G$243,4,FALSE)</f>
        <v>2.7800000000000002</v>
      </c>
      <c r="M161" s="31">
        <f t="shared" si="7"/>
        <v>2.7800000000000002</v>
      </c>
      <c r="N161" s="25" t="str">
        <f>VLOOKUP(C161,DATA!$A$2:$G$243,6,FALSE)</f>
        <v>3M Reflective Rope Laces</v>
      </c>
      <c r="O161" s="16">
        <v>28605</v>
      </c>
    </row>
    <row r="162" spans="1:15" s="4" customFormat="1">
      <c r="A162" s="16" t="s">
        <v>6</v>
      </c>
      <c r="B162" s="18">
        <v>42927</v>
      </c>
      <c r="C162" s="18" t="s">
        <v>496</v>
      </c>
      <c r="D162" s="21">
        <v>45</v>
      </c>
      <c r="E162" s="22">
        <v>1</v>
      </c>
      <c r="F162" s="18" t="s">
        <v>414</v>
      </c>
      <c r="G162" s="29" t="str">
        <f>VLOOKUP(C162,DATA!$A$2:$G$243,2,FALSE)</f>
        <v>Sapphire 3M Reflective Rope Laces</v>
      </c>
      <c r="H162" s="30">
        <f t="shared" si="6"/>
        <v>1</v>
      </c>
      <c r="I162" s="30">
        <f>VLOOKUP(C162,DATA!$A$2:$G$243,5,FALSE)</f>
        <v>8000</v>
      </c>
      <c r="J162" s="30">
        <f t="shared" si="8"/>
        <v>8000</v>
      </c>
      <c r="K162" s="31">
        <f>VLOOKUP(C162,DATA!$A$2:$G$243,3,FALSE)</f>
        <v>6.95</v>
      </c>
      <c r="L162" s="31">
        <f>VLOOKUP(C162,DATA!$A$2:$G$243,4,FALSE)</f>
        <v>2.7800000000000002</v>
      </c>
      <c r="M162" s="31">
        <f t="shared" si="7"/>
        <v>2.7800000000000002</v>
      </c>
      <c r="N162" s="25" t="str">
        <f>VLOOKUP(C162,DATA!$A$2:$G$243,6,FALSE)</f>
        <v>3M Reflective Rope Laces</v>
      </c>
      <c r="O162" s="16">
        <v>28605</v>
      </c>
    </row>
    <row r="163" spans="1:15" s="4" customFormat="1">
      <c r="A163" s="16" t="s">
        <v>6</v>
      </c>
      <c r="B163" s="18">
        <v>42927</v>
      </c>
      <c r="C163" s="18" t="s">
        <v>496</v>
      </c>
      <c r="D163" s="21">
        <v>54</v>
      </c>
      <c r="E163" s="22">
        <v>1</v>
      </c>
      <c r="F163" s="18" t="s">
        <v>414</v>
      </c>
      <c r="G163" s="29" t="str">
        <f>VLOOKUP(C163,DATA!$A$2:$G$243,2,FALSE)</f>
        <v>Sapphire 3M Reflective Rope Laces</v>
      </c>
      <c r="H163" s="30">
        <f t="shared" si="6"/>
        <v>1</v>
      </c>
      <c r="I163" s="30">
        <f>VLOOKUP(C163,DATA!$A$2:$G$243,5,FALSE)</f>
        <v>8000</v>
      </c>
      <c r="J163" s="30">
        <f t="shared" si="8"/>
        <v>8000</v>
      </c>
      <c r="K163" s="31">
        <f>VLOOKUP(C163,DATA!$A$2:$G$243,3,FALSE)</f>
        <v>6.95</v>
      </c>
      <c r="L163" s="31">
        <f>VLOOKUP(C163,DATA!$A$2:$G$243,4,FALSE)</f>
        <v>2.7800000000000002</v>
      </c>
      <c r="M163" s="31">
        <f t="shared" si="7"/>
        <v>2.7800000000000002</v>
      </c>
      <c r="N163" s="25" t="str">
        <f>VLOOKUP(C163,DATA!$A$2:$G$243,6,FALSE)</f>
        <v>3M Reflective Rope Laces</v>
      </c>
      <c r="O163" s="16">
        <v>28605</v>
      </c>
    </row>
    <row r="164" spans="1:15" s="4" customFormat="1">
      <c r="A164" s="16" t="s">
        <v>6</v>
      </c>
      <c r="B164" s="18">
        <v>42927</v>
      </c>
      <c r="C164" s="18" t="s">
        <v>421</v>
      </c>
      <c r="D164" s="19">
        <v>30</v>
      </c>
      <c r="E164" s="22">
        <v>1</v>
      </c>
      <c r="F164" s="18" t="s">
        <v>414</v>
      </c>
      <c r="G164" s="29" t="str">
        <f>VLOOKUP(C164,DATA!$A$2:$G$243,2,FALSE)</f>
        <v>Black 3M Inverse Rope Laces</v>
      </c>
      <c r="H164" s="30">
        <f t="shared" si="6"/>
        <v>1</v>
      </c>
      <c r="I164" s="30">
        <f>VLOOKUP(C164,DATA!$A$2:$G$243,5,FALSE)</f>
        <v>8000</v>
      </c>
      <c r="J164" s="30">
        <f t="shared" si="8"/>
        <v>8000</v>
      </c>
      <c r="K164" s="31">
        <f>VLOOKUP(C164,DATA!$A$2:$G$243,3,FALSE)</f>
        <v>6.95</v>
      </c>
      <c r="L164" s="31">
        <f>VLOOKUP(C164,DATA!$A$2:$G$243,4,FALSE)</f>
        <v>2.7800000000000002</v>
      </c>
      <c r="M164" s="31">
        <f t="shared" si="7"/>
        <v>2.7800000000000002</v>
      </c>
      <c r="N164" s="25" t="str">
        <f>VLOOKUP(C164,DATA!$A$2:$G$243,6,FALSE)</f>
        <v>3M Inverse Rope Laces</v>
      </c>
      <c r="O164" s="16">
        <v>28605</v>
      </c>
    </row>
    <row r="165" spans="1:15" s="4" customFormat="1">
      <c r="A165" s="16" t="s">
        <v>6</v>
      </c>
      <c r="B165" s="18">
        <v>42927</v>
      </c>
      <c r="C165" s="18" t="s">
        <v>421</v>
      </c>
      <c r="D165" s="21">
        <v>36</v>
      </c>
      <c r="E165" s="22">
        <v>2</v>
      </c>
      <c r="F165" s="18" t="s">
        <v>414</v>
      </c>
      <c r="G165" s="29" t="str">
        <f>VLOOKUP(C165,DATA!$A$2:$G$243,2,FALSE)</f>
        <v>Black 3M Inverse Rope Laces</v>
      </c>
      <c r="H165" s="30">
        <f t="shared" si="6"/>
        <v>2</v>
      </c>
      <c r="I165" s="30">
        <f>VLOOKUP(C165,DATA!$A$2:$G$243,5,FALSE)</f>
        <v>8000</v>
      </c>
      <c r="J165" s="30">
        <f t="shared" si="8"/>
        <v>16000</v>
      </c>
      <c r="K165" s="31">
        <f>VLOOKUP(C165,DATA!$A$2:$G$243,3,FALSE)</f>
        <v>6.95</v>
      </c>
      <c r="L165" s="31">
        <f>VLOOKUP(C165,DATA!$A$2:$G$243,4,FALSE)</f>
        <v>2.7800000000000002</v>
      </c>
      <c r="M165" s="31">
        <f t="shared" si="7"/>
        <v>5.5600000000000005</v>
      </c>
      <c r="N165" s="25" t="str">
        <f>VLOOKUP(C165,DATA!$A$2:$G$243,6,FALSE)</f>
        <v>3M Inverse Rope Laces</v>
      </c>
      <c r="O165" s="16">
        <v>28605</v>
      </c>
    </row>
    <row r="166" spans="1:15" s="4" customFormat="1">
      <c r="A166" s="16" t="s">
        <v>6</v>
      </c>
      <c r="B166" s="18">
        <v>42927</v>
      </c>
      <c r="C166" s="18" t="s">
        <v>421</v>
      </c>
      <c r="D166" s="21">
        <v>41</v>
      </c>
      <c r="E166" s="22">
        <v>2</v>
      </c>
      <c r="F166" s="18" t="s">
        <v>414</v>
      </c>
      <c r="G166" s="29" t="str">
        <f>VLOOKUP(C166,DATA!$A$2:$G$243,2,FALSE)</f>
        <v>Black 3M Inverse Rope Laces</v>
      </c>
      <c r="H166" s="30">
        <f t="shared" si="6"/>
        <v>2</v>
      </c>
      <c r="I166" s="30">
        <f>VLOOKUP(C166,DATA!$A$2:$G$243,5,FALSE)</f>
        <v>8000</v>
      </c>
      <c r="J166" s="30">
        <f t="shared" si="8"/>
        <v>16000</v>
      </c>
      <c r="K166" s="31">
        <f>VLOOKUP(C166,DATA!$A$2:$G$243,3,FALSE)</f>
        <v>6.95</v>
      </c>
      <c r="L166" s="31">
        <f>VLOOKUP(C166,DATA!$A$2:$G$243,4,FALSE)</f>
        <v>2.7800000000000002</v>
      </c>
      <c r="M166" s="31">
        <f t="shared" si="7"/>
        <v>5.5600000000000005</v>
      </c>
      <c r="N166" s="25" t="str">
        <f>VLOOKUP(C166,DATA!$A$2:$G$243,6,FALSE)</f>
        <v>3M Inverse Rope Laces</v>
      </c>
      <c r="O166" s="16">
        <v>28605</v>
      </c>
    </row>
    <row r="167" spans="1:15" s="4" customFormat="1">
      <c r="A167" s="16" t="s">
        <v>6</v>
      </c>
      <c r="B167" s="18">
        <v>42927</v>
      </c>
      <c r="C167" s="18" t="s">
        <v>421</v>
      </c>
      <c r="D167" s="21">
        <v>45</v>
      </c>
      <c r="E167" s="22">
        <v>2</v>
      </c>
      <c r="F167" s="18" t="s">
        <v>414</v>
      </c>
      <c r="G167" s="29" t="str">
        <f>VLOOKUP(C167,DATA!$A$2:$G$243,2,FALSE)</f>
        <v>Black 3M Inverse Rope Laces</v>
      </c>
      <c r="H167" s="30">
        <f t="shared" si="6"/>
        <v>2</v>
      </c>
      <c r="I167" s="30">
        <f>VLOOKUP(C167,DATA!$A$2:$G$243,5,FALSE)</f>
        <v>8000</v>
      </c>
      <c r="J167" s="30">
        <f t="shared" si="8"/>
        <v>16000</v>
      </c>
      <c r="K167" s="31">
        <f>VLOOKUP(C167,DATA!$A$2:$G$243,3,FALSE)</f>
        <v>6.95</v>
      </c>
      <c r="L167" s="31">
        <f>VLOOKUP(C167,DATA!$A$2:$G$243,4,FALSE)</f>
        <v>2.7800000000000002</v>
      </c>
      <c r="M167" s="31">
        <f t="shared" si="7"/>
        <v>5.5600000000000005</v>
      </c>
      <c r="N167" s="25" t="str">
        <f>VLOOKUP(C167,DATA!$A$2:$G$243,6,FALSE)</f>
        <v>3M Inverse Rope Laces</v>
      </c>
      <c r="O167" s="16">
        <v>28605</v>
      </c>
    </row>
    <row r="168" spans="1:15" s="4" customFormat="1">
      <c r="A168" s="16" t="s">
        <v>6</v>
      </c>
      <c r="B168" s="18">
        <v>42927</v>
      </c>
      <c r="C168" s="18" t="s">
        <v>421</v>
      </c>
      <c r="D168" s="21">
        <v>54</v>
      </c>
      <c r="E168" s="22">
        <v>1</v>
      </c>
      <c r="F168" s="18" t="s">
        <v>414</v>
      </c>
      <c r="G168" s="29" t="str">
        <f>VLOOKUP(C168,DATA!$A$2:$G$243,2,FALSE)</f>
        <v>Black 3M Inverse Rope Laces</v>
      </c>
      <c r="H168" s="30">
        <f t="shared" si="6"/>
        <v>1</v>
      </c>
      <c r="I168" s="30">
        <f>VLOOKUP(C168,DATA!$A$2:$G$243,5,FALSE)</f>
        <v>8000</v>
      </c>
      <c r="J168" s="30">
        <f t="shared" si="8"/>
        <v>8000</v>
      </c>
      <c r="K168" s="31">
        <f>VLOOKUP(C168,DATA!$A$2:$G$243,3,FALSE)</f>
        <v>6.95</v>
      </c>
      <c r="L168" s="31">
        <f>VLOOKUP(C168,DATA!$A$2:$G$243,4,FALSE)</f>
        <v>2.7800000000000002</v>
      </c>
      <c r="M168" s="31">
        <f t="shared" si="7"/>
        <v>2.7800000000000002</v>
      </c>
      <c r="N168" s="25" t="str">
        <f>VLOOKUP(C168,DATA!$A$2:$G$243,6,FALSE)</f>
        <v>3M Inverse Rope Laces</v>
      </c>
      <c r="O168" s="16">
        <v>28605</v>
      </c>
    </row>
    <row r="169" spans="1:15" s="4" customFormat="1">
      <c r="A169" s="16" t="s">
        <v>6</v>
      </c>
      <c r="B169" s="18">
        <v>42927</v>
      </c>
      <c r="C169" s="18" t="s">
        <v>497</v>
      </c>
      <c r="D169" s="21">
        <v>30</v>
      </c>
      <c r="E169" s="22">
        <v>1</v>
      </c>
      <c r="F169" s="18" t="s">
        <v>414</v>
      </c>
      <c r="G169" s="29" t="str">
        <f>VLOOKUP(C169,DATA!$A$2:$G$243,2,FALSE)</f>
        <v>White 3M Inverse Rope Laces</v>
      </c>
      <c r="H169" s="30">
        <f t="shared" si="6"/>
        <v>1</v>
      </c>
      <c r="I169" s="30">
        <f>VLOOKUP(C169,DATA!$A$2:$G$243,5,FALSE)</f>
        <v>8000</v>
      </c>
      <c r="J169" s="30">
        <f t="shared" si="8"/>
        <v>8000</v>
      </c>
      <c r="K169" s="31">
        <f>VLOOKUP(C169,DATA!$A$2:$G$243,3,FALSE)</f>
        <v>6.95</v>
      </c>
      <c r="L169" s="31">
        <f>VLOOKUP(C169,DATA!$A$2:$G$243,4,FALSE)</f>
        <v>2.7800000000000002</v>
      </c>
      <c r="M169" s="31">
        <f t="shared" si="7"/>
        <v>2.7800000000000002</v>
      </c>
      <c r="N169" s="25" t="str">
        <f>VLOOKUP(C169,DATA!$A$2:$G$243,6,FALSE)</f>
        <v>3M Inverse Rope Laces</v>
      </c>
      <c r="O169" s="16">
        <v>28605</v>
      </c>
    </row>
    <row r="170" spans="1:15" s="4" customFormat="1">
      <c r="A170" s="16" t="s">
        <v>6</v>
      </c>
      <c r="B170" s="18">
        <v>42927</v>
      </c>
      <c r="C170" s="18" t="s">
        <v>497</v>
      </c>
      <c r="D170" s="21">
        <v>36</v>
      </c>
      <c r="E170" s="22">
        <v>2</v>
      </c>
      <c r="F170" s="18" t="s">
        <v>414</v>
      </c>
      <c r="G170" s="29" t="str">
        <f>VLOOKUP(C170,DATA!$A$2:$G$243,2,FALSE)</f>
        <v>White 3M Inverse Rope Laces</v>
      </c>
      <c r="H170" s="30">
        <f t="shared" si="6"/>
        <v>2</v>
      </c>
      <c r="I170" s="30">
        <f>VLOOKUP(C170,DATA!$A$2:$G$243,5,FALSE)</f>
        <v>8000</v>
      </c>
      <c r="J170" s="30">
        <f t="shared" si="8"/>
        <v>16000</v>
      </c>
      <c r="K170" s="31">
        <f>VLOOKUP(C170,DATA!$A$2:$G$243,3,FALSE)</f>
        <v>6.95</v>
      </c>
      <c r="L170" s="31">
        <f>VLOOKUP(C170,DATA!$A$2:$G$243,4,FALSE)</f>
        <v>2.7800000000000002</v>
      </c>
      <c r="M170" s="31">
        <f t="shared" si="7"/>
        <v>5.5600000000000005</v>
      </c>
      <c r="N170" s="25" t="str">
        <f>VLOOKUP(C170,DATA!$A$2:$G$243,6,FALSE)</f>
        <v>3M Inverse Rope Laces</v>
      </c>
      <c r="O170" s="16">
        <v>28605</v>
      </c>
    </row>
    <row r="171" spans="1:15" s="4" customFormat="1">
      <c r="A171" s="16" t="s">
        <v>6</v>
      </c>
      <c r="B171" s="18">
        <v>42927</v>
      </c>
      <c r="C171" s="18" t="s">
        <v>497</v>
      </c>
      <c r="D171" s="21">
        <v>41</v>
      </c>
      <c r="E171" s="22">
        <v>2</v>
      </c>
      <c r="F171" s="18" t="s">
        <v>414</v>
      </c>
      <c r="G171" s="29" t="str">
        <f>VLOOKUP(C171,DATA!$A$2:$G$243,2,FALSE)</f>
        <v>White 3M Inverse Rope Laces</v>
      </c>
      <c r="H171" s="30">
        <f t="shared" si="6"/>
        <v>2</v>
      </c>
      <c r="I171" s="30">
        <f>VLOOKUP(C171,DATA!$A$2:$G$243,5,FALSE)</f>
        <v>8000</v>
      </c>
      <c r="J171" s="30">
        <f t="shared" si="8"/>
        <v>16000</v>
      </c>
      <c r="K171" s="31">
        <f>VLOOKUP(C171,DATA!$A$2:$G$243,3,FALSE)</f>
        <v>6.95</v>
      </c>
      <c r="L171" s="31">
        <f>VLOOKUP(C171,DATA!$A$2:$G$243,4,FALSE)</f>
        <v>2.7800000000000002</v>
      </c>
      <c r="M171" s="31">
        <f t="shared" si="7"/>
        <v>5.5600000000000005</v>
      </c>
      <c r="N171" s="25" t="str">
        <f>VLOOKUP(C171,DATA!$A$2:$G$243,6,FALSE)</f>
        <v>3M Inverse Rope Laces</v>
      </c>
      <c r="O171" s="16">
        <v>28605</v>
      </c>
    </row>
    <row r="172" spans="1:15" s="4" customFormat="1">
      <c r="A172" s="16" t="s">
        <v>6</v>
      </c>
      <c r="B172" s="18">
        <v>42927</v>
      </c>
      <c r="C172" s="18" t="s">
        <v>497</v>
      </c>
      <c r="D172" s="21">
        <v>45</v>
      </c>
      <c r="E172" s="22">
        <v>2</v>
      </c>
      <c r="F172" s="18" t="s">
        <v>414</v>
      </c>
      <c r="G172" s="29" t="str">
        <f>VLOOKUP(C172,DATA!$A$2:$G$243,2,FALSE)</f>
        <v>White 3M Inverse Rope Laces</v>
      </c>
      <c r="H172" s="30">
        <f t="shared" si="6"/>
        <v>2</v>
      </c>
      <c r="I172" s="30">
        <f>VLOOKUP(C172,DATA!$A$2:$G$243,5,FALSE)</f>
        <v>8000</v>
      </c>
      <c r="J172" s="30">
        <f t="shared" si="8"/>
        <v>16000</v>
      </c>
      <c r="K172" s="31">
        <f>VLOOKUP(C172,DATA!$A$2:$G$243,3,FALSE)</f>
        <v>6.95</v>
      </c>
      <c r="L172" s="31">
        <f>VLOOKUP(C172,DATA!$A$2:$G$243,4,FALSE)</f>
        <v>2.7800000000000002</v>
      </c>
      <c r="M172" s="31">
        <f t="shared" si="7"/>
        <v>5.5600000000000005</v>
      </c>
      <c r="N172" s="25" t="str">
        <f>VLOOKUP(C172,DATA!$A$2:$G$243,6,FALSE)</f>
        <v>3M Inverse Rope Laces</v>
      </c>
      <c r="O172" s="16">
        <v>28605</v>
      </c>
    </row>
    <row r="173" spans="1:15" s="4" customFormat="1">
      <c r="A173" s="16" t="s">
        <v>6</v>
      </c>
      <c r="B173" s="18">
        <v>42927</v>
      </c>
      <c r="C173" s="18" t="s">
        <v>497</v>
      </c>
      <c r="D173" s="21">
        <v>54</v>
      </c>
      <c r="E173" s="22">
        <v>1</v>
      </c>
      <c r="F173" s="18" t="s">
        <v>414</v>
      </c>
      <c r="G173" s="29" t="str">
        <f>VLOOKUP(C173,DATA!$A$2:$G$243,2,FALSE)</f>
        <v>White 3M Inverse Rope Laces</v>
      </c>
      <c r="H173" s="30">
        <f t="shared" si="6"/>
        <v>1</v>
      </c>
      <c r="I173" s="30">
        <f>VLOOKUP(C173,DATA!$A$2:$G$243,5,FALSE)</f>
        <v>8000</v>
      </c>
      <c r="J173" s="30">
        <f t="shared" si="8"/>
        <v>8000</v>
      </c>
      <c r="K173" s="31">
        <f>VLOOKUP(C173,DATA!$A$2:$G$243,3,FALSE)</f>
        <v>6.95</v>
      </c>
      <c r="L173" s="31">
        <f>VLOOKUP(C173,DATA!$A$2:$G$243,4,FALSE)</f>
        <v>2.7800000000000002</v>
      </c>
      <c r="M173" s="31">
        <f t="shared" si="7"/>
        <v>2.7800000000000002</v>
      </c>
      <c r="N173" s="25" t="str">
        <f>VLOOKUP(C173,DATA!$A$2:$G$243,6,FALSE)</f>
        <v>3M Inverse Rope Laces</v>
      </c>
      <c r="O173" s="16">
        <v>28605</v>
      </c>
    </row>
    <row r="174" spans="1:15" s="4" customFormat="1">
      <c r="A174" s="16" t="s">
        <v>6</v>
      </c>
      <c r="B174" s="18">
        <v>42927</v>
      </c>
      <c r="C174" s="18" t="s">
        <v>498</v>
      </c>
      <c r="D174" s="21">
        <v>36</v>
      </c>
      <c r="E174" s="22">
        <v>1</v>
      </c>
      <c r="F174" s="18" t="s">
        <v>414</v>
      </c>
      <c r="G174" s="29" t="str">
        <f>VLOOKUP(C174,DATA!$A$2:$G$243,2,FALSE)</f>
        <v>Blue 3M Inverse Rope Laces</v>
      </c>
      <c r="H174" s="30">
        <f t="shared" si="6"/>
        <v>1</v>
      </c>
      <c r="I174" s="30">
        <f>VLOOKUP(C174,DATA!$A$2:$G$243,5,FALSE)</f>
        <v>8000</v>
      </c>
      <c r="J174" s="30">
        <f t="shared" si="8"/>
        <v>8000</v>
      </c>
      <c r="K174" s="31">
        <f>VLOOKUP(C174,DATA!$A$2:$G$243,3,FALSE)</f>
        <v>6.95</v>
      </c>
      <c r="L174" s="31">
        <f>VLOOKUP(C174,DATA!$A$2:$G$243,4,FALSE)</f>
        <v>2.7800000000000002</v>
      </c>
      <c r="M174" s="31">
        <f t="shared" si="7"/>
        <v>2.7800000000000002</v>
      </c>
      <c r="N174" s="25" t="str">
        <f>VLOOKUP(C174,DATA!$A$2:$G$243,6,FALSE)</f>
        <v>3M Inverse Rope Laces</v>
      </c>
      <c r="O174" s="16">
        <v>28605</v>
      </c>
    </row>
    <row r="175" spans="1:15" s="4" customFormat="1">
      <c r="A175" s="16" t="s">
        <v>6</v>
      </c>
      <c r="B175" s="18">
        <v>42927</v>
      </c>
      <c r="C175" s="18" t="s">
        <v>498</v>
      </c>
      <c r="D175" s="21">
        <v>45</v>
      </c>
      <c r="E175" s="22">
        <v>1</v>
      </c>
      <c r="F175" s="18" t="s">
        <v>414</v>
      </c>
      <c r="G175" s="29" t="str">
        <f>VLOOKUP(C175,DATA!$A$2:$G$243,2,FALSE)</f>
        <v>Blue 3M Inverse Rope Laces</v>
      </c>
      <c r="H175" s="30">
        <f t="shared" si="6"/>
        <v>1</v>
      </c>
      <c r="I175" s="30">
        <f>VLOOKUP(C175,DATA!$A$2:$G$243,5,FALSE)</f>
        <v>8000</v>
      </c>
      <c r="J175" s="30">
        <f t="shared" si="8"/>
        <v>8000</v>
      </c>
      <c r="K175" s="31">
        <f>VLOOKUP(C175,DATA!$A$2:$G$243,3,FALSE)</f>
        <v>6.95</v>
      </c>
      <c r="L175" s="31">
        <f>VLOOKUP(C175,DATA!$A$2:$G$243,4,FALSE)</f>
        <v>2.7800000000000002</v>
      </c>
      <c r="M175" s="31">
        <f t="shared" si="7"/>
        <v>2.7800000000000002</v>
      </c>
      <c r="N175" s="25" t="str">
        <f>VLOOKUP(C175,DATA!$A$2:$G$243,6,FALSE)</f>
        <v>3M Inverse Rope Laces</v>
      </c>
      <c r="O175" s="16">
        <v>28605</v>
      </c>
    </row>
    <row r="176" spans="1:15" s="4" customFormat="1">
      <c r="A176" s="16" t="s">
        <v>6</v>
      </c>
      <c r="B176" s="18">
        <v>42927</v>
      </c>
      <c r="C176" s="18" t="s">
        <v>498</v>
      </c>
      <c r="D176" s="21">
        <v>54</v>
      </c>
      <c r="E176" s="22">
        <v>1</v>
      </c>
      <c r="F176" s="18" t="s">
        <v>414</v>
      </c>
      <c r="G176" s="29" t="str">
        <f>VLOOKUP(C176,DATA!$A$2:$G$243,2,FALSE)</f>
        <v>Blue 3M Inverse Rope Laces</v>
      </c>
      <c r="H176" s="30">
        <f t="shared" si="6"/>
        <v>1</v>
      </c>
      <c r="I176" s="30">
        <f>VLOOKUP(C176,DATA!$A$2:$G$243,5,FALSE)</f>
        <v>8000</v>
      </c>
      <c r="J176" s="30">
        <f t="shared" si="8"/>
        <v>8000</v>
      </c>
      <c r="K176" s="31">
        <f>VLOOKUP(C176,DATA!$A$2:$G$243,3,FALSE)</f>
        <v>6.95</v>
      </c>
      <c r="L176" s="31">
        <f>VLOOKUP(C176,DATA!$A$2:$G$243,4,FALSE)</f>
        <v>2.7800000000000002</v>
      </c>
      <c r="M176" s="31">
        <f t="shared" si="7"/>
        <v>2.7800000000000002</v>
      </c>
      <c r="N176" s="25" t="str">
        <f>VLOOKUP(C176,DATA!$A$2:$G$243,6,FALSE)</f>
        <v>3M Inverse Rope Laces</v>
      </c>
      <c r="O176" s="16">
        <v>28605</v>
      </c>
    </row>
    <row r="177" spans="1:15" s="4" customFormat="1">
      <c r="A177" s="16" t="s">
        <v>6</v>
      </c>
      <c r="B177" s="18">
        <v>42927</v>
      </c>
      <c r="C177" s="18" t="s">
        <v>499</v>
      </c>
      <c r="D177" s="21">
        <v>36</v>
      </c>
      <c r="E177" s="22">
        <v>1</v>
      </c>
      <c r="F177" s="18" t="s">
        <v>414</v>
      </c>
      <c r="G177" s="29" t="str">
        <f>VLOOKUP(C177,DATA!$A$2:$G$243,2,FALSE)</f>
        <v>Red 3M Inverse Rope Laces</v>
      </c>
      <c r="H177" s="30">
        <f t="shared" si="6"/>
        <v>1</v>
      </c>
      <c r="I177" s="30">
        <f>VLOOKUP(C177,DATA!$A$2:$G$243,5,FALSE)</f>
        <v>8000</v>
      </c>
      <c r="J177" s="30">
        <f t="shared" si="8"/>
        <v>8000</v>
      </c>
      <c r="K177" s="31">
        <f>VLOOKUP(C177,DATA!$A$2:$G$243,3,FALSE)</f>
        <v>6.95</v>
      </c>
      <c r="L177" s="31">
        <f>VLOOKUP(C177,DATA!$A$2:$G$243,4,FALSE)</f>
        <v>2.7800000000000002</v>
      </c>
      <c r="M177" s="31">
        <f t="shared" si="7"/>
        <v>2.7800000000000002</v>
      </c>
      <c r="N177" s="25" t="str">
        <f>VLOOKUP(C177,DATA!$A$2:$G$243,6,FALSE)</f>
        <v>3M Inverse Rope Laces</v>
      </c>
      <c r="O177" s="16">
        <v>28605</v>
      </c>
    </row>
    <row r="178" spans="1:15" s="4" customFormat="1">
      <c r="A178" s="16" t="s">
        <v>6</v>
      </c>
      <c r="B178" s="18">
        <v>42927</v>
      </c>
      <c r="C178" s="18" t="s">
        <v>499</v>
      </c>
      <c r="D178" s="21">
        <v>45</v>
      </c>
      <c r="E178" s="22">
        <v>1</v>
      </c>
      <c r="F178" s="18" t="s">
        <v>414</v>
      </c>
      <c r="G178" s="29" t="str">
        <f>VLOOKUP(C178,DATA!$A$2:$G$243,2,FALSE)</f>
        <v>Red 3M Inverse Rope Laces</v>
      </c>
      <c r="H178" s="30">
        <f t="shared" si="6"/>
        <v>1</v>
      </c>
      <c r="I178" s="30">
        <f>VLOOKUP(C178,DATA!$A$2:$G$243,5,FALSE)</f>
        <v>8000</v>
      </c>
      <c r="J178" s="30">
        <f t="shared" si="8"/>
        <v>8000</v>
      </c>
      <c r="K178" s="31">
        <f>VLOOKUP(C178,DATA!$A$2:$G$243,3,FALSE)</f>
        <v>6.95</v>
      </c>
      <c r="L178" s="31">
        <f>VLOOKUP(C178,DATA!$A$2:$G$243,4,FALSE)</f>
        <v>2.7800000000000002</v>
      </c>
      <c r="M178" s="31">
        <f t="shared" si="7"/>
        <v>2.7800000000000002</v>
      </c>
      <c r="N178" s="25" t="str">
        <f>VLOOKUP(C178,DATA!$A$2:$G$243,6,FALSE)</f>
        <v>3M Inverse Rope Laces</v>
      </c>
      <c r="O178" s="16">
        <v>28605</v>
      </c>
    </row>
    <row r="179" spans="1:15" s="4" customFormat="1">
      <c r="A179" s="16" t="s">
        <v>6</v>
      </c>
      <c r="B179" s="18">
        <v>42927</v>
      </c>
      <c r="C179" s="18" t="s">
        <v>499</v>
      </c>
      <c r="D179" s="21">
        <v>54</v>
      </c>
      <c r="E179" s="22">
        <v>1</v>
      </c>
      <c r="F179" s="18" t="s">
        <v>414</v>
      </c>
      <c r="G179" s="29" t="str">
        <f>VLOOKUP(C179,DATA!$A$2:$G$243,2,FALSE)</f>
        <v>Red 3M Inverse Rope Laces</v>
      </c>
      <c r="H179" s="30">
        <f t="shared" si="6"/>
        <v>1</v>
      </c>
      <c r="I179" s="30">
        <f>VLOOKUP(C179,DATA!$A$2:$G$243,5,FALSE)</f>
        <v>8000</v>
      </c>
      <c r="J179" s="30">
        <f t="shared" si="8"/>
        <v>8000</v>
      </c>
      <c r="K179" s="31">
        <f>VLOOKUP(C179,DATA!$A$2:$G$243,3,FALSE)</f>
        <v>6.95</v>
      </c>
      <c r="L179" s="31">
        <f>VLOOKUP(C179,DATA!$A$2:$G$243,4,FALSE)</f>
        <v>2.7800000000000002</v>
      </c>
      <c r="M179" s="31">
        <f t="shared" si="7"/>
        <v>2.7800000000000002</v>
      </c>
      <c r="N179" s="25" t="str">
        <f>VLOOKUP(C179,DATA!$A$2:$G$243,6,FALSE)</f>
        <v>3M Inverse Rope Laces</v>
      </c>
      <c r="O179" s="16">
        <v>28605</v>
      </c>
    </row>
    <row r="180" spans="1:15" s="4" customFormat="1">
      <c r="A180" s="16" t="s">
        <v>6</v>
      </c>
      <c r="B180" s="18">
        <v>42927</v>
      </c>
      <c r="C180" s="18" t="s">
        <v>500</v>
      </c>
      <c r="D180" s="21">
        <v>36</v>
      </c>
      <c r="E180" s="22">
        <v>1</v>
      </c>
      <c r="F180" s="18" t="s">
        <v>414</v>
      </c>
      <c r="G180" s="29" t="str">
        <f>VLOOKUP(C180,DATA!$A$2:$G$243,2,FALSE)</f>
        <v>Charcoal 3M Inverse Rope Laces</v>
      </c>
      <c r="H180" s="30">
        <f t="shared" si="6"/>
        <v>1</v>
      </c>
      <c r="I180" s="30">
        <f>VLOOKUP(C180,DATA!$A$2:$G$243,5,FALSE)</f>
        <v>8000</v>
      </c>
      <c r="J180" s="30">
        <f t="shared" si="8"/>
        <v>8000</v>
      </c>
      <c r="K180" s="31">
        <f>VLOOKUP(C180,DATA!$A$2:$G$243,3,FALSE)</f>
        <v>6.95</v>
      </c>
      <c r="L180" s="31">
        <f>VLOOKUP(C180,DATA!$A$2:$G$243,4,FALSE)</f>
        <v>2.7800000000000002</v>
      </c>
      <c r="M180" s="31">
        <f t="shared" si="7"/>
        <v>2.7800000000000002</v>
      </c>
      <c r="N180" s="25" t="str">
        <f>VLOOKUP(C180,DATA!$A$2:$G$243,6,FALSE)</f>
        <v>3M Inverse Rope Laces</v>
      </c>
      <c r="O180" s="16">
        <v>28605</v>
      </c>
    </row>
    <row r="181" spans="1:15" s="4" customFormat="1">
      <c r="A181" s="16" t="s">
        <v>6</v>
      </c>
      <c r="B181" s="18">
        <v>42927</v>
      </c>
      <c r="C181" s="18" t="s">
        <v>500</v>
      </c>
      <c r="D181" s="21">
        <v>45</v>
      </c>
      <c r="E181" s="22">
        <v>1</v>
      </c>
      <c r="F181" s="18" t="s">
        <v>414</v>
      </c>
      <c r="G181" s="29" t="str">
        <f>VLOOKUP(C181,DATA!$A$2:$G$243,2,FALSE)</f>
        <v>Charcoal 3M Inverse Rope Laces</v>
      </c>
      <c r="H181" s="30">
        <f t="shared" si="6"/>
        <v>1</v>
      </c>
      <c r="I181" s="30">
        <f>VLOOKUP(C181,DATA!$A$2:$G$243,5,FALSE)</f>
        <v>8000</v>
      </c>
      <c r="J181" s="30">
        <f t="shared" si="8"/>
        <v>8000</v>
      </c>
      <c r="K181" s="31">
        <f>VLOOKUP(C181,DATA!$A$2:$G$243,3,FALSE)</f>
        <v>6.95</v>
      </c>
      <c r="L181" s="31">
        <f>VLOOKUP(C181,DATA!$A$2:$G$243,4,FALSE)</f>
        <v>2.7800000000000002</v>
      </c>
      <c r="M181" s="31">
        <f t="shared" si="7"/>
        <v>2.7800000000000002</v>
      </c>
      <c r="N181" s="25" t="str">
        <f>VLOOKUP(C181,DATA!$A$2:$G$243,6,FALSE)</f>
        <v>3M Inverse Rope Laces</v>
      </c>
      <c r="O181" s="16">
        <v>28605</v>
      </c>
    </row>
    <row r="182" spans="1:15" s="4" customFormat="1">
      <c r="A182" s="16" t="s">
        <v>6</v>
      </c>
      <c r="B182" s="18">
        <v>42927</v>
      </c>
      <c r="C182" s="18" t="s">
        <v>500</v>
      </c>
      <c r="D182" s="21">
        <v>54</v>
      </c>
      <c r="E182" s="22">
        <v>1</v>
      </c>
      <c r="F182" s="18" t="s">
        <v>414</v>
      </c>
      <c r="G182" s="29" t="str">
        <f>VLOOKUP(C182,DATA!$A$2:$G$243,2,FALSE)</f>
        <v>Charcoal 3M Inverse Rope Laces</v>
      </c>
      <c r="H182" s="30">
        <f t="shared" si="6"/>
        <v>1</v>
      </c>
      <c r="I182" s="30">
        <f>VLOOKUP(C182,DATA!$A$2:$G$243,5,FALSE)</f>
        <v>8000</v>
      </c>
      <c r="J182" s="30">
        <f t="shared" si="8"/>
        <v>8000</v>
      </c>
      <c r="K182" s="31">
        <f>VLOOKUP(C182,DATA!$A$2:$G$243,3,FALSE)</f>
        <v>6.95</v>
      </c>
      <c r="L182" s="31">
        <f>VLOOKUP(C182,DATA!$A$2:$G$243,4,FALSE)</f>
        <v>2.7800000000000002</v>
      </c>
      <c r="M182" s="31">
        <f t="shared" si="7"/>
        <v>2.7800000000000002</v>
      </c>
      <c r="N182" s="25" t="str">
        <f>VLOOKUP(C182,DATA!$A$2:$G$243,6,FALSE)</f>
        <v>3M Inverse Rope Laces</v>
      </c>
      <c r="O182" s="16">
        <v>28605</v>
      </c>
    </row>
    <row r="183" spans="1:15" s="4" customFormat="1">
      <c r="A183" s="16" t="s">
        <v>6</v>
      </c>
      <c r="B183" s="18">
        <v>42927</v>
      </c>
      <c r="C183" s="18" t="s">
        <v>501</v>
      </c>
      <c r="D183" s="21">
        <v>36</v>
      </c>
      <c r="E183" s="22">
        <v>1</v>
      </c>
      <c r="F183" s="18" t="s">
        <v>414</v>
      </c>
      <c r="G183" s="29" t="str">
        <f>VLOOKUP(C183,DATA!$A$2:$G$243,2,FALSE)</f>
        <v>Mint 3M Inverse Rope Laces</v>
      </c>
      <c r="H183" s="30">
        <f t="shared" si="6"/>
        <v>1</v>
      </c>
      <c r="I183" s="30">
        <f>VLOOKUP(C183,DATA!$A$2:$G$243,5,FALSE)</f>
        <v>8000</v>
      </c>
      <c r="J183" s="30">
        <f t="shared" si="8"/>
        <v>8000</v>
      </c>
      <c r="K183" s="31">
        <f>VLOOKUP(C183,DATA!$A$2:$G$243,3,FALSE)</f>
        <v>6.95</v>
      </c>
      <c r="L183" s="31">
        <f>VLOOKUP(C183,DATA!$A$2:$G$243,4,FALSE)</f>
        <v>2.7800000000000002</v>
      </c>
      <c r="M183" s="31">
        <f t="shared" si="7"/>
        <v>2.7800000000000002</v>
      </c>
      <c r="N183" s="25" t="str">
        <f>VLOOKUP(C183,DATA!$A$2:$G$243,6,FALSE)</f>
        <v>3M Inverse Rope Laces</v>
      </c>
      <c r="O183" s="16">
        <v>28605</v>
      </c>
    </row>
    <row r="184" spans="1:15" s="4" customFormat="1">
      <c r="A184" s="16" t="s">
        <v>6</v>
      </c>
      <c r="B184" s="18">
        <v>42927</v>
      </c>
      <c r="C184" s="18" t="s">
        <v>501</v>
      </c>
      <c r="D184" s="21">
        <v>45</v>
      </c>
      <c r="E184" s="22">
        <v>1</v>
      </c>
      <c r="F184" s="18" t="s">
        <v>414</v>
      </c>
      <c r="G184" s="29" t="str">
        <f>VLOOKUP(C184,DATA!$A$2:$G$243,2,FALSE)</f>
        <v>Mint 3M Inverse Rope Laces</v>
      </c>
      <c r="H184" s="30">
        <f t="shared" si="6"/>
        <v>1</v>
      </c>
      <c r="I184" s="30">
        <f>VLOOKUP(C184,DATA!$A$2:$G$243,5,FALSE)</f>
        <v>8000</v>
      </c>
      <c r="J184" s="30">
        <f t="shared" si="8"/>
        <v>8000</v>
      </c>
      <c r="K184" s="31">
        <f>VLOOKUP(C184,DATA!$A$2:$G$243,3,FALSE)</f>
        <v>6.95</v>
      </c>
      <c r="L184" s="31">
        <f>VLOOKUP(C184,DATA!$A$2:$G$243,4,FALSE)</f>
        <v>2.7800000000000002</v>
      </c>
      <c r="M184" s="31">
        <f t="shared" si="7"/>
        <v>2.7800000000000002</v>
      </c>
      <c r="N184" s="25" t="str">
        <f>VLOOKUP(C184,DATA!$A$2:$G$243,6,FALSE)</f>
        <v>3M Inverse Rope Laces</v>
      </c>
      <c r="O184" s="16">
        <v>28605</v>
      </c>
    </row>
    <row r="185" spans="1:15" s="4" customFormat="1">
      <c r="A185" s="16" t="s">
        <v>6</v>
      </c>
      <c r="B185" s="18">
        <v>42927</v>
      </c>
      <c r="C185" s="18" t="s">
        <v>501</v>
      </c>
      <c r="D185" s="21">
        <v>54</v>
      </c>
      <c r="E185" s="22">
        <v>1</v>
      </c>
      <c r="F185" s="18" t="s">
        <v>414</v>
      </c>
      <c r="G185" s="29" t="str">
        <f>VLOOKUP(C185,DATA!$A$2:$G$243,2,FALSE)</f>
        <v>Mint 3M Inverse Rope Laces</v>
      </c>
      <c r="H185" s="30">
        <f t="shared" si="6"/>
        <v>1</v>
      </c>
      <c r="I185" s="30">
        <f>VLOOKUP(C185,DATA!$A$2:$G$243,5,FALSE)</f>
        <v>8000</v>
      </c>
      <c r="J185" s="30">
        <f t="shared" si="8"/>
        <v>8000</v>
      </c>
      <c r="K185" s="31">
        <f>VLOOKUP(C185,DATA!$A$2:$G$243,3,FALSE)</f>
        <v>6.95</v>
      </c>
      <c r="L185" s="31">
        <f>VLOOKUP(C185,DATA!$A$2:$G$243,4,FALSE)</f>
        <v>2.7800000000000002</v>
      </c>
      <c r="M185" s="31">
        <f t="shared" si="7"/>
        <v>2.7800000000000002</v>
      </c>
      <c r="N185" s="25" t="str">
        <f>VLOOKUP(C185,DATA!$A$2:$G$243,6,FALSE)</f>
        <v>3M Inverse Rope Laces</v>
      </c>
      <c r="O185" s="16">
        <v>28605</v>
      </c>
    </row>
    <row r="186" spans="1:15" s="4" customFormat="1">
      <c r="A186" s="16" t="s">
        <v>6</v>
      </c>
      <c r="B186" s="18">
        <v>42927</v>
      </c>
      <c r="C186" s="18" t="s">
        <v>502</v>
      </c>
      <c r="D186" s="21">
        <v>36</v>
      </c>
      <c r="E186" s="22">
        <v>1</v>
      </c>
      <c r="F186" s="18" t="s">
        <v>414</v>
      </c>
      <c r="G186" s="29" t="str">
        <f>VLOOKUP(C186,DATA!$A$2:$G$243,2,FALSE)</f>
        <v>Cove Blue 3M Inverse Rope Laces</v>
      </c>
      <c r="H186" s="30">
        <f t="shared" si="6"/>
        <v>1</v>
      </c>
      <c r="I186" s="30">
        <f>VLOOKUP(C186,DATA!$A$2:$G$243,5,FALSE)</f>
        <v>8000</v>
      </c>
      <c r="J186" s="30">
        <f t="shared" si="8"/>
        <v>8000</v>
      </c>
      <c r="K186" s="31">
        <f>VLOOKUP(C186,DATA!$A$2:$G$243,3,FALSE)</f>
        <v>6.95</v>
      </c>
      <c r="L186" s="31">
        <f>VLOOKUP(C186,DATA!$A$2:$G$243,4,FALSE)</f>
        <v>2.7800000000000002</v>
      </c>
      <c r="M186" s="31">
        <f t="shared" si="7"/>
        <v>2.7800000000000002</v>
      </c>
      <c r="N186" s="25" t="str">
        <f>VLOOKUP(C186,DATA!$A$2:$G$243,6,FALSE)</f>
        <v>3M Inverse Rope Laces</v>
      </c>
      <c r="O186" s="16">
        <v>28605</v>
      </c>
    </row>
    <row r="187" spans="1:15" s="4" customFormat="1">
      <c r="A187" s="16" t="s">
        <v>6</v>
      </c>
      <c r="B187" s="18">
        <v>42927</v>
      </c>
      <c r="C187" s="18" t="s">
        <v>502</v>
      </c>
      <c r="D187" s="21">
        <v>45</v>
      </c>
      <c r="E187" s="22">
        <v>1</v>
      </c>
      <c r="F187" s="18" t="s">
        <v>414</v>
      </c>
      <c r="G187" s="29" t="str">
        <f>VLOOKUP(C187,DATA!$A$2:$G$243,2,FALSE)</f>
        <v>Cove Blue 3M Inverse Rope Laces</v>
      </c>
      <c r="H187" s="30">
        <f t="shared" si="6"/>
        <v>1</v>
      </c>
      <c r="I187" s="30">
        <f>VLOOKUP(C187,DATA!$A$2:$G$243,5,FALSE)</f>
        <v>8000</v>
      </c>
      <c r="J187" s="30">
        <f t="shared" si="8"/>
        <v>8000</v>
      </c>
      <c r="K187" s="31">
        <f>VLOOKUP(C187,DATA!$A$2:$G$243,3,FALSE)</f>
        <v>6.95</v>
      </c>
      <c r="L187" s="31">
        <f>VLOOKUP(C187,DATA!$A$2:$G$243,4,FALSE)</f>
        <v>2.7800000000000002</v>
      </c>
      <c r="M187" s="31">
        <f t="shared" si="7"/>
        <v>2.7800000000000002</v>
      </c>
      <c r="N187" s="25" t="str">
        <f>VLOOKUP(C187,DATA!$A$2:$G$243,6,FALSE)</f>
        <v>3M Inverse Rope Laces</v>
      </c>
      <c r="O187" s="16">
        <v>28605</v>
      </c>
    </row>
    <row r="188" spans="1:15" s="4" customFormat="1">
      <c r="A188" s="16" t="s">
        <v>6</v>
      </c>
      <c r="B188" s="18">
        <v>42927</v>
      </c>
      <c r="C188" s="18" t="s">
        <v>502</v>
      </c>
      <c r="D188" s="21">
        <v>54</v>
      </c>
      <c r="E188" s="22">
        <v>1</v>
      </c>
      <c r="F188" s="18" t="s">
        <v>414</v>
      </c>
      <c r="G188" s="29" t="str">
        <f>VLOOKUP(C188,DATA!$A$2:$G$243,2,FALSE)</f>
        <v>Cove Blue 3M Inverse Rope Laces</v>
      </c>
      <c r="H188" s="30">
        <f t="shared" si="6"/>
        <v>1</v>
      </c>
      <c r="I188" s="30">
        <f>VLOOKUP(C188,DATA!$A$2:$G$243,5,FALSE)</f>
        <v>8000</v>
      </c>
      <c r="J188" s="30">
        <f t="shared" si="8"/>
        <v>8000</v>
      </c>
      <c r="K188" s="31">
        <f>VLOOKUP(C188,DATA!$A$2:$G$243,3,FALSE)</f>
        <v>6.95</v>
      </c>
      <c r="L188" s="31">
        <f>VLOOKUP(C188,DATA!$A$2:$G$243,4,FALSE)</f>
        <v>2.7800000000000002</v>
      </c>
      <c r="M188" s="31">
        <f t="shared" si="7"/>
        <v>2.7800000000000002</v>
      </c>
      <c r="N188" s="25" t="str">
        <f>VLOOKUP(C188,DATA!$A$2:$G$243,6,FALSE)</f>
        <v>3M Inverse Rope Laces</v>
      </c>
      <c r="O188" s="16">
        <v>28605</v>
      </c>
    </row>
    <row r="189" spans="1:15" s="4" customFormat="1">
      <c r="A189" s="16" t="s">
        <v>6</v>
      </c>
      <c r="B189" s="18">
        <v>42927</v>
      </c>
      <c r="C189" s="18" t="s">
        <v>503</v>
      </c>
      <c r="D189" s="21">
        <v>36</v>
      </c>
      <c r="E189" s="22">
        <v>1</v>
      </c>
      <c r="F189" s="18" t="s">
        <v>414</v>
      </c>
      <c r="G189" s="29" t="str">
        <f>VLOOKUP(C189,DATA!$A$2:$G$243,2,FALSE)</f>
        <v>Volt 3M Inverse Rope Laces</v>
      </c>
      <c r="H189" s="30">
        <f t="shared" si="6"/>
        <v>1</v>
      </c>
      <c r="I189" s="30">
        <f>VLOOKUP(C189,DATA!$A$2:$G$243,5,FALSE)</f>
        <v>8000</v>
      </c>
      <c r="J189" s="30">
        <f t="shared" si="8"/>
        <v>8000</v>
      </c>
      <c r="K189" s="31">
        <f>VLOOKUP(C189,DATA!$A$2:$G$243,3,FALSE)</f>
        <v>6.95</v>
      </c>
      <c r="L189" s="31">
        <f>VLOOKUP(C189,DATA!$A$2:$G$243,4,FALSE)</f>
        <v>2.7800000000000002</v>
      </c>
      <c r="M189" s="31">
        <f t="shared" si="7"/>
        <v>2.7800000000000002</v>
      </c>
      <c r="N189" s="25" t="str">
        <f>VLOOKUP(C189,DATA!$A$2:$G$243,6,FALSE)</f>
        <v>3M Inverse Rope Laces</v>
      </c>
      <c r="O189" s="16">
        <v>28605</v>
      </c>
    </row>
    <row r="190" spans="1:15" s="4" customFormat="1">
      <c r="A190" s="16" t="s">
        <v>6</v>
      </c>
      <c r="B190" s="18">
        <v>42927</v>
      </c>
      <c r="C190" s="18" t="s">
        <v>503</v>
      </c>
      <c r="D190" s="21">
        <v>45</v>
      </c>
      <c r="E190" s="22">
        <v>1</v>
      </c>
      <c r="F190" s="18" t="s">
        <v>414</v>
      </c>
      <c r="G190" s="29" t="str">
        <f>VLOOKUP(C190,DATA!$A$2:$G$243,2,FALSE)</f>
        <v>Volt 3M Inverse Rope Laces</v>
      </c>
      <c r="H190" s="30">
        <f t="shared" si="6"/>
        <v>1</v>
      </c>
      <c r="I190" s="30">
        <f>VLOOKUP(C190,DATA!$A$2:$G$243,5,FALSE)</f>
        <v>8000</v>
      </c>
      <c r="J190" s="30">
        <f t="shared" si="8"/>
        <v>8000</v>
      </c>
      <c r="K190" s="31">
        <f>VLOOKUP(C190,DATA!$A$2:$G$243,3,FALSE)</f>
        <v>6.95</v>
      </c>
      <c r="L190" s="31">
        <f>VLOOKUP(C190,DATA!$A$2:$G$243,4,FALSE)</f>
        <v>2.7800000000000002</v>
      </c>
      <c r="M190" s="31">
        <f t="shared" si="7"/>
        <v>2.7800000000000002</v>
      </c>
      <c r="N190" s="25" t="str">
        <f>VLOOKUP(C190,DATA!$A$2:$G$243,6,FALSE)</f>
        <v>3M Inverse Rope Laces</v>
      </c>
      <c r="O190" s="16">
        <v>28605</v>
      </c>
    </row>
    <row r="191" spans="1:15" s="4" customFormat="1">
      <c r="A191" s="16" t="s">
        <v>6</v>
      </c>
      <c r="B191" s="18">
        <v>42927</v>
      </c>
      <c r="C191" s="18" t="s">
        <v>503</v>
      </c>
      <c r="D191" s="21">
        <v>54</v>
      </c>
      <c r="E191" s="22">
        <v>1</v>
      </c>
      <c r="F191" s="18" t="s">
        <v>414</v>
      </c>
      <c r="G191" s="29" t="str">
        <f>VLOOKUP(C191,DATA!$A$2:$G$243,2,FALSE)</f>
        <v>Volt 3M Inverse Rope Laces</v>
      </c>
      <c r="H191" s="30">
        <f t="shared" si="6"/>
        <v>1</v>
      </c>
      <c r="I191" s="30">
        <f>VLOOKUP(C191,DATA!$A$2:$G$243,5,FALSE)</f>
        <v>8000</v>
      </c>
      <c r="J191" s="30">
        <f t="shared" si="8"/>
        <v>8000</v>
      </c>
      <c r="K191" s="31">
        <f>VLOOKUP(C191,DATA!$A$2:$G$243,3,FALSE)</f>
        <v>6.95</v>
      </c>
      <c r="L191" s="31">
        <f>VLOOKUP(C191,DATA!$A$2:$G$243,4,FALSE)</f>
        <v>2.7800000000000002</v>
      </c>
      <c r="M191" s="31">
        <f t="shared" si="7"/>
        <v>2.7800000000000002</v>
      </c>
      <c r="N191" s="25" t="str">
        <f>VLOOKUP(C191,DATA!$A$2:$G$243,6,FALSE)</f>
        <v>3M Inverse Rope Laces</v>
      </c>
      <c r="O191" s="16">
        <v>28605</v>
      </c>
    </row>
    <row r="192" spans="1:15" s="4" customFormat="1">
      <c r="A192" s="16" t="s">
        <v>6</v>
      </c>
      <c r="B192" s="18">
        <v>42927</v>
      </c>
      <c r="C192" s="18" t="s">
        <v>423</v>
      </c>
      <c r="D192" s="19">
        <v>45</v>
      </c>
      <c r="E192" s="22">
        <v>3</v>
      </c>
      <c r="F192" s="18" t="s">
        <v>414</v>
      </c>
      <c r="G192" s="29" t="str">
        <f>VLOOKUP(C192,DATA!$A$2:$G$243,2,FALSE)</f>
        <v>White Shoe Laces</v>
      </c>
      <c r="H192" s="30">
        <f t="shared" si="6"/>
        <v>3</v>
      </c>
      <c r="I192" s="30">
        <f>VLOOKUP(C192,DATA!$A$2:$G$243,5,FALSE)</f>
        <v>6000</v>
      </c>
      <c r="J192" s="30">
        <f t="shared" si="8"/>
        <v>18000</v>
      </c>
      <c r="K192" s="31">
        <f>VLOOKUP(C192,DATA!$A$2:$G$243,3,FALSE)</f>
        <v>4.95</v>
      </c>
      <c r="L192" s="31">
        <f>VLOOKUP(C192,DATA!$A$2:$G$243,4,FALSE)</f>
        <v>1.9800000000000002</v>
      </c>
      <c r="M192" s="31">
        <f t="shared" si="7"/>
        <v>5.94</v>
      </c>
      <c r="N192" s="25" t="str">
        <f>VLOOKUP(C192,DATA!$A$2:$G$243,6,FALSE)</f>
        <v>Shoe Laces</v>
      </c>
      <c r="O192" s="16">
        <v>28605</v>
      </c>
    </row>
    <row r="193" spans="1:15" s="4" customFormat="1">
      <c r="A193" s="16" t="s">
        <v>6</v>
      </c>
      <c r="B193" s="18">
        <v>42927</v>
      </c>
      <c r="C193" s="18" t="s">
        <v>423</v>
      </c>
      <c r="D193" s="21">
        <v>54</v>
      </c>
      <c r="E193" s="22">
        <v>3</v>
      </c>
      <c r="F193" s="18" t="s">
        <v>414</v>
      </c>
      <c r="G193" s="29" t="str">
        <f>VLOOKUP(C193,DATA!$A$2:$G$243,2,FALSE)</f>
        <v>White Shoe Laces</v>
      </c>
      <c r="H193" s="30">
        <f t="shared" si="6"/>
        <v>3</v>
      </c>
      <c r="I193" s="30">
        <f>VLOOKUP(C193,DATA!$A$2:$G$243,5,FALSE)</f>
        <v>6000</v>
      </c>
      <c r="J193" s="30">
        <f t="shared" si="8"/>
        <v>18000</v>
      </c>
      <c r="K193" s="31">
        <f>VLOOKUP(C193,DATA!$A$2:$G$243,3,FALSE)</f>
        <v>4.95</v>
      </c>
      <c r="L193" s="31">
        <f>VLOOKUP(C193,DATA!$A$2:$G$243,4,FALSE)</f>
        <v>1.9800000000000002</v>
      </c>
      <c r="M193" s="31">
        <f t="shared" si="7"/>
        <v>5.94</v>
      </c>
      <c r="N193" s="25" t="str">
        <f>VLOOKUP(C193,DATA!$A$2:$G$243,6,FALSE)</f>
        <v>Shoe Laces</v>
      </c>
      <c r="O193" s="16">
        <v>28605</v>
      </c>
    </row>
    <row r="194" spans="1:15" s="4" customFormat="1">
      <c r="A194" s="16" t="s">
        <v>6</v>
      </c>
      <c r="B194" s="18">
        <v>42927</v>
      </c>
      <c r="C194" s="18" t="s">
        <v>423</v>
      </c>
      <c r="D194" s="21">
        <v>63</v>
      </c>
      <c r="E194" s="22">
        <v>1</v>
      </c>
      <c r="F194" s="18" t="s">
        <v>414</v>
      </c>
      <c r="G194" s="29" t="str">
        <f>VLOOKUP(C194,DATA!$A$2:$G$243,2,FALSE)</f>
        <v>White Shoe Laces</v>
      </c>
      <c r="H194" s="30">
        <f t="shared" ref="H194:H257" si="9">IF(F194="입",E194,-1*E194)</f>
        <v>1</v>
      </c>
      <c r="I194" s="30">
        <f>VLOOKUP(C194,DATA!$A$2:$G$243,5,FALSE)</f>
        <v>6000</v>
      </c>
      <c r="J194" s="30">
        <f t="shared" si="8"/>
        <v>6000</v>
      </c>
      <c r="K194" s="31">
        <f>VLOOKUP(C194,DATA!$A$2:$G$243,3,FALSE)</f>
        <v>4.95</v>
      </c>
      <c r="L194" s="31">
        <f>VLOOKUP(C194,DATA!$A$2:$G$243,4,FALSE)</f>
        <v>1.9800000000000002</v>
      </c>
      <c r="M194" s="31">
        <f t="shared" ref="M194:M257" si="10">L194*E194</f>
        <v>1.9800000000000002</v>
      </c>
      <c r="N194" s="25" t="str">
        <f>VLOOKUP(C194,DATA!$A$2:$G$243,6,FALSE)</f>
        <v>Shoe Laces</v>
      </c>
      <c r="O194" s="16">
        <v>28605</v>
      </c>
    </row>
    <row r="195" spans="1:15" s="4" customFormat="1">
      <c r="A195" s="16" t="s">
        <v>6</v>
      </c>
      <c r="B195" s="18">
        <v>42927</v>
      </c>
      <c r="C195" s="18" t="s">
        <v>504</v>
      </c>
      <c r="D195" s="21">
        <v>45</v>
      </c>
      <c r="E195" s="22">
        <v>3</v>
      </c>
      <c r="F195" s="18" t="s">
        <v>414</v>
      </c>
      <c r="G195" s="29" t="str">
        <f>VLOOKUP(C195,DATA!$A$2:$G$243,2,FALSE)</f>
        <v>Black Shoe Laces</v>
      </c>
      <c r="H195" s="30">
        <f t="shared" si="9"/>
        <v>3</v>
      </c>
      <c r="I195" s="30">
        <f>VLOOKUP(C195,DATA!$A$2:$G$243,5,FALSE)</f>
        <v>6000</v>
      </c>
      <c r="J195" s="30">
        <f t="shared" ref="J195:J258" si="11">I195*E195</f>
        <v>18000</v>
      </c>
      <c r="K195" s="31">
        <f>VLOOKUP(C195,DATA!$A$2:$G$243,3,FALSE)</f>
        <v>4.95</v>
      </c>
      <c r="L195" s="31">
        <f>VLOOKUP(C195,DATA!$A$2:$G$243,4,FALSE)</f>
        <v>1.9800000000000002</v>
      </c>
      <c r="M195" s="31">
        <f t="shared" si="10"/>
        <v>5.94</v>
      </c>
      <c r="N195" s="25" t="str">
        <f>VLOOKUP(C195,DATA!$A$2:$G$243,6,FALSE)</f>
        <v>Shoe Laces</v>
      </c>
      <c r="O195" s="16">
        <v>28605</v>
      </c>
    </row>
    <row r="196" spans="1:15" s="4" customFormat="1">
      <c r="A196" s="16" t="s">
        <v>6</v>
      </c>
      <c r="B196" s="18">
        <v>42927</v>
      </c>
      <c r="C196" s="18" t="s">
        <v>504</v>
      </c>
      <c r="D196" s="21">
        <v>54</v>
      </c>
      <c r="E196" s="22">
        <v>3</v>
      </c>
      <c r="F196" s="18" t="s">
        <v>414</v>
      </c>
      <c r="G196" s="29" t="str">
        <f>VLOOKUP(C196,DATA!$A$2:$G$243,2,FALSE)</f>
        <v>Black Shoe Laces</v>
      </c>
      <c r="H196" s="30">
        <f t="shared" si="9"/>
        <v>3</v>
      </c>
      <c r="I196" s="30">
        <f>VLOOKUP(C196,DATA!$A$2:$G$243,5,FALSE)</f>
        <v>6000</v>
      </c>
      <c r="J196" s="30">
        <f t="shared" si="11"/>
        <v>18000</v>
      </c>
      <c r="K196" s="31">
        <f>VLOOKUP(C196,DATA!$A$2:$G$243,3,FALSE)</f>
        <v>4.95</v>
      </c>
      <c r="L196" s="31">
        <f>VLOOKUP(C196,DATA!$A$2:$G$243,4,FALSE)</f>
        <v>1.9800000000000002</v>
      </c>
      <c r="M196" s="31">
        <f t="shared" si="10"/>
        <v>5.94</v>
      </c>
      <c r="N196" s="25" t="str">
        <f>VLOOKUP(C196,DATA!$A$2:$G$243,6,FALSE)</f>
        <v>Shoe Laces</v>
      </c>
      <c r="O196" s="16">
        <v>28605</v>
      </c>
    </row>
    <row r="197" spans="1:15" s="4" customFormat="1">
      <c r="A197" s="16" t="s">
        <v>6</v>
      </c>
      <c r="B197" s="18">
        <v>42927</v>
      </c>
      <c r="C197" s="18" t="s">
        <v>504</v>
      </c>
      <c r="D197" s="21">
        <v>63</v>
      </c>
      <c r="E197" s="22">
        <v>1</v>
      </c>
      <c r="F197" s="18" t="s">
        <v>414</v>
      </c>
      <c r="G197" s="29" t="str">
        <f>VLOOKUP(C197,DATA!$A$2:$G$243,2,FALSE)</f>
        <v>Black Shoe Laces</v>
      </c>
      <c r="H197" s="30">
        <f t="shared" si="9"/>
        <v>1</v>
      </c>
      <c r="I197" s="30">
        <f>VLOOKUP(C197,DATA!$A$2:$G$243,5,FALSE)</f>
        <v>6000</v>
      </c>
      <c r="J197" s="30">
        <f t="shared" si="11"/>
        <v>6000</v>
      </c>
      <c r="K197" s="31">
        <f>VLOOKUP(C197,DATA!$A$2:$G$243,3,FALSE)</f>
        <v>4.95</v>
      </c>
      <c r="L197" s="31">
        <f>VLOOKUP(C197,DATA!$A$2:$G$243,4,FALSE)</f>
        <v>1.9800000000000002</v>
      </c>
      <c r="M197" s="31">
        <f t="shared" si="10"/>
        <v>1.9800000000000002</v>
      </c>
      <c r="N197" s="25" t="str">
        <f>VLOOKUP(C197,DATA!$A$2:$G$243,6,FALSE)</f>
        <v>Shoe Laces</v>
      </c>
      <c r="O197" s="16">
        <v>28605</v>
      </c>
    </row>
    <row r="198" spans="1:15" s="4" customFormat="1">
      <c r="A198" s="16" t="s">
        <v>6</v>
      </c>
      <c r="B198" s="18">
        <v>42927</v>
      </c>
      <c r="C198" s="18" t="s">
        <v>505</v>
      </c>
      <c r="D198" s="21">
        <v>45</v>
      </c>
      <c r="E198" s="22">
        <v>3</v>
      </c>
      <c r="F198" s="18" t="s">
        <v>414</v>
      </c>
      <c r="G198" s="29" t="str">
        <f>VLOOKUP(C198,DATA!$A$2:$G$243,2,FALSE)</f>
        <v>Red Shoe Laces</v>
      </c>
      <c r="H198" s="30">
        <f t="shared" si="9"/>
        <v>3</v>
      </c>
      <c r="I198" s="30">
        <f>VLOOKUP(C198,DATA!$A$2:$G$243,5,FALSE)</f>
        <v>6000</v>
      </c>
      <c r="J198" s="30">
        <f t="shared" si="11"/>
        <v>18000</v>
      </c>
      <c r="K198" s="31">
        <f>VLOOKUP(C198,DATA!$A$2:$G$243,3,FALSE)</f>
        <v>4.95</v>
      </c>
      <c r="L198" s="31">
        <f>VLOOKUP(C198,DATA!$A$2:$G$243,4,FALSE)</f>
        <v>1.9800000000000002</v>
      </c>
      <c r="M198" s="31">
        <f t="shared" si="10"/>
        <v>5.94</v>
      </c>
      <c r="N198" s="25" t="str">
        <f>VLOOKUP(C198,DATA!$A$2:$G$243,6,FALSE)</f>
        <v>Shoe Laces</v>
      </c>
      <c r="O198" s="16">
        <v>28605</v>
      </c>
    </row>
    <row r="199" spans="1:15" s="4" customFormat="1">
      <c r="A199" s="16" t="s">
        <v>6</v>
      </c>
      <c r="B199" s="18">
        <v>42927</v>
      </c>
      <c r="C199" s="18" t="s">
        <v>505</v>
      </c>
      <c r="D199" s="21">
        <v>54</v>
      </c>
      <c r="E199" s="22">
        <v>3</v>
      </c>
      <c r="F199" s="18" t="s">
        <v>414</v>
      </c>
      <c r="G199" s="29" t="str">
        <f>VLOOKUP(C199,DATA!$A$2:$G$243,2,FALSE)</f>
        <v>Red Shoe Laces</v>
      </c>
      <c r="H199" s="30">
        <f t="shared" si="9"/>
        <v>3</v>
      </c>
      <c r="I199" s="30">
        <f>VLOOKUP(C199,DATA!$A$2:$G$243,5,FALSE)</f>
        <v>6000</v>
      </c>
      <c r="J199" s="30">
        <f t="shared" si="11"/>
        <v>18000</v>
      </c>
      <c r="K199" s="31">
        <f>VLOOKUP(C199,DATA!$A$2:$G$243,3,FALSE)</f>
        <v>4.95</v>
      </c>
      <c r="L199" s="31">
        <f>VLOOKUP(C199,DATA!$A$2:$G$243,4,FALSE)</f>
        <v>1.9800000000000002</v>
      </c>
      <c r="M199" s="31">
        <f t="shared" si="10"/>
        <v>5.94</v>
      </c>
      <c r="N199" s="25" t="str">
        <f>VLOOKUP(C199,DATA!$A$2:$G$243,6,FALSE)</f>
        <v>Shoe Laces</v>
      </c>
      <c r="O199" s="16">
        <v>28605</v>
      </c>
    </row>
    <row r="200" spans="1:15" s="4" customFormat="1">
      <c r="A200" s="16" t="s">
        <v>6</v>
      </c>
      <c r="B200" s="18">
        <v>42927</v>
      </c>
      <c r="C200" s="18" t="s">
        <v>505</v>
      </c>
      <c r="D200" s="21">
        <v>63</v>
      </c>
      <c r="E200" s="22">
        <v>1</v>
      </c>
      <c r="F200" s="18" t="s">
        <v>414</v>
      </c>
      <c r="G200" s="29" t="str">
        <f>VLOOKUP(C200,DATA!$A$2:$G$243,2,FALSE)</f>
        <v>Red Shoe Laces</v>
      </c>
      <c r="H200" s="30">
        <f t="shared" si="9"/>
        <v>1</v>
      </c>
      <c r="I200" s="30">
        <f>VLOOKUP(C200,DATA!$A$2:$G$243,5,FALSE)</f>
        <v>6000</v>
      </c>
      <c r="J200" s="30">
        <f t="shared" si="11"/>
        <v>6000</v>
      </c>
      <c r="K200" s="31">
        <f>VLOOKUP(C200,DATA!$A$2:$G$243,3,FALSE)</f>
        <v>4.95</v>
      </c>
      <c r="L200" s="31">
        <f>VLOOKUP(C200,DATA!$A$2:$G$243,4,FALSE)</f>
        <v>1.9800000000000002</v>
      </c>
      <c r="M200" s="31">
        <f t="shared" si="10"/>
        <v>1.9800000000000002</v>
      </c>
      <c r="N200" s="25" t="str">
        <f>VLOOKUP(C200,DATA!$A$2:$G$243,6,FALSE)</f>
        <v>Shoe Laces</v>
      </c>
      <c r="O200" s="16">
        <v>28605</v>
      </c>
    </row>
    <row r="201" spans="1:15" s="4" customFormat="1">
      <c r="A201" s="16" t="s">
        <v>6</v>
      </c>
      <c r="B201" s="18">
        <v>42927</v>
      </c>
      <c r="C201" s="18" t="s">
        <v>506</v>
      </c>
      <c r="D201" s="21">
        <v>45</v>
      </c>
      <c r="E201" s="22">
        <v>3</v>
      </c>
      <c r="F201" s="18" t="s">
        <v>414</v>
      </c>
      <c r="G201" s="29" t="str">
        <f>VLOOKUP(C201,DATA!$A$2:$G$243,2,FALSE)</f>
        <v>Royal Blue Shoe Laces</v>
      </c>
      <c r="H201" s="30">
        <f t="shared" si="9"/>
        <v>3</v>
      </c>
      <c r="I201" s="30">
        <f>VLOOKUP(C201,DATA!$A$2:$G$243,5,FALSE)</f>
        <v>6000</v>
      </c>
      <c r="J201" s="30">
        <f t="shared" si="11"/>
        <v>18000</v>
      </c>
      <c r="K201" s="31">
        <f>VLOOKUP(C201,DATA!$A$2:$G$243,3,FALSE)</f>
        <v>4.95</v>
      </c>
      <c r="L201" s="31">
        <f>VLOOKUP(C201,DATA!$A$2:$G$243,4,FALSE)</f>
        <v>1.9800000000000002</v>
      </c>
      <c r="M201" s="31">
        <f t="shared" si="10"/>
        <v>5.94</v>
      </c>
      <c r="N201" s="25" t="str">
        <f>VLOOKUP(C201,DATA!$A$2:$G$243,6,FALSE)</f>
        <v>Shoe Laces</v>
      </c>
      <c r="O201" s="16">
        <v>28605</v>
      </c>
    </row>
    <row r="202" spans="1:15" s="4" customFormat="1">
      <c r="A202" s="16" t="s">
        <v>6</v>
      </c>
      <c r="B202" s="18">
        <v>42927</v>
      </c>
      <c r="C202" s="18" t="s">
        <v>506</v>
      </c>
      <c r="D202" s="21">
        <v>54</v>
      </c>
      <c r="E202" s="22">
        <v>3</v>
      </c>
      <c r="F202" s="18" t="s">
        <v>414</v>
      </c>
      <c r="G202" s="29" t="str">
        <f>VLOOKUP(C202,DATA!$A$2:$G$243,2,FALSE)</f>
        <v>Royal Blue Shoe Laces</v>
      </c>
      <c r="H202" s="30">
        <f t="shared" si="9"/>
        <v>3</v>
      </c>
      <c r="I202" s="30">
        <f>VLOOKUP(C202,DATA!$A$2:$G$243,5,FALSE)</f>
        <v>6000</v>
      </c>
      <c r="J202" s="30">
        <f t="shared" si="11"/>
        <v>18000</v>
      </c>
      <c r="K202" s="31">
        <f>VLOOKUP(C202,DATA!$A$2:$G$243,3,FALSE)</f>
        <v>4.95</v>
      </c>
      <c r="L202" s="31">
        <f>VLOOKUP(C202,DATA!$A$2:$G$243,4,FALSE)</f>
        <v>1.9800000000000002</v>
      </c>
      <c r="M202" s="31">
        <f t="shared" si="10"/>
        <v>5.94</v>
      </c>
      <c r="N202" s="25" t="str">
        <f>VLOOKUP(C202,DATA!$A$2:$G$243,6,FALSE)</f>
        <v>Shoe Laces</v>
      </c>
      <c r="O202" s="16">
        <v>28605</v>
      </c>
    </row>
    <row r="203" spans="1:15" s="4" customFormat="1">
      <c r="A203" s="16" t="s">
        <v>6</v>
      </c>
      <c r="B203" s="18">
        <v>42927</v>
      </c>
      <c r="C203" s="18" t="s">
        <v>506</v>
      </c>
      <c r="D203" s="21">
        <v>63</v>
      </c>
      <c r="E203" s="22">
        <v>1</v>
      </c>
      <c r="F203" s="18" t="s">
        <v>414</v>
      </c>
      <c r="G203" s="29" t="str">
        <f>VLOOKUP(C203,DATA!$A$2:$G$243,2,FALSE)</f>
        <v>Royal Blue Shoe Laces</v>
      </c>
      <c r="H203" s="30">
        <f t="shared" si="9"/>
        <v>1</v>
      </c>
      <c r="I203" s="30">
        <f>VLOOKUP(C203,DATA!$A$2:$G$243,5,FALSE)</f>
        <v>6000</v>
      </c>
      <c r="J203" s="30">
        <f t="shared" si="11"/>
        <v>6000</v>
      </c>
      <c r="K203" s="31">
        <f>VLOOKUP(C203,DATA!$A$2:$G$243,3,FALSE)</f>
        <v>4.95</v>
      </c>
      <c r="L203" s="31">
        <f>VLOOKUP(C203,DATA!$A$2:$G$243,4,FALSE)</f>
        <v>1.9800000000000002</v>
      </c>
      <c r="M203" s="31">
        <f t="shared" si="10"/>
        <v>1.9800000000000002</v>
      </c>
      <c r="N203" s="25" t="str">
        <f>VLOOKUP(C203,DATA!$A$2:$G$243,6,FALSE)</f>
        <v>Shoe Laces</v>
      </c>
      <c r="O203" s="16">
        <v>28605</v>
      </c>
    </row>
    <row r="204" spans="1:15" s="4" customFormat="1">
      <c r="A204" s="16" t="s">
        <v>6</v>
      </c>
      <c r="B204" s="18">
        <v>42927</v>
      </c>
      <c r="C204" s="18" t="s">
        <v>507</v>
      </c>
      <c r="D204" s="21">
        <v>45</v>
      </c>
      <c r="E204" s="22">
        <v>3</v>
      </c>
      <c r="F204" s="18" t="s">
        <v>414</v>
      </c>
      <c r="G204" s="29" t="str">
        <f>VLOOKUP(C204,DATA!$A$2:$G$243,2,FALSE)</f>
        <v>Mint Shoe Laces</v>
      </c>
      <c r="H204" s="30">
        <f t="shared" si="9"/>
        <v>3</v>
      </c>
      <c r="I204" s="30">
        <f>VLOOKUP(C204,DATA!$A$2:$G$243,5,FALSE)</f>
        <v>6000</v>
      </c>
      <c r="J204" s="30">
        <f t="shared" si="11"/>
        <v>18000</v>
      </c>
      <c r="K204" s="31">
        <f>VLOOKUP(C204,DATA!$A$2:$G$243,3,FALSE)</f>
        <v>4.95</v>
      </c>
      <c r="L204" s="31">
        <f>VLOOKUP(C204,DATA!$A$2:$G$243,4,FALSE)</f>
        <v>1.9800000000000002</v>
      </c>
      <c r="M204" s="31">
        <f t="shared" si="10"/>
        <v>5.94</v>
      </c>
      <c r="N204" s="25" t="str">
        <f>VLOOKUP(C204,DATA!$A$2:$G$243,6,FALSE)</f>
        <v>Shoe Laces</v>
      </c>
      <c r="O204" s="16">
        <v>28605</v>
      </c>
    </row>
    <row r="205" spans="1:15" s="4" customFormat="1">
      <c r="A205" s="16" t="s">
        <v>6</v>
      </c>
      <c r="B205" s="18">
        <v>42927</v>
      </c>
      <c r="C205" s="18" t="s">
        <v>507</v>
      </c>
      <c r="D205" s="21">
        <v>54</v>
      </c>
      <c r="E205" s="22">
        <v>3</v>
      </c>
      <c r="F205" s="18" t="s">
        <v>414</v>
      </c>
      <c r="G205" s="29" t="str">
        <f>VLOOKUP(C205,DATA!$A$2:$G$243,2,FALSE)</f>
        <v>Mint Shoe Laces</v>
      </c>
      <c r="H205" s="30">
        <f t="shared" si="9"/>
        <v>3</v>
      </c>
      <c r="I205" s="30">
        <f>VLOOKUP(C205,DATA!$A$2:$G$243,5,FALSE)</f>
        <v>6000</v>
      </c>
      <c r="J205" s="30">
        <f t="shared" si="11"/>
        <v>18000</v>
      </c>
      <c r="K205" s="31">
        <f>VLOOKUP(C205,DATA!$A$2:$G$243,3,FALSE)</f>
        <v>4.95</v>
      </c>
      <c r="L205" s="31">
        <f>VLOOKUP(C205,DATA!$A$2:$G$243,4,FALSE)</f>
        <v>1.9800000000000002</v>
      </c>
      <c r="M205" s="31">
        <f t="shared" si="10"/>
        <v>5.94</v>
      </c>
      <c r="N205" s="25" t="str">
        <f>VLOOKUP(C205,DATA!$A$2:$G$243,6,FALSE)</f>
        <v>Shoe Laces</v>
      </c>
      <c r="O205" s="16">
        <v>28605</v>
      </c>
    </row>
    <row r="206" spans="1:15" s="4" customFormat="1">
      <c r="A206" s="16" t="s">
        <v>6</v>
      </c>
      <c r="B206" s="18">
        <v>42927</v>
      </c>
      <c r="C206" s="18" t="s">
        <v>508</v>
      </c>
      <c r="D206" s="21">
        <v>45</v>
      </c>
      <c r="E206" s="22">
        <v>3</v>
      </c>
      <c r="F206" s="18" t="s">
        <v>414</v>
      </c>
      <c r="G206" s="29" t="str">
        <f>VLOOKUP(C206,DATA!$A$2:$G$243,2,FALSE)</f>
        <v>Bahama Blue Shoe Laces</v>
      </c>
      <c r="H206" s="30">
        <f t="shared" si="9"/>
        <v>3</v>
      </c>
      <c r="I206" s="30">
        <f>VLOOKUP(C206,DATA!$A$2:$G$243,5,FALSE)</f>
        <v>6000</v>
      </c>
      <c r="J206" s="30">
        <f t="shared" si="11"/>
        <v>18000</v>
      </c>
      <c r="K206" s="31">
        <f>VLOOKUP(C206,DATA!$A$2:$G$243,3,FALSE)</f>
        <v>4.95</v>
      </c>
      <c r="L206" s="31">
        <f>VLOOKUP(C206,DATA!$A$2:$G$243,4,FALSE)</f>
        <v>1.9800000000000002</v>
      </c>
      <c r="M206" s="31">
        <f t="shared" si="10"/>
        <v>5.94</v>
      </c>
      <c r="N206" s="25" t="str">
        <f>VLOOKUP(C206,DATA!$A$2:$G$243,6,FALSE)</f>
        <v>Shoe Laces</v>
      </c>
      <c r="O206" s="16">
        <v>28605</v>
      </c>
    </row>
    <row r="207" spans="1:15" s="4" customFormat="1">
      <c r="A207" s="16" t="s">
        <v>6</v>
      </c>
      <c r="B207" s="18">
        <v>42927</v>
      </c>
      <c r="C207" s="18" t="s">
        <v>508</v>
      </c>
      <c r="D207" s="21">
        <v>54</v>
      </c>
      <c r="E207" s="22">
        <v>3</v>
      </c>
      <c r="F207" s="18" t="s">
        <v>414</v>
      </c>
      <c r="G207" s="29" t="str">
        <f>VLOOKUP(C207,DATA!$A$2:$G$243,2,FALSE)</f>
        <v>Bahama Blue Shoe Laces</v>
      </c>
      <c r="H207" s="30">
        <f t="shared" si="9"/>
        <v>3</v>
      </c>
      <c r="I207" s="30">
        <f>VLOOKUP(C207,DATA!$A$2:$G$243,5,FALSE)</f>
        <v>6000</v>
      </c>
      <c r="J207" s="30">
        <f t="shared" si="11"/>
        <v>18000</v>
      </c>
      <c r="K207" s="31">
        <f>VLOOKUP(C207,DATA!$A$2:$G$243,3,FALSE)</f>
        <v>4.95</v>
      </c>
      <c r="L207" s="31">
        <f>VLOOKUP(C207,DATA!$A$2:$G$243,4,FALSE)</f>
        <v>1.9800000000000002</v>
      </c>
      <c r="M207" s="31">
        <f t="shared" si="10"/>
        <v>5.94</v>
      </c>
      <c r="N207" s="25" t="str">
        <f>VLOOKUP(C207,DATA!$A$2:$G$243,6,FALSE)</f>
        <v>Shoe Laces</v>
      </c>
      <c r="O207" s="16">
        <v>28605</v>
      </c>
    </row>
    <row r="208" spans="1:15" s="4" customFormat="1">
      <c r="A208" s="16" t="s">
        <v>6</v>
      </c>
      <c r="B208" s="18">
        <v>42927</v>
      </c>
      <c r="C208" s="18" t="s">
        <v>509</v>
      </c>
      <c r="D208" s="21">
        <v>45</v>
      </c>
      <c r="E208" s="22">
        <v>3</v>
      </c>
      <c r="F208" s="18" t="s">
        <v>414</v>
      </c>
      <c r="G208" s="29" t="str">
        <f>VLOOKUP(C208,DATA!$A$2:$G$243,2,FALSE)</f>
        <v>Maize Shoe Laces</v>
      </c>
      <c r="H208" s="30">
        <f t="shared" si="9"/>
        <v>3</v>
      </c>
      <c r="I208" s="30">
        <f>VLOOKUP(C208,DATA!$A$2:$G$243,5,FALSE)</f>
        <v>6000</v>
      </c>
      <c r="J208" s="30">
        <f t="shared" si="11"/>
        <v>18000</v>
      </c>
      <c r="K208" s="31">
        <f>VLOOKUP(C208,DATA!$A$2:$G$243,3,FALSE)</f>
        <v>4.95</v>
      </c>
      <c r="L208" s="31">
        <f>VLOOKUP(C208,DATA!$A$2:$G$243,4,FALSE)</f>
        <v>1.9800000000000002</v>
      </c>
      <c r="M208" s="31">
        <f t="shared" si="10"/>
        <v>5.94</v>
      </c>
      <c r="N208" s="25" t="str">
        <f>VLOOKUP(C208,DATA!$A$2:$G$243,6,FALSE)</f>
        <v>Shoe Laces</v>
      </c>
      <c r="O208" s="16">
        <v>28605</v>
      </c>
    </row>
    <row r="209" spans="1:15" s="4" customFormat="1">
      <c r="A209" s="16" t="s">
        <v>6</v>
      </c>
      <c r="B209" s="18">
        <v>42927</v>
      </c>
      <c r="C209" s="18" t="s">
        <v>509</v>
      </c>
      <c r="D209" s="21">
        <v>54</v>
      </c>
      <c r="E209" s="22">
        <v>3</v>
      </c>
      <c r="F209" s="18" t="s">
        <v>414</v>
      </c>
      <c r="G209" s="29" t="str">
        <f>VLOOKUP(C209,DATA!$A$2:$G$243,2,FALSE)</f>
        <v>Maize Shoe Laces</v>
      </c>
      <c r="H209" s="30">
        <f t="shared" si="9"/>
        <v>3</v>
      </c>
      <c r="I209" s="30">
        <f>VLOOKUP(C209,DATA!$A$2:$G$243,5,FALSE)</f>
        <v>6000</v>
      </c>
      <c r="J209" s="30">
        <f t="shared" si="11"/>
        <v>18000</v>
      </c>
      <c r="K209" s="31">
        <f>VLOOKUP(C209,DATA!$A$2:$G$243,3,FALSE)</f>
        <v>4.95</v>
      </c>
      <c r="L209" s="31">
        <f>VLOOKUP(C209,DATA!$A$2:$G$243,4,FALSE)</f>
        <v>1.9800000000000002</v>
      </c>
      <c r="M209" s="31">
        <f t="shared" si="10"/>
        <v>5.94</v>
      </c>
      <c r="N209" s="25" t="str">
        <f>VLOOKUP(C209,DATA!$A$2:$G$243,6,FALSE)</f>
        <v>Shoe Laces</v>
      </c>
      <c r="O209" s="16">
        <v>28605</v>
      </c>
    </row>
    <row r="210" spans="1:15" s="4" customFormat="1">
      <c r="A210" s="16" t="s">
        <v>6</v>
      </c>
      <c r="B210" s="18">
        <v>42927</v>
      </c>
      <c r="C210" s="18" t="s">
        <v>510</v>
      </c>
      <c r="D210" s="21">
        <v>45</v>
      </c>
      <c r="E210" s="22">
        <v>3</v>
      </c>
      <c r="F210" s="18" t="s">
        <v>414</v>
      </c>
      <c r="G210" s="29" t="str">
        <f>VLOOKUP(C210,DATA!$A$2:$G$243,2,FALSE)</f>
        <v>Maroon Shoe Laces</v>
      </c>
      <c r="H210" s="30">
        <f t="shared" si="9"/>
        <v>3</v>
      </c>
      <c r="I210" s="30">
        <f>VLOOKUP(C210,DATA!$A$2:$G$243,5,FALSE)</f>
        <v>6000</v>
      </c>
      <c r="J210" s="30">
        <f t="shared" si="11"/>
        <v>18000</v>
      </c>
      <c r="K210" s="31">
        <f>VLOOKUP(C210,DATA!$A$2:$G$243,3,FALSE)</f>
        <v>4.95</v>
      </c>
      <c r="L210" s="31">
        <f>VLOOKUP(C210,DATA!$A$2:$G$243,4,FALSE)</f>
        <v>1.9800000000000002</v>
      </c>
      <c r="M210" s="31">
        <f t="shared" si="10"/>
        <v>5.94</v>
      </c>
      <c r="N210" s="25" t="str">
        <f>VLOOKUP(C210,DATA!$A$2:$G$243,6,FALSE)</f>
        <v>Shoe Laces</v>
      </c>
      <c r="O210" s="16">
        <v>28605</v>
      </c>
    </row>
    <row r="211" spans="1:15" s="4" customFormat="1">
      <c r="A211" s="16" t="s">
        <v>6</v>
      </c>
      <c r="B211" s="18">
        <v>42927</v>
      </c>
      <c r="C211" s="18" t="s">
        <v>510</v>
      </c>
      <c r="D211" s="21">
        <v>54</v>
      </c>
      <c r="E211" s="22">
        <v>3</v>
      </c>
      <c r="F211" s="18" t="s">
        <v>414</v>
      </c>
      <c r="G211" s="29" t="str">
        <f>VLOOKUP(C211,DATA!$A$2:$G$243,2,FALSE)</f>
        <v>Maroon Shoe Laces</v>
      </c>
      <c r="H211" s="30">
        <f t="shared" si="9"/>
        <v>3</v>
      </c>
      <c r="I211" s="30">
        <f>VLOOKUP(C211,DATA!$A$2:$G$243,5,FALSE)</f>
        <v>6000</v>
      </c>
      <c r="J211" s="30">
        <f t="shared" si="11"/>
        <v>18000</v>
      </c>
      <c r="K211" s="31">
        <f>VLOOKUP(C211,DATA!$A$2:$G$243,3,FALSE)</f>
        <v>4.95</v>
      </c>
      <c r="L211" s="31">
        <f>VLOOKUP(C211,DATA!$A$2:$G$243,4,FALSE)</f>
        <v>1.9800000000000002</v>
      </c>
      <c r="M211" s="31">
        <f t="shared" si="10"/>
        <v>5.94</v>
      </c>
      <c r="N211" s="25" t="str">
        <f>VLOOKUP(C211,DATA!$A$2:$G$243,6,FALSE)</f>
        <v>Shoe Laces</v>
      </c>
      <c r="O211" s="16">
        <v>28605</v>
      </c>
    </row>
    <row r="212" spans="1:15" s="4" customFormat="1">
      <c r="A212" s="16" t="s">
        <v>6</v>
      </c>
      <c r="B212" s="18">
        <v>42927</v>
      </c>
      <c r="C212" s="18" t="s">
        <v>511</v>
      </c>
      <c r="D212" s="21">
        <v>45</v>
      </c>
      <c r="E212" s="22">
        <v>3</v>
      </c>
      <c r="F212" s="18" t="s">
        <v>414</v>
      </c>
      <c r="G212" s="29" t="str">
        <f>VLOOKUP(C212,DATA!$A$2:$G$243,2,FALSE)</f>
        <v>Navy Blue Shoe Laces</v>
      </c>
      <c r="H212" s="30">
        <f t="shared" si="9"/>
        <v>3</v>
      </c>
      <c r="I212" s="30">
        <f>VLOOKUP(C212,DATA!$A$2:$G$243,5,FALSE)</f>
        <v>6000</v>
      </c>
      <c r="J212" s="30">
        <f t="shared" si="11"/>
        <v>18000</v>
      </c>
      <c r="K212" s="31">
        <f>VLOOKUP(C212,DATA!$A$2:$G$243,3,FALSE)</f>
        <v>4.95</v>
      </c>
      <c r="L212" s="31">
        <f>VLOOKUP(C212,DATA!$A$2:$G$243,4,FALSE)</f>
        <v>1.9800000000000002</v>
      </c>
      <c r="M212" s="31">
        <f t="shared" si="10"/>
        <v>5.94</v>
      </c>
      <c r="N212" s="25" t="str">
        <f>VLOOKUP(C212,DATA!$A$2:$G$243,6,FALSE)</f>
        <v>Shoe Laces</v>
      </c>
      <c r="O212" s="16">
        <v>28605</v>
      </c>
    </row>
    <row r="213" spans="1:15" s="4" customFormat="1">
      <c r="A213" s="16" t="s">
        <v>6</v>
      </c>
      <c r="B213" s="18">
        <v>42927</v>
      </c>
      <c r="C213" s="18" t="s">
        <v>511</v>
      </c>
      <c r="D213" s="21">
        <v>54</v>
      </c>
      <c r="E213" s="22">
        <v>3</v>
      </c>
      <c r="F213" s="18" t="s">
        <v>414</v>
      </c>
      <c r="G213" s="29" t="str">
        <f>VLOOKUP(C213,DATA!$A$2:$G$243,2,FALSE)</f>
        <v>Navy Blue Shoe Laces</v>
      </c>
      <c r="H213" s="30">
        <f t="shared" si="9"/>
        <v>3</v>
      </c>
      <c r="I213" s="30">
        <f>VLOOKUP(C213,DATA!$A$2:$G$243,5,FALSE)</f>
        <v>6000</v>
      </c>
      <c r="J213" s="30">
        <f t="shared" si="11"/>
        <v>18000</v>
      </c>
      <c r="K213" s="31">
        <f>VLOOKUP(C213,DATA!$A$2:$G$243,3,FALSE)</f>
        <v>4.95</v>
      </c>
      <c r="L213" s="31">
        <f>VLOOKUP(C213,DATA!$A$2:$G$243,4,FALSE)</f>
        <v>1.9800000000000002</v>
      </c>
      <c r="M213" s="31">
        <f t="shared" si="10"/>
        <v>5.94</v>
      </c>
      <c r="N213" s="25" t="str">
        <f>VLOOKUP(C213,DATA!$A$2:$G$243,6,FALSE)</f>
        <v>Shoe Laces</v>
      </c>
      <c r="O213" s="16">
        <v>28605</v>
      </c>
    </row>
    <row r="214" spans="1:15" s="4" customFormat="1">
      <c r="A214" s="16" t="s">
        <v>6</v>
      </c>
      <c r="B214" s="18">
        <v>42927</v>
      </c>
      <c r="C214" s="18" t="s">
        <v>511</v>
      </c>
      <c r="D214" s="21">
        <v>63</v>
      </c>
      <c r="E214" s="22">
        <v>1</v>
      </c>
      <c r="F214" s="18" t="s">
        <v>414</v>
      </c>
      <c r="G214" s="29" t="str">
        <f>VLOOKUP(C214,DATA!$A$2:$G$243,2,FALSE)</f>
        <v>Navy Blue Shoe Laces</v>
      </c>
      <c r="H214" s="30">
        <f t="shared" si="9"/>
        <v>1</v>
      </c>
      <c r="I214" s="30">
        <f>VLOOKUP(C214,DATA!$A$2:$G$243,5,FALSE)</f>
        <v>6000</v>
      </c>
      <c r="J214" s="30">
        <f t="shared" si="11"/>
        <v>6000</v>
      </c>
      <c r="K214" s="31">
        <f>VLOOKUP(C214,DATA!$A$2:$G$243,3,FALSE)</f>
        <v>4.95</v>
      </c>
      <c r="L214" s="31">
        <f>VLOOKUP(C214,DATA!$A$2:$G$243,4,FALSE)</f>
        <v>1.9800000000000002</v>
      </c>
      <c r="M214" s="31">
        <f t="shared" si="10"/>
        <v>1.9800000000000002</v>
      </c>
      <c r="N214" s="25" t="str">
        <f>VLOOKUP(C214,DATA!$A$2:$G$243,6,FALSE)</f>
        <v>Shoe Laces</v>
      </c>
      <c r="O214" s="16">
        <v>28605</v>
      </c>
    </row>
    <row r="215" spans="1:15" s="4" customFormat="1">
      <c r="A215" s="16" t="s">
        <v>6</v>
      </c>
      <c r="B215" s="18">
        <v>42927</v>
      </c>
      <c r="C215" s="18" t="s">
        <v>512</v>
      </c>
      <c r="D215" s="21">
        <v>45</v>
      </c>
      <c r="E215" s="22">
        <v>3</v>
      </c>
      <c r="F215" s="18" t="s">
        <v>414</v>
      </c>
      <c r="G215" s="29" t="str">
        <f>VLOOKUP(C215,DATA!$A$2:$G$243,2,FALSE)</f>
        <v>Neon Green Shoe Laces</v>
      </c>
      <c r="H215" s="30">
        <f t="shared" si="9"/>
        <v>3</v>
      </c>
      <c r="I215" s="30">
        <f>VLOOKUP(C215,DATA!$A$2:$G$243,5,FALSE)</f>
        <v>6000</v>
      </c>
      <c r="J215" s="30">
        <f t="shared" si="11"/>
        <v>18000</v>
      </c>
      <c r="K215" s="31">
        <f>VLOOKUP(C215,DATA!$A$2:$G$243,3,FALSE)</f>
        <v>4.95</v>
      </c>
      <c r="L215" s="31">
        <f>VLOOKUP(C215,DATA!$A$2:$G$243,4,FALSE)</f>
        <v>1.9800000000000002</v>
      </c>
      <c r="M215" s="31">
        <f t="shared" si="10"/>
        <v>5.94</v>
      </c>
      <c r="N215" s="25" t="str">
        <f>VLOOKUP(C215,DATA!$A$2:$G$243,6,FALSE)</f>
        <v>Shoe Laces</v>
      </c>
      <c r="O215" s="16">
        <v>28605</v>
      </c>
    </row>
    <row r="216" spans="1:15" s="4" customFormat="1">
      <c r="A216" s="16" t="s">
        <v>6</v>
      </c>
      <c r="B216" s="18">
        <v>42927</v>
      </c>
      <c r="C216" s="18" t="s">
        <v>512</v>
      </c>
      <c r="D216" s="21">
        <v>54</v>
      </c>
      <c r="E216" s="22">
        <v>3</v>
      </c>
      <c r="F216" s="18" t="s">
        <v>414</v>
      </c>
      <c r="G216" s="29" t="str">
        <f>VLOOKUP(C216,DATA!$A$2:$G$243,2,FALSE)</f>
        <v>Neon Green Shoe Laces</v>
      </c>
      <c r="H216" s="30">
        <f t="shared" si="9"/>
        <v>3</v>
      </c>
      <c r="I216" s="30">
        <f>VLOOKUP(C216,DATA!$A$2:$G$243,5,FALSE)</f>
        <v>6000</v>
      </c>
      <c r="J216" s="30">
        <f t="shared" si="11"/>
        <v>18000</v>
      </c>
      <c r="K216" s="31">
        <f>VLOOKUP(C216,DATA!$A$2:$G$243,3,FALSE)</f>
        <v>4.95</v>
      </c>
      <c r="L216" s="31">
        <f>VLOOKUP(C216,DATA!$A$2:$G$243,4,FALSE)</f>
        <v>1.9800000000000002</v>
      </c>
      <c r="M216" s="31">
        <f t="shared" si="10"/>
        <v>5.94</v>
      </c>
      <c r="N216" s="25" t="str">
        <f>VLOOKUP(C216,DATA!$A$2:$G$243,6,FALSE)</f>
        <v>Shoe Laces</v>
      </c>
      <c r="O216" s="16">
        <v>28605</v>
      </c>
    </row>
    <row r="217" spans="1:15" s="4" customFormat="1">
      <c r="A217" s="16" t="s">
        <v>6</v>
      </c>
      <c r="B217" s="18">
        <v>42927</v>
      </c>
      <c r="C217" s="18" t="s">
        <v>513</v>
      </c>
      <c r="D217" s="21">
        <v>45</v>
      </c>
      <c r="E217" s="22">
        <v>3</v>
      </c>
      <c r="F217" s="18" t="s">
        <v>414</v>
      </c>
      <c r="G217" s="29" t="str">
        <f>VLOOKUP(C217,DATA!$A$2:$G$243,2,FALSE)</f>
        <v>Neon Pink Shoe Laces</v>
      </c>
      <c r="H217" s="30">
        <f t="shared" si="9"/>
        <v>3</v>
      </c>
      <c r="I217" s="30">
        <f>VLOOKUP(C217,DATA!$A$2:$G$243,5,FALSE)</f>
        <v>6000</v>
      </c>
      <c r="J217" s="30">
        <f t="shared" si="11"/>
        <v>18000</v>
      </c>
      <c r="K217" s="31">
        <f>VLOOKUP(C217,DATA!$A$2:$G$243,3,FALSE)</f>
        <v>4.95</v>
      </c>
      <c r="L217" s="31">
        <f>VLOOKUP(C217,DATA!$A$2:$G$243,4,FALSE)</f>
        <v>1.9800000000000002</v>
      </c>
      <c r="M217" s="31">
        <f t="shared" si="10"/>
        <v>5.94</v>
      </c>
      <c r="N217" s="25" t="str">
        <f>VLOOKUP(C217,DATA!$A$2:$G$243,6,FALSE)</f>
        <v>Shoe Laces</v>
      </c>
      <c r="O217" s="16">
        <v>28605</v>
      </c>
    </row>
    <row r="218" spans="1:15" s="4" customFormat="1">
      <c r="A218" s="16" t="s">
        <v>6</v>
      </c>
      <c r="B218" s="18">
        <v>42927</v>
      </c>
      <c r="C218" s="18" t="s">
        <v>513</v>
      </c>
      <c r="D218" s="21">
        <v>54</v>
      </c>
      <c r="E218" s="22">
        <v>3</v>
      </c>
      <c r="F218" s="18" t="s">
        <v>414</v>
      </c>
      <c r="G218" s="29" t="str">
        <f>VLOOKUP(C218,DATA!$A$2:$G$243,2,FALSE)</f>
        <v>Neon Pink Shoe Laces</v>
      </c>
      <c r="H218" s="30">
        <f t="shared" si="9"/>
        <v>3</v>
      </c>
      <c r="I218" s="30">
        <f>VLOOKUP(C218,DATA!$A$2:$G$243,5,FALSE)</f>
        <v>6000</v>
      </c>
      <c r="J218" s="30">
        <f t="shared" si="11"/>
        <v>18000</v>
      </c>
      <c r="K218" s="31">
        <f>VLOOKUP(C218,DATA!$A$2:$G$243,3,FALSE)</f>
        <v>4.95</v>
      </c>
      <c r="L218" s="31">
        <f>VLOOKUP(C218,DATA!$A$2:$G$243,4,FALSE)</f>
        <v>1.9800000000000002</v>
      </c>
      <c r="M218" s="31">
        <f t="shared" si="10"/>
        <v>5.94</v>
      </c>
      <c r="N218" s="25" t="str">
        <f>VLOOKUP(C218,DATA!$A$2:$G$243,6,FALSE)</f>
        <v>Shoe Laces</v>
      </c>
      <c r="O218" s="16">
        <v>28605</v>
      </c>
    </row>
    <row r="219" spans="1:15" s="4" customFormat="1">
      <c r="A219" s="16" t="s">
        <v>6</v>
      </c>
      <c r="B219" s="18">
        <v>42927</v>
      </c>
      <c r="C219" s="18" t="s">
        <v>514</v>
      </c>
      <c r="D219" s="21">
        <v>45</v>
      </c>
      <c r="E219" s="22">
        <v>3</v>
      </c>
      <c r="F219" s="18" t="s">
        <v>414</v>
      </c>
      <c r="G219" s="29" t="str">
        <f>VLOOKUP(C219,DATA!$A$2:$G$243,2,FALSE)</f>
        <v>Pale Yellow Shoe Laces</v>
      </c>
      <c r="H219" s="30">
        <f t="shared" si="9"/>
        <v>3</v>
      </c>
      <c r="I219" s="30">
        <f>VLOOKUP(C219,DATA!$A$2:$G$243,5,FALSE)</f>
        <v>6000</v>
      </c>
      <c r="J219" s="30">
        <f t="shared" si="11"/>
        <v>18000</v>
      </c>
      <c r="K219" s="31">
        <f>VLOOKUP(C219,DATA!$A$2:$G$243,3,FALSE)</f>
        <v>4.95</v>
      </c>
      <c r="L219" s="31">
        <f>VLOOKUP(C219,DATA!$A$2:$G$243,4,FALSE)</f>
        <v>1.9800000000000002</v>
      </c>
      <c r="M219" s="31">
        <f t="shared" si="10"/>
        <v>5.94</v>
      </c>
      <c r="N219" s="25" t="str">
        <f>VLOOKUP(C219,DATA!$A$2:$G$243,6,FALSE)</f>
        <v>Shoe Laces</v>
      </c>
      <c r="O219" s="16">
        <v>28605</v>
      </c>
    </row>
    <row r="220" spans="1:15" s="4" customFormat="1">
      <c r="A220" s="16" t="s">
        <v>6</v>
      </c>
      <c r="B220" s="18">
        <v>42927</v>
      </c>
      <c r="C220" s="18" t="s">
        <v>514</v>
      </c>
      <c r="D220" s="21">
        <v>54</v>
      </c>
      <c r="E220" s="22">
        <v>3</v>
      </c>
      <c r="F220" s="18" t="s">
        <v>414</v>
      </c>
      <c r="G220" s="29" t="str">
        <f>VLOOKUP(C220,DATA!$A$2:$G$243,2,FALSE)</f>
        <v>Pale Yellow Shoe Laces</v>
      </c>
      <c r="H220" s="30">
        <f t="shared" si="9"/>
        <v>3</v>
      </c>
      <c r="I220" s="30">
        <f>VLOOKUP(C220,DATA!$A$2:$G$243,5,FALSE)</f>
        <v>6000</v>
      </c>
      <c r="J220" s="30">
        <f t="shared" si="11"/>
        <v>18000</v>
      </c>
      <c r="K220" s="31">
        <f>VLOOKUP(C220,DATA!$A$2:$G$243,3,FALSE)</f>
        <v>4.95</v>
      </c>
      <c r="L220" s="31">
        <f>VLOOKUP(C220,DATA!$A$2:$G$243,4,FALSE)</f>
        <v>1.9800000000000002</v>
      </c>
      <c r="M220" s="31">
        <f t="shared" si="10"/>
        <v>5.94</v>
      </c>
      <c r="N220" s="25" t="str">
        <f>VLOOKUP(C220,DATA!$A$2:$G$243,6,FALSE)</f>
        <v>Shoe Laces</v>
      </c>
      <c r="O220" s="16">
        <v>28605</v>
      </c>
    </row>
    <row r="221" spans="1:15" s="4" customFormat="1">
      <c r="A221" s="16" t="s">
        <v>6</v>
      </c>
      <c r="B221" s="18">
        <v>42927</v>
      </c>
      <c r="C221" s="18" t="s">
        <v>515</v>
      </c>
      <c r="D221" s="21">
        <v>45</v>
      </c>
      <c r="E221" s="22">
        <v>3</v>
      </c>
      <c r="F221" s="18" t="s">
        <v>414</v>
      </c>
      <c r="G221" s="29" t="str">
        <f>VLOOKUP(C221,DATA!$A$2:$G$243,2,FALSE)</f>
        <v>Paradise Purple Shoe Laces</v>
      </c>
      <c r="H221" s="30">
        <f t="shared" si="9"/>
        <v>3</v>
      </c>
      <c r="I221" s="30">
        <f>VLOOKUP(C221,DATA!$A$2:$G$243,5,FALSE)</f>
        <v>6000</v>
      </c>
      <c r="J221" s="30">
        <f t="shared" si="11"/>
        <v>18000</v>
      </c>
      <c r="K221" s="31">
        <f>VLOOKUP(C221,DATA!$A$2:$G$243,3,FALSE)</f>
        <v>4.95</v>
      </c>
      <c r="L221" s="31">
        <f>VLOOKUP(C221,DATA!$A$2:$G$243,4,FALSE)</f>
        <v>1.9800000000000002</v>
      </c>
      <c r="M221" s="31">
        <f t="shared" si="10"/>
        <v>5.94</v>
      </c>
      <c r="N221" s="25" t="str">
        <f>VLOOKUP(C221,DATA!$A$2:$G$243,6,FALSE)</f>
        <v>Shoe Laces</v>
      </c>
      <c r="O221" s="16">
        <v>28605</v>
      </c>
    </row>
    <row r="222" spans="1:15" s="4" customFormat="1">
      <c r="A222" s="16" t="s">
        <v>6</v>
      </c>
      <c r="B222" s="18">
        <v>42927</v>
      </c>
      <c r="C222" s="18" t="s">
        <v>515</v>
      </c>
      <c r="D222" s="21">
        <v>54</v>
      </c>
      <c r="E222" s="22">
        <v>3</v>
      </c>
      <c r="F222" s="18" t="s">
        <v>414</v>
      </c>
      <c r="G222" s="29" t="str">
        <f>VLOOKUP(C222,DATA!$A$2:$G$243,2,FALSE)</f>
        <v>Paradise Purple Shoe Laces</v>
      </c>
      <c r="H222" s="30">
        <f t="shared" si="9"/>
        <v>3</v>
      </c>
      <c r="I222" s="30">
        <f>VLOOKUP(C222,DATA!$A$2:$G$243,5,FALSE)</f>
        <v>6000</v>
      </c>
      <c r="J222" s="30">
        <f t="shared" si="11"/>
        <v>18000</v>
      </c>
      <c r="K222" s="31">
        <f>VLOOKUP(C222,DATA!$A$2:$G$243,3,FALSE)</f>
        <v>4.95</v>
      </c>
      <c r="L222" s="31">
        <f>VLOOKUP(C222,DATA!$A$2:$G$243,4,FALSE)</f>
        <v>1.9800000000000002</v>
      </c>
      <c r="M222" s="31">
        <f t="shared" si="10"/>
        <v>5.94</v>
      </c>
      <c r="N222" s="25" t="str">
        <f>VLOOKUP(C222,DATA!$A$2:$G$243,6,FALSE)</f>
        <v>Shoe Laces</v>
      </c>
      <c r="O222" s="16">
        <v>28605</v>
      </c>
    </row>
    <row r="223" spans="1:15" s="4" customFormat="1">
      <c r="A223" s="16" t="s">
        <v>6</v>
      </c>
      <c r="B223" s="18">
        <v>42927</v>
      </c>
      <c r="C223" s="18" t="s">
        <v>516</v>
      </c>
      <c r="D223" s="21">
        <v>45</v>
      </c>
      <c r="E223" s="22">
        <v>3</v>
      </c>
      <c r="F223" s="18" t="s">
        <v>414</v>
      </c>
      <c r="G223" s="29" t="str">
        <f>VLOOKUP(C223,DATA!$A$2:$G$243,2,FALSE)</f>
        <v>Pink Shoe Laces</v>
      </c>
      <c r="H223" s="30">
        <f t="shared" si="9"/>
        <v>3</v>
      </c>
      <c r="I223" s="30">
        <f>VLOOKUP(C223,DATA!$A$2:$G$243,5,FALSE)</f>
        <v>6000</v>
      </c>
      <c r="J223" s="30">
        <f t="shared" si="11"/>
        <v>18000</v>
      </c>
      <c r="K223" s="31">
        <f>VLOOKUP(C223,DATA!$A$2:$G$243,3,FALSE)</f>
        <v>4.95</v>
      </c>
      <c r="L223" s="31">
        <f>VLOOKUP(C223,DATA!$A$2:$G$243,4,FALSE)</f>
        <v>1.9800000000000002</v>
      </c>
      <c r="M223" s="31">
        <f t="shared" si="10"/>
        <v>5.94</v>
      </c>
      <c r="N223" s="25" t="str">
        <f>VLOOKUP(C223,DATA!$A$2:$G$243,6,FALSE)</f>
        <v>Shoe Laces</v>
      </c>
      <c r="O223" s="16">
        <v>28605</v>
      </c>
    </row>
    <row r="224" spans="1:15" s="4" customFormat="1">
      <c r="A224" s="16" t="s">
        <v>6</v>
      </c>
      <c r="B224" s="18">
        <v>42927</v>
      </c>
      <c r="C224" s="18" t="s">
        <v>516</v>
      </c>
      <c r="D224" s="21">
        <v>54</v>
      </c>
      <c r="E224" s="22">
        <v>3</v>
      </c>
      <c r="F224" s="18" t="s">
        <v>414</v>
      </c>
      <c r="G224" s="29" t="str">
        <f>VLOOKUP(C224,DATA!$A$2:$G$243,2,FALSE)</f>
        <v>Pink Shoe Laces</v>
      </c>
      <c r="H224" s="30">
        <f t="shared" si="9"/>
        <v>3</v>
      </c>
      <c r="I224" s="30">
        <f>VLOOKUP(C224,DATA!$A$2:$G$243,5,FALSE)</f>
        <v>6000</v>
      </c>
      <c r="J224" s="30">
        <f t="shared" si="11"/>
        <v>18000</v>
      </c>
      <c r="K224" s="31">
        <f>VLOOKUP(C224,DATA!$A$2:$G$243,3,FALSE)</f>
        <v>4.95</v>
      </c>
      <c r="L224" s="31">
        <f>VLOOKUP(C224,DATA!$A$2:$G$243,4,FALSE)</f>
        <v>1.9800000000000002</v>
      </c>
      <c r="M224" s="31">
        <f t="shared" si="10"/>
        <v>5.94</v>
      </c>
      <c r="N224" s="25" t="str">
        <f>VLOOKUP(C224,DATA!$A$2:$G$243,6,FALSE)</f>
        <v>Shoe Laces</v>
      </c>
      <c r="O224" s="16">
        <v>28605</v>
      </c>
    </row>
    <row r="225" spans="1:15" s="4" customFormat="1">
      <c r="A225" s="16" t="s">
        <v>6</v>
      </c>
      <c r="B225" s="18">
        <v>42927</v>
      </c>
      <c r="C225" s="18" t="s">
        <v>517</v>
      </c>
      <c r="D225" s="21">
        <v>45</v>
      </c>
      <c r="E225" s="22">
        <v>3</v>
      </c>
      <c r="F225" s="18" t="s">
        <v>414</v>
      </c>
      <c r="G225" s="29" t="str">
        <f>VLOOKUP(C225,DATA!$A$2:$G$243,2,FALSE)</f>
        <v>Purple Shoe Laces</v>
      </c>
      <c r="H225" s="30">
        <f t="shared" si="9"/>
        <v>3</v>
      </c>
      <c r="I225" s="30">
        <f>VLOOKUP(C225,DATA!$A$2:$G$243,5,FALSE)</f>
        <v>6000</v>
      </c>
      <c r="J225" s="30">
        <f t="shared" si="11"/>
        <v>18000</v>
      </c>
      <c r="K225" s="31">
        <f>VLOOKUP(C225,DATA!$A$2:$G$243,3,FALSE)</f>
        <v>4.95</v>
      </c>
      <c r="L225" s="31">
        <f>VLOOKUP(C225,DATA!$A$2:$G$243,4,FALSE)</f>
        <v>1.9800000000000002</v>
      </c>
      <c r="M225" s="31">
        <f t="shared" si="10"/>
        <v>5.94</v>
      </c>
      <c r="N225" s="25" t="str">
        <f>VLOOKUP(C225,DATA!$A$2:$G$243,6,FALSE)</f>
        <v>Shoe Laces</v>
      </c>
      <c r="O225" s="16">
        <v>28605</v>
      </c>
    </row>
    <row r="226" spans="1:15" s="4" customFormat="1">
      <c r="A226" s="16" t="s">
        <v>6</v>
      </c>
      <c r="B226" s="18">
        <v>42927</v>
      </c>
      <c r="C226" s="18" t="s">
        <v>517</v>
      </c>
      <c r="D226" s="21">
        <v>54</v>
      </c>
      <c r="E226" s="22">
        <v>3</v>
      </c>
      <c r="F226" s="18" t="s">
        <v>414</v>
      </c>
      <c r="G226" s="29" t="str">
        <f>VLOOKUP(C226,DATA!$A$2:$G$243,2,FALSE)</f>
        <v>Purple Shoe Laces</v>
      </c>
      <c r="H226" s="30">
        <f t="shared" si="9"/>
        <v>3</v>
      </c>
      <c r="I226" s="30">
        <f>VLOOKUP(C226,DATA!$A$2:$G$243,5,FALSE)</f>
        <v>6000</v>
      </c>
      <c r="J226" s="30">
        <f t="shared" si="11"/>
        <v>18000</v>
      </c>
      <c r="K226" s="31">
        <f>VLOOKUP(C226,DATA!$A$2:$G$243,3,FALSE)</f>
        <v>4.95</v>
      </c>
      <c r="L226" s="31">
        <f>VLOOKUP(C226,DATA!$A$2:$G$243,4,FALSE)</f>
        <v>1.9800000000000002</v>
      </c>
      <c r="M226" s="31">
        <f t="shared" si="10"/>
        <v>5.94</v>
      </c>
      <c r="N226" s="25" t="str">
        <f>VLOOKUP(C226,DATA!$A$2:$G$243,6,FALSE)</f>
        <v>Shoe Laces</v>
      </c>
      <c r="O226" s="16">
        <v>28605</v>
      </c>
    </row>
    <row r="227" spans="1:15" s="4" customFormat="1">
      <c r="A227" s="16" t="s">
        <v>6</v>
      </c>
      <c r="B227" s="18">
        <v>42927</v>
      </c>
      <c r="C227" s="18" t="s">
        <v>518</v>
      </c>
      <c r="D227" s="21">
        <v>45</v>
      </c>
      <c r="E227" s="22">
        <v>3</v>
      </c>
      <c r="F227" s="18" t="s">
        <v>414</v>
      </c>
      <c r="G227" s="29" t="str">
        <f>VLOOKUP(C227,DATA!$A$2:$G$243,2,FALSE)</f>
        <v>Silver Shoe Laces</v>
      </c>
      <c r="H227" s="30">
        <f t="shared" si="9"/>
        <v>3</v>
      </c>
      <c r="I227" s="30">
        <f>VLOOKUP(C227,DATA!$A$2:$G$243,5,FALSE)</f>
        <v>6000</v>
      </c>
      <c r="J227" s="30">
        <f t="shared" si="11"/>
        <v>18000</v>
      </c>
      <c r="K227" s="31">
        <f>VLOOKUP(C227,DATA!$A$2:$G$243,3,FALSE)</f>
        <v>4.95</v>
      </c>
      <c r="L227" s="31">
        <f>VLOOKUP(C227,DATA!$A$2:$G$243,4,FALSE)</f>
        <v>1.9800000000000002</v>
      </c>
      <c r="M227" s="31">
        <f t="shared" si="10"/>
        <v>5.94</v>
      </c>
      <c r="N227" s="25" t="str">
        <f>VLOOKUP(C227,DATA!$A$2:$G$243,6,FALSE)</f>
        <v>Shoe Laces</v>
      </c>
      <c r="O227" s="16">
        <v>28605</v>
      </c>
    </row>
    <row r="228" spans="1:15" s="4" customFormat="1">
      <c r="A228" s="16" t="s">
        <v>6</v>
      </c>
      <c r="B228" s="18">
        <v>42927</v>
      </c>
      <c r="C228" s="18" t="s">
        <v>518</v>
      </c>
      <c r="D228" s="21">
        <v>54</v>
      </c>
      <c r="E228" s="22">
        <v>3</v>
      </c>
      <c r="F228" s="18" t="s">
        <v>414</v>
      </c>
      <c r="G228" s="29" t="str">
        <f>VLOOKUP(C228,DATA!$A$2:$G$243,2,FALSE)</f>
        <v>Silver Shoe Laces</v>
      </c>
      <c r="H228" s="30">
        <f t="shared" si="9"/>
        <v>3</v>
      </c>
      <c r="I228" s="30">
        <f>VLOOKUP(C228,DATA!$A$2:$G$243,5,FALSE)</f>
        <v>6000</v>
      </c>
      <c r="J228" s="30">
        <f t="shared" si="11"/>
        <v>18000</v>
      </c>
      <c r="K228" s="31">
        <f>VLOOKUP(C228,DATA!$A$2:$G$243,3,FALSE)</f>
        <v>4.95</v>
      </c>
      <c r="L228" s="31">
        <f>VLOOKUP(C228,DATA!$A$2:$G$243,4,FALSE)</f>
        <v>1.9800000000000002</v>
      </c>
      <c r="M228" s="31">
        <f t="shared" si="10"/>
        <v>5.94</v>
      </c>
      <c r="N228" s="25" t="str">
        <f>VLOOKUP(C228,DATA!$A$2:$G$243,6,FALSE)</f>
        <v>Shoe Laces</v>
      </c>
      <c r="O228" s="16">
        <v>28605</v>
      </c>
    </row>
    <row r="229" spans="1:15" s="4" customFormat="1">
      <c r="A229" s="16" t="s">
        <v>6</v>
      </c>
      <c r="B229" s="18">
        <v>42927</v>
      </c>
      <c r="C229" s="18" t="s">
        <v>519</v>
      </c>
      <c r="D229" s="21">
        <v>45</v>
      </c>
      <c r="E229" s="22">
        <v>3</v>
      </c>
      <c r="F229" s="18" t="s">
        <v>414</v>
      </c>
      <c r="G229" s="29" t="str">
        <f>VLOOKUP(C229,DATA!$A$2:$G$243,2,FALSE)</f>
        <v>Teal Shoe Laces</v>
      </c>
      <c r="H229" s="30">
        <f t="shared" si="9"/>
        <v>3</v>
      </c>
      <c r="I229" s="30">
        <f>VLOOKUP(C229,DATA!$A$2:$G$243,5,FALSE)</f>
        <v>6000</v>
      </c>
      <c r="J229" s="30">
        <f t="shared" si="11"/>
        <v>18000</v>
      </c>
      <c r="K229" s="31">
        <f>VLOOKUP(C229,DATA!$A$2:$G$243,3,FALSE)</f>
        <v>4.95</v>
      </c>
      <c r="L229" s="31">
        <f>VLOOKUP(C229,DATA!$A$2:$G$243,4,FALSE)</f>
        <v>1.9800000000000002</v>
      </c>
      <c r="M229" s="31">
        <f t="shared" si="10"/>
        <v>5.94</v>
      </c>
      <c r="N229" s="25" t="str">
        <f>VLOOKUP(C229,DATA!$A$2:$G$243,6,FALSE)</f>
        <v>Shoe Laces</v>
      </c>
      <c r="O229" s="16">
        <v>28605</v>
      </c>
    </row>
    <row r="230" spans="1:15" s="4" customFormat="1">
      <c r="A230" s="16" t="s">
        <v>6</v>
      </c>
      <c r="B230" s="18">
        <v>42927</v>
      </c>
      <c r="C230" s="18" t="s">
        <v>519</v>
      </c>
      <c r="D230" s="21">
        <v>54</v>
      </c>
      <c r="E230" s="22">
        <v>3</v>
      </c>
      <c r="F230" s="18" t="s">
        <v>414</v>
      </c>
      <c r="G230" s="29" t="str">
        <f>VLOOKUP(C230,DATA!$A$2:$G$243,2,FALSE)</f>
        <v>Teal Shoe Laces</v>
      </c>
      <c r="H230" s="30">
        <f t="shared" si="9"/>
        <v>3</v>
      </c>
      <c r="I230" s="30">
        <f>VLOOKUP(C230,DATA!$A$2:$G$243,5,FALSE)</f>
        <v>6000</v>
      </c>
      <c r="J230" s="30">
        <f t="shared" si="11"/>
        <v>18000</v>
      </c>
      <c r="K230" s="31">
        <f>VLOOKUP(C230,DATA!$A$2:$G$243,3,FALSE)</f>
        <v>4.95</v>
      </c>
      <c r="L230" s="31">
        <f>VLOOKUP(C230,DATA!$A$2:$G$243,4,FALSE)</f>
        <v>1.9800000000000002</v>
      </c>
      <c r="M230" s="31">
        <f t="shared" si="10"/>
        <v>5.94</v>
      </c>
      <c r="N230" s="25" t="str">
        <f>VLOOKUP(C230,DATA!$A$2:$G$243,6,FALSE)</f>
        <v>Shoe Laces</v>
      </c>
      <c r="O230" s="16">
        <v>28605</v>
      </c>
    </row>
    <row r="231" spans="1:15" s="4" customFormat="1">
      <c r="A231" s="16" t="s">
        <v>6</v>
      </c>
      <c r="B231" s="18">
        <v>42927</v>
      </c>
      <c r="C231" s="18" t="s">
        <v>520</v>
      </c>
      <c r="D231" s="21">
        <v>45</v>
      </c>
      <c r="E231" s="22">
        <v>3</v>
      </c>
      <c r="F231" s="18" t="s">
        <v>414</v>
      </c>
      <c r="G231" s="29" t="str">
        <f>VLOOKUP(C231,DATA!$A$2:$G$243,2,FALSE)</f>
        <v>Volt Shoe Laces</v>
      </c>
      <c r="H231" s="30">
        <f t="shared" si="9"/>
        <v>3</v>
      </c>
      <c r="I231" s="30">
        <f>VLOOKUP(C231,DATA!$A$2:$G$243,5,FALSE)</f>
        <v>6000</v>
      </c>
      <c r="J231" s="30">
        <f t="shared" si="11"/>
        <v>18000</v>
      </c>
      <c r="K231" s="31">
        <f>VLOOKUP(C231,DATA!$A$2:$G$243,3,FALSE)</f>
        <v>4.95</v>
      </c>
      <c r="L231" s="31">
        <f>VLOOKUP(C231,DATA!$A$2:$G$243,4,FALSE)</f>
        <v>1.9800000000000002</v>
      </c>
      <c r="M231" s="31">
        <f t="shared" si="10"/>
        <v>5.94</v>
      </c>
      <c r="N231" s="25" t="str">
        <f>VLOOKUP(C231,DATA!$A$2:$G$243,6,FALSE)</f>
        <v>Shoe Laces</v>
      </c>
      <c r="O231" s="16">
        <v>28605</v>
      </c>
    </row>
    <row r="232" spans="1:15" s="4" customFormat="1">
      <c r="A232" s="16" t="s">
        <v>6</v>
      </c>
      <c r="B232" s="18">
        <v>42927</v>
      </c>
      <c r="C232" s="18" t="s">
        <v>520</v>
      </c>
      <c r="D232" s="21">
        <v>54</v>
      </c>
      <c r="E232" s="22">
        <v>3</v>
      </c>
      <c r="F232" s="18" t="s">
        <v>414</v>
      </c>
      <c r="G232" s="29" t="str">
        <f>VLOOKUP(C232,DATA!$A$2:$G$243,2,FALSE)</f>
        <v>Volt Shoe Laces</v>
      </c>
      <c r="H232" s="30">
        <f t="shared" si="9"/>
        <v>3</v>
      </c>
      <c r="I232" s="30">
        <f>VLOOKUP(C232,DATA!$A$2:$G$243,5,FALSE)</f>
        <v>6000</v>
      </c>
      <c r="J232" s="30">
        <f t="shared" si="11"/>
        <v>18000</v>
      </c>
      <c r="K232" s="31">
        <f>VLOOKUP(C232,DATA!$A$2:$G$243,3,FALSE)</f>
        <v>4.95</v>
      </c>
      <c r="L232" s="31">
        <f>VLOOKUP(C232,DATA!$A$2:$G$243,4,FALSE)</f>
        <v>1.9800000000000002</v>
      </c>
      <c r="M232" s="31">
        <f t="shared" si="10"/>
        <v>5.94</v>
      </c>
      <c r="N232" s="25" t="str">
        <f>VLOOKUP(C232,DATA!$A$2:$G$243,6,FALSE)</f>
        <v>Shoe Laces</v>
      </c>
      <c r="O232" s="16">
        <v>28605</v>
      </c>
    </row>
    <row r="233" spans="1:15" s="4" customFormat="1">
      <c r="A233" s="16" t="s">
        <v>6</v>
      </c>
      <c r="B233" s="18">
        <v>42927</v>
      </c>
      <c r="C233" s="18" t="s">
        <v>521</v>
      </c>
      <c r="D233" s="21">
        <v>45</v>
      </c>
      <c r="E233" s="22">
        <v>3</v>
      </c>
      <c r="F233" s="18" t="s">
        <v>414</v>
      </c>
      <c r="G233" s="29" t="str">
        <f>VLOOKUP(C233,DATA!$A$2:$G$243,2,FALSE)</f>
        <v>Olive Shoe Laces</v>
      </c>
      <c r="H233" s="30">
        <f t="shared" si="9"/>
        <v>3</v>
      </c>
      <c r="I233" s="30">
        <f>VLOOKUP(C233,DATA!$A$2:$G$243,5,FALSE)</f>
        <v>6000</v>
      </c>
      <c r="J233" s="30">
        <f t="shared" si="11"/>
        <v>18000</v>
      </c>
      <c r="K233" s="31">
        <f>VLOOKUP(C233,DATA!$A$2:$G$243,3,FALSE)</f>
        <v>4.95</v>
      </c>
      <c r="L233" s="31">
        <f>VLOOKUP(C233,DATA!$A$2:$G$243,4,FALSE)</f>
        <v>1.9800000000000002</v>
      </c>
      <c r="M233" s="31">
        <f t="shared" si="10"/>
        <v>5.94</v>
      </c>
      <c r="N233" s="25" t="str">
        <f>VLOOKUP(C233,DATA!$A$2:$G$243,6,FALSE)</f>
        <v>Shoe Laces</v>
      </c>
      <c r="O233" s="16">
        <v>28605</v>
      </c>
    </row>
    <row r="234" spans="1:15" s="4" customFormat="1">
      <c r="A234" s="16" t="s">
        <v>6</v>
      </c>
      <c r="B234" s="18">
        <v>42927</v>
      </c>
      <c r="C234" s="18" t="s">
        <v>521</v>
      </c>
      <c r="D234" s="21">
        <v>54</v>
      </c>
      <c r="E234" s="22">
        <v>3</v>
      </c>
      <c r="F234" s="18" t="s">
        <v>414</v>
      </c>
      <c r="G234" s="29" t="str">
        <f>VLOOKUP(C234,DATA!$A$2:$G$243,2,FALSE)</f>
        <v>Olive Shoe Laces</v>
      </c>
      <c r="H234" s="30">
        <f t="shared" si="9"/>
        <v>3</v>
      </c>
      <c r="I234" s="30">
        <f>VLOOKUP(C234,DATA!$A$2:$G$243,5,FALSE)</f>
        <v>6000</v>
      </c>
      <c r="J234" s="30">
        <f t="shared" si="11"/>
        <v>18000</v>
      </c>
      <c r="K234" s="31">
        <f>VLOOKUP(C234,DATA!$A$2:$G$243,3,FALSE)</f>
        <v>4.95</v>
      </c>
      <c r="L234" s="31">
        <f>VLOOKUP(C234,DATA!$A$2:$G$243,4,FALSE)</f>
        <v>1.9800000000000002</v>
      </c>
      <c r="M234" s="31">
        <f t="shared" si="10"/>
        <v>5.94</v>
      </c>
      <c r="N234" s="25" t="str">
        <f>VLOOKUP(C234,DATA!$A$2:$G$243,6,FALSE)</f>
        <v>Shoe Laces</v>
      </c>
      <c r="O234" s="16">
        <v>28605</v>
      </c>
    </row>
    <row r="235" spans="1:15" s="4" customFormat="1">
      <c r="A235" s="16" t="s">
        <v>6</v>
      </c>
      <c r="B235" s="18">
        <v>42927</v>
      </c>
      <c r="C235" s="18" t="s">
        <v>522</v>
      </c>
      <c r="D235" s="21">
        <v>45</v>
      </c>
      <c r="E235" s="22">
        <v>3</v>
      </c>
      <c r="F235" s="18" t="s">
        <v>414</v>
      </c>
      <c r="G235" s="29" t="str">
        <f>VLOOKUP(C235,DATA!$A$2:$G$243,2,FALSE)</f>
        <v>Lilac Shoe Laces</v>
      </c>
      <c r="H235" s="30">
        <f t="shared" si="9"/>
        <v>3</v>
      </c>
      <c r="I235" s="30">
        <f>VLOOKUP(C235,DATA!$A$2:$G$243,5,FALSE)</f>
        <v>6000</v>
      </c>
      <c r="J235" s="30">
        <f t="shared" si="11"/>
        <v>18000</v>
      </c>
      <c r="K235" s="31">
        <f>VLOOKUP(C235,DATA!$A$2:$G$243,3,FALSE)</f>
        <v>4.95</v>
      </c>
      <c r="L235" s="31">
        <f>VLOOKUP(C235,DATA!$A$2:$G$243,4,FALSE)</f>
        <v>1.9800000000000002</v>
      </c>
      <c r="M235" s="31">
        <f t="shared" si="10"/>
        <v>5.94</v>
      </c>
      <c r="N235" s="25" t="str">
        <f>VLOOKUP(C235,DATA!$A$2:$G$243,6,FALSE)</f>
        <v>Shoe Laces</v>
      </c>
      <c r="O235" s="16">
        <v>28605</v>
      </c>
    </row>
    <row r="236" spans="1:15" s="4" customFormat="1">
      <c r="A236" s="16" t="s">
        <v>6</v>
      </c>
      <c r="B236" s="18">
        <v>42927</v>
      </c>
      <c r="C236" s="18" t="s">
        <v>522</v>
      </c>
      <c r="D236" s="21">
        <v>54</v>
      </c>
      <c r="E236" s="22">
        <v>3</v>
      </c>
      <c r="F236" s="18" t="s">
        <v>414</v>
      </c>
      <c r="G236" s="29" t="str">
        <f>VLOOKUP(C236,DATA!$A$2:$G$243,2,FALSE)</f>
        <v>Lilac Shoe Laces</v>
      </c>
      <c r="H236" s="30">
        <f t="shared" si="9"/>
        <v>3</v>
      </c>
      <c r="I236" s="30">
        <f>VLOOKUP(C236,DATA!$A$2:$G$243,5,FALSE)</f>
        <v>6000</v>
      </c>
      <c r="J236" s="30">
        <f t="shared" si="11"/>
        <v>18000</v>
      </c>
      <c r="K236" s="31">
        <f>VLOOKUP(C236,DATA!$A$2:$G$243,3,FALSE)</f>
        <v>4.95</v>
      </c>
      <c r="L236" s="31">
        <f>VLOOKUP(C236,DATA!$A$2:$G$243,4,FALSE)</f>
        <v>1.9800000000000002</v>
      </c>
      <c r="M236" s="31">
        <f t="shared" si="10"/>
        <v>5.94</v>
      </c>
      <c r="N236" s="25" t="str">
        <f>VLOOKUP(C236,DATA!$A$2:$G$243,6,FALSE)</f>
        <v>Shoe Laces</v>
      </c>
      <c r="O236" s="16">
        <v>28605</v>
      </c>
    </row>
    <row r="237" spans="1:15" s="4" customFormat="1">
      <c r="A237" s="16" t="s">
        <v>6</v>
      </c>
      <c r="B237" s="18">
        <v>42927</v>
      </c>
      <c r="C237" s="18" t="s">
        <v>523</v>
      </c>
      <c r="D237" s="21">
        <v>45</v>
      </c>
      <c r="E237" s="22">
        <v>3</v>
      </c>
      <c r="F237" s="18" t="s">
        <v>414</v>
      </c>
      <c r="G237" s="29" t="str">
        <f>VLOOKUP(C237,DATA!$A$2:$G$243,2,FALSE)</f>
        <v>Light Grey Shoe Laces</v>
      </c>
      <c r="H237" s="30">
        <f t="shared" si="9"/>
        <v>3</v>
      </c>
      <c r="I237" s="30">
        <f>VLOOKUP(C237,DATA!$A$2:$G$243,5,FALSE)</f>
        <v>6000</v>
      </c>
      <c r="J237" s="30">
        <f t="shared" si="11"/>
        <v>18000</v>
      </c>
      <c r="K237" s="31">
        <f>VLOOKUP(C237,DATA!$A$2:$G$243,3,FALSE)</f>
        <v>4.95</v>
      </c>
      <c r="L237" s="31">
        <f>VLOOKUP(C237,DATA!$A$2:$G$243,4,FALSE)</f>
        <v>1.9800000000000002</v>
      </c>
      <c r="M237" s="31">
        <f t="shared" si="10"/>
        <v>5.94</v>
      </c>
      <c r="N237" s="25" t="str">
        <f>VLOOKUP(C237,DATA!$A$2:$G$243,6,FALSE)</f>
        <v>Shoe Laces</v>
      </c>
      <c r="O237" s="16">
        <v>28605</v>
      </c>
    </row>
    <row r="238" spans="1:15" s="4" customFormat="1">
      <c r="A238" s="16" t="s">
        <v>6</v>
      </c>
      <c r="B238" s="18">
        <v>42927</v>
      </c>
      <c r="C238" s="18" t="s">
        <v>523</v>
      </c>
      <c r="D238" s="21">
        <v>54</v>
      </c>
      <c r="E238" s="22">
        <v>3</v>
      </c>
      <c r="F238" s="18" t="s">
        <v>414</v>
      </c>
      <c r="G238" s="29" t="str">
        <f>VLOOKUP(C238,DATA!$A$2:$G$243,2,FALSE)</f>
        <v>Light Grey Shoe Laces</v>
      </c>
      <c r="H238" s="30">
        <f t="shared" si="9"/>
        <v>3</v>
      </c>
      <c r="I238" s="30">
        <f>VLOOKUP(C238,DATA!$A$2:$G$243,5,FALSE)</f>
        <v>6000</v>
      </c>
      <c r="J238" s="30">
        <f t="shared" si="11"/>
        <v>18000</v>
      </c>
      <c r="K238" s="31">
        <f>VLOOKUP(C238,DATA!$A$2:$G$243,3,FALSE)</f>
        <v>4.95</v>
      </c>
      <c r="L238" s="31">
        <f>VLOOKUP(C238,DATA!$A$2:$G$243,4,FALSE)</f>
        <v>1.9800000000000002</v>
      </c>
      <c r="M238" s="31">
        <f t="shared" si="10"/>
        <v>5.94</v>
      </c>
      <c r="N238" s="25" t="str">
        <f>VLOOKUP(C238,DATA!$A$2:$G$243,6,FALSE)</f>
        <v>Shoe Laces</v>
      </c>
      <c r="O238" s="16">
        <v>28605</v>
      </c>
    </row>
    <row r="239" spans="1:15" s="4" customFormat="1">
      <c r="A239" s="16" t="s">
        <v>6</v>
      </c>
      <c r="B239" s="18">
        <v>42927</v>
      </c>
      <c r="C239" s="18" t="s">
        <v>524</v>
      </c>
      <c r="D239" s="21">
        <v>45</v>
      </c>
      <c r="E239" s="22">
        <v>3</v>
      </c>
      <c r="F239" s="18" t="s">
        <v>414</v>
      </c>
      <c r="G239" s="29" t="str">
        <f>VLOOKUP(C239,DATA!$A$2:$G$243,2,FALSE)</f>
        <v>Beige Shoe Laces</v>
      </c>
      <c r="H239" s="30">
        <f t="shared" si="9"/>
        <v>3</v>
      </c>
      <c r="I239" s="30">
        <f>VLOOKUP(C239,DATA!$A$2:$G$243,5,FALSE)</f>
        <v>6000</v>
      </c>
      <c r="J239" s="30">
        <f t="shared" si="11"/>
        <v>18000</v>
      </c>
      <c r="K239" s="31">
        <f>VLOOKUP(C239,DATA!$A$2:$G$243,3,FALSE)</f>
        <v>4.95</v>
      </c>
      <c r="L239" s="31">
        <f>VLOOKUP(C239,DATA!$A$2:$G$243,4,FALSE)</f>
        <v>1.9800000000000002</v>
      </c>
      <c r="M239" s="31">
        <f t="shared" si="10"/>
        <v>5.94</v>
      </c>
      <c r="N239" s="25" t="str">
        <f>VLOOKUP(C239,DATA!$A$2:$G$243,6,FALSE)</f>
        <v>Shoe Laces</v>
      </c>
      <c r="O239" s="16">
        <v>28605</v>
      </c>
    </row>
    <row r="240" spans="1:15" s="4" customFormat="1">
      <c r="A240" s="16" t="s">
        <v>6</v>
      </c>
      <c r="B240" s="18">
        <v>42927</v>
      </c>
      <c r="C240" s="18" t="s">
        <v>524</v>
      </c>
      <c r="D240" s="21">
        <v>54</v>
      </c>
      <c r="E240" s="22">
        <v>3</v>
      </c>
      <c r="F240" s="18" t="s">
        <v>414</v>
      </c>
      <c r="G240" s="29" t="str">
        <f>VLOOKUP(C240,DATA!$A$2:$G$243,2,FALSE)</f>
        <v>Beige Shoe Laces</v>
      </c>
      <c r="H240" s="30">
        <f t="shared" si="9"/>
        <v>3</v>
      </c>
      <c r="I240" s="30">
        <f>VLOOKUP(C240,DATA!$A$2:$G$243,5,FALSE)</f>
        <v>6000</v>
      </c>
      <c r="J240" s="30">
        <f t="shared" si="11"/>
        <v>18000</v>
      </c>
      <c r="K240" s="31">
        <f>VLOOKUP(C240,DATA!$A$2:$G$243,3,FALSE)</f>
        <v>4.95</v>
      </c>
      <c r="L240" s="31">
        <f>VLOOKUP(C240,DATA!$A$2:$G$243,4,FALSE)</f>
        <v>1.9800000000000002</v>
      </c>
      <c r="M240" s="31">
        <f t="shared" si="10"/>
        <v>5.94</v>
      </c>
      <c r="N240" s="25" t="str">
        <f>VLOOKUP(C240,DATA!$A$2:$G$243,6,FALSE)</f>
        <v>Shoe Laces</v>
      </c>
      <c r="O240" s="16">
        <v>28605</v>
      </c>
    </row>
    <row r="241" spans="1:15" s="4" customFormat="1">
      <c r="A241" s="16" t="s">
        <v>6</v>
      </c>
      <c r="B241" s="18">
        <v>42927</v>
      </c>
      <c r="C241" s="18" t="s">
        <v>525</v>
      </c>
      <c r="D241" s="21">
        <v>45</v>
      </c>
      <c r="E241" s="22">
        <v>3</v>
      </c>
      <c r="F241" s="18" t="s">
        <v>414</v>
      </c>
      <c r="G241" s="29" t="str">
        <f>VLOOKUP(C241,DATA!$A$2:$G$243,2,FALSE)</f>
        <v>Brown Shoe Laces</v>
      </c>
      <c r="H241" s="30">
        <f t="shared" si="9"/>
        <v>3</v>
      </c>
      <c r="I241" s="30">
        <f>VLOOKUP(C241,DATA!$A$2:$G$243,5,FALSE)</f>
        <v>6000</v>
      </c>
      <c r="J241" s="30">
        <f t="shared" si="11"/>
        <v>18000</v>
      </c>
      <c r="K241" s="31">
        <f>VLOOKUP(C241,DATA!$A$2:$G$243,3,FALSE)</f>
        <v>4.95</v>
      </c>
      <c r="L241" s="31">
        <f>VLOOKUP(C241,DATA!$A$2:$G$243,4,FALSE)</f>
        <v>1.9800000000000002</v>
      </c>
      <c r="M241" s="31">
        <f t="shared" si="10"/>
        <v>5.94</v>
      </c>
      <c r="N241" s="25" t="str">
        <f>VLOOKUP(C241,DATA!$A$2:$G$243,6,FALSE)</f>
        <v>Shoe Laces</v>
      </c>
      <c r="O241" s="16">
        <v>28605</v>
      </c>
    </row>
    <row r="242" spans="1:15" s="4" customFormat="1">
      <c r="A242" s="16" t="s">
        <v>6</v>
      </c>
      <c r="B242" s="18">
        <v>42927</v>
      </c>
      <c r="C242" s="18" t="s">
        <v>525</v>
      </c>
      <c r="D242" s="21">
        <v>54</v>
      </c>
      <c r="E242" s="22">
        <v>3</v>
      </c>
      <c r="F242" s="18" t="s">
        <v>414</v>
      </c>
      <c r="G242" s="29" t="str">
        <f>VLOOKUP(C242,DATA!$A$2:$G$243,2,FALSE)</f>
        <v>Brown Shoe Laces</v>
      </c>
      <c r="H242" s="30">
        <f t="shared" si="9"/>
        <v>3</v>
      </c>
      <c r="I242" s="30">
        <f>VLOOKUP(C242,DATA!$A$2:$G$243,5,FALSE)</f>
        <v>6000</v>
      </c>
      <c r="J242" s="30">
        <f t="shared" si="11"/>
        <v>18000</v>
      </c>
      <c r="K242" s="31">
        <f>VLOOKUP(C242,DATA!$A$2:$G$243,3,FALSE)</f>
        <v>4.95</v>
      </c>
      <c r="L242" s="31">
        <f>VLOOKUP(C242,DATA!$A$2:$G$243,4,FALSE)</f>
        <v>1.9800000000000002</v>
      </c>
      <c r="M242" s="31">
        <f t="shared" si="10"/>
        <v>5.94</v>
      </c>
      <c r="N242" s="25" t="str">
        <f>VLOOKUP(C242,DATA!$A$2:$G$243,6,FALSE)</f>
        <v>Shoe Laces</v>
      </c>
      <c r="O242" s="16">
        <v>28605</v>
      </c>
    </row>
    <row r="243" spans="1:15" s="4" customFormat="1">
      <c r="A243" s="16" t="s">
        <v>6</v>
      </c>
      <c r="B243" s="18">
        <v>42927</v>
      </c>
      <c r="C243" s="18" t="s">
        <v>526</v>
      </c>
      <c r="D243" s="21">
        <v>45</v>
      </c>
      <c r="E243" s="22">
        <v>3</v>
      </c>
      <c r="F243" s="18" t="s">
        <v>414</v>
      </c>
      <c r="G243" s="29" t="str">
        <f>VLOOKUP(C243,DATA!$A$2:$G$243,2,FALSE)</f>
        <v>Carolina Blue Shoe Laces</v>
      </c>
      <c r="H243" s="30">
        <f t="shared" si="9"/>
        <v>3</v>
      </c>
      <c r="I243" s="30">
        <f>VLOOKUP(C243,DATA!$A$2:$G$243,5,FALSE)</f>
        <v>6000</v>
      </c>
      <c r="J243" s="30">
        <f t="shared" si="11"/>
        <v>18000</v>
      </c>
      <c r="K243" s="31">
        <f>VLOOKUP(C243,DATA!$A$2:$G$243,3,FALSE)</f>
        <v>4.95</v>
      </c>
      <c r="L243" s="31">
        <f>VLOOKUP(C243,DATA!$A$2:$G$243,4,FALSE)</f>
        <v>1.9800000000000002</v>
      </c>
      <c r="M243" s="31">
        <f t="shared" si="10"/>
        <v>5.94</v>
      </c>
      <c r="N243" s="25" t="str">
        <f>VLOOKUP(C243,DATA!$A$2:$G$243,6,FALSE)</f>
        <v>Shoe Laces</v>
      </c>
      <c r="O243" s="16">
        <v>28605</v>
      </c>
    </row>
    <row r="244" spans="1:15" s="4" customFormat="1">
      <c r="A244" s="16" t="s">
        <v>6</v>
      </c>
      <c r="B244" s="18">
        <v>42927</v>
      </c>
      <c r="C244" s="18" t="s">
        <v>526</v>
      </c>
      <c r="D244" s="21">
        <v>54</v>
      </c>
      <c r="E244" s="22">
        <v>3</v>
      </c>
      <c r="F244" s="18" t="s">
        <v>414</v>
      </c>
      <c r="G244" s="29" t="str">
        <f>VLOOKUP(C244,DATA!$A$2:$G$243,2,FALSE)</f>
        <v>Carolina Blue Shoe Laces</v>
      </c>
      <c r="H244" s="30">
        <f t="shared" si="9"/>
        <v>3</v>
      </c>
      <c r="I244" s="30">
        <f>VLOOKUP(C244,DATA!$A$2:$G$243,5,FALSE)</f>
        <v>6000</v>
      </c>
      <c r="J244" s="30">
        <f t="shared" si="11"/>
        <v>18000</v>
      </c>
      <c r="K244" s="31">
        <f>VLOOKUP(C244,DATA!$A$2:$G$243,3,FALSE)</f>
        <v>4.95</v>
      </c>
      <c r="L244" s="31">
        <f>VLOOKUP(C244,DATA!$A$2:$G$243,4,FALSE)</f>
        <v>1.9800000000000002</v>
      </c>
      <c r="M244" s="31">
        <f t="shared" si="10"/>
        <v>5.94</v>
      </c>
      <c r="N244" s="25" t="str">
        <f>VLOOKUP(C244,DATA!$A$2:$G$243,6,FALSE)</f>
        <v>Shoe Laces</v>
      </c>
      <c r="O244" s="16">
        <v>28605</v>
      </c>
    </row>
    <row r="245" spans="1:15" s="4" customFormat="1">
      <c r="A245" s="16" t="s">
        <v>6</v>
      </c>
      <c r="B245" s="18">
        <v>42927</v>
      </c>
      <c r="C245" s="18" t="s">
        <v>527</v>
      </c>
      <c r="D245" s="21">
        <v>45</v>
      </c>
      <c r="E245" s="22">
        <v>3</v>
      </c>
      <c r="F245" s="18" t="s">
        <v>414</v>
      </c>
      <c r="G245" s="29" t="str">
        <f>VLOOKUP(C245,DATA!$A$2:$G$243,2,FALSE)</f>
        <v>Charcoal Grey Shoe Laces</v>
      </c>
      <c r="H245" s="30">
        <f t="shared" si="9"/>
        <v>3</v>
      </c>
      <c r="I245" s="30">
        <f>VLOOKUP(C245,DATA!$A$2:$G$243,5,FALSE)</f>
        <v>6000</v>
      </c>
      <c r="J245" s="30">
        <f t="shared" si="11"/>
        <v>18000</v>
      </c>
      <c r="K245" s="31">
        <f>VLOOKUP(C245,DATA!$A$2:$G$243,3,FALSE)</f>
        <v>4.95</v>
      </c>
      <c r="L245" s="31">
        <f>VLOOKUP(C245,DATA!$A$2:$G$243,4,FALSE)</f>
        <v>1.9800000000000002</v>
      </c>
      <c r="M245" s="31">
        <f t="shared" si="10"/>
        <v>5.94</v>
      </c>
      <c r="N245" s="25" t="str">
        <f>VLOOKUP(C245,DATA!$A$2:$G$243,6,FALSE)</f>
        <v>Shoe Laces</v>
      </c>
      <c r="O245" s="16">
        <v>28605</v>
      </c>
    </row>
    <row r="246" spans="1:15" s="4" customFormat="1">
      <c r="A246" s="16" t="s">
        <v>6</v>
      </c>
      <c r="B246" s="18">
        <v>42927</v>
      </c>
      <c r="C246" s="18" t="s">
        <v>527</v>
      </c>
      <c r="D246" s="21">
        <v>54</v>
      </c>
      <c r="E246" s="22">
        <v>1</v>
      </c>
      <c r="F246" s="18" t="s">
        <v>414</v>
      </c>
      <c r="G246" s="29" t="str">
        <f>VLOOKUP(C246,DATA!$A$2:$G$243,2,FALSE)</f>
        <v>Charcoal Grey Shoe Laces</v>
      </c>
      <c r="H246" s="30">
        <f t="shared" si="9"/>
        <v>1</v>
      </c>
      <c r="I246" s="30">
        <f>VLOOKUP(C246,DATA!$A$2:$G$243,5,FALSE)</f>
        <v>6000</v>
      </c>
      <c r="J246" s="30">
        <f t="shared" si="11"/>
        <v>6000</v>
      </c>
      <c r="K246" s="31">
        <f>VLOOKUP(C246,DATA!$A$2:$G$243,3,FALSE)</f>
        <v>4.95</v>
      </c>
      <c r="L246" s="31">
        <f>VLOOKUP(C246,DATA!$A$2:$G$243,4,FALSE)</f>
        <v>1.9800000000000002</v>
      </c>
      <c r="M246" s="31">
        <f t="shared" si="10"/>
        <v>1.9800000000000002</v>
      </c>
      <c r="N246" s="25" t="str">
        <f>VLOOKUP(C246,DATA!$A$2:$G$243,6,FALSE)</f>
        <v>Shoe Laces</v>
      </c>
      <c r="O246" s="16">
        <v>28605</v>
      </c>
    </row>
    <row r="247" spans="1:15" s="4" customFormat="1">
      <c r="A247" s="16" t="s">
        <v>6</v>
      </c>
      <c r="B247" s="18">
        <v>42927</v>
      </c>
      <c r="C247" s="18" t="s">
        <v>528</v>
      </c>
      <c r="D247" s="21">
        <v>45</v>
      </c>
      <c r="E247" s="22">
        <v>3</v>
      </c>
      <c r="F247" s="18" t="s">
        <v>414</v>
      </c>
      <c r="G247" s="29" t="str">
        <f>VLOOKUP(C247,DATA!$A$2:$G$243,2,FALSE)</f>
        <v>Columbia Blue Shoe Laces</v>
      </c>
      <c r="H247" s="30">
        <f t="shared" si="9"/>
        <v>3</v>
      </c>
      <c r="I247" s="30">
        <f>VLOOKUP(C247,DATA!$A$2:$G$243,5,FALSE)</f>
        <v>6000</v>
      </c>
      <c r="J247" s="30">
        <f t="shared" si="11"/>
        <v>18000</v>
      </c>
      <c r="K247" s="31">
        <f>VLOOKUP(C247,DATA!$A$2:$G$243,3,FALSE)</f>
        <v>4.95</v>
      </c>
      <c r="L247" s="31">
        <f>VLOOKUP(C247,DATA!$A$2:$G$243,4,FALSE)</f>
        <v>1.9800000000000002</v>
      </c>
      <c r="M247" s="31">
        <f t="shared" si="10"/>
        <v>5.94</v>
      </c>
      <c r="N247" s="25" t="str">
        <f>VLOOKUP(C247,DATA!$A$2:$G$243,6,FALSE)</f>
        <v>Shoe Laces</v>
      </c>
      <c r="O247" s="16">
        <v>28605</v>
      </c>
    </row>
    <row r="248" spans="1:15" s="4" customFormat="1">
      <c r="A248" s="16" t="s">
        <v>6</v>
      </c>
      <c r="B248" s="18">
        <v>42927</v>
      </c>
      <c r="C248" s="18" t="s">
        <v>528</v>
      </c>
      <c r="D248" s="21">
        <v>54</v>
      </c>
      <c r="E248" s="22">
        <v>3</v>
      </c>
      <c r="F248" s="18" t="s">
        <v>414</v>
      </c>
      <c r="G248" s="29" t="str">
        <f>VLOOKUP(C248,DATA!$A$2:$G$243,2,FALSE)</f>
        <v>Columbia Blue Shoe Laces</v>
      </c>
      <c r="H248" s="30">
        <f t="shared" si="9"/>
        <v>3</v>
      </c>
      <c r="I248" s="30">
        <f>VLOOKUP(C248,DATA!$A$2:$G$243,5,FALSE)</f>
        <v>6000</v>
      </c>
      <c r="J248" s="30">
        <f t="shared" si="11"/>
        <v>18000</v>
      </c>
      <c r="K248" s="31">
        <f>VLOOKUP(C248,DATA!$A$2:$G$243,3,FALSE)</f>
        <v>4.95</v>
      </c>
      <c r="L248" s="31">
        <f>VLOOKUP(C248,DATA!$A$2:$G$243,4,FALSE)</f>
        <v>1.9800000000000002</v>
      </c>
      <c r="M248" s="31">
        <f t="shared" si="10"/>
        <v>5.94</v>
      </c>
      <c r="N248" s="25" t="str">
        <f>VLOOKUP(C248,DATA!$A$2:$G$243,6,FALSE)</f>
        <v>Shoe Laces</v>
      </c>
      <c r="O248" s="16">
        <v>28605</v>
      </c>
    </row>
    <row r="249" spans="1:15" s="4" customFormat="1">
      <c r="A249" s="16" t="s">
        <v>6</v>
      </c>
      <c r="B249" s="18">
        <v>42927</v>
      </c>
      <c r="C249" s="18" t="s">
        <v>529</v>
      </c>
      <c r="D249" s="21">
        <v>45</v>
      </c>
      <c r="E249" s="22">
        <v>3</v>
      </c>
      <c r="F249" s="18" t="s">
        <v>414</v>
      </c>
      <c r="G249" s="29" t="str">
        <f>VLOOKUP(C249,DATA!$A$2:$G$243,2,FALSE)</f>
        <v>Dark Brown Shoe Laces</v>
      </c>
      <c r="H249" s="30">
        <f t="shared" si="9"/>
        <v>3</v>
      </c>
      <c r="I249" s="30">
        <f>VLOOKUP(C249,DATA!$A$2:$G$243,5,FALSE)</f>
        <v>6000</v>
      </c>
      <c r="J249" s="30">
        <f t="shared" si="11"/>
        <v>18000</v>
      </c>
      <c r="K249" s="31">
        <f>VLOOKUP(C249,DATA!$A$2:$G$243,3,FALSE)</f>
        <v>4.95</v>
      </c>
      <c r="L249" s="31">
        <f>VLOOKUP(C249,DATA!$A$2:$G$243,4,FALSE)</f>
        <v>1.9800000000000002</v>
      </c>
      <c r="M249" s="31">
        <f t="shared" si="10"/>
        <v>5.94</v>
      </c>
      <c r="N249" s="25" t="str">
        <f>VLOOKUP(C249,DATA!$A$2:$G$243,6,FALSE)</f>
        <v>Shoe Laces</v>
      </c>
      <c r="O249" s="16">
        <v>28605</v>
      </c>
    </row>
    <row r="250" spans="1:15" s="4" customFormat="1">
      <c r="A250" s="16" t="s">
        <v>6</v>
      </c>
      <c r="B250" s="18">
        <v>42927</v>
      </c>
      <c r="C250" s="18" t="s">
        <v>529</v>
      </c>
      <c r="D250" s="21">
        <v>54</v>
      </c>
      <c r="E250" s="22">
        <v>3</v>
      </c>
      <c r="F250" s="18" t="s">
        <v>414</v>
      </c>
      <c r="G250" s="29" t="str">
        <f>VLOOKUP(C250,DATA!$A$2:$G$243,2,FALSE)</f>
        <v>Dark Brown Shoe Laces</v>
      </c>
      <c r="H250" s="30">
        <f t="shared" si="9"/>
        <v>3</v>
      </c>
      <c r="I250" s="30">
        <f>VLOOKUP(C250,DATA!$A$2:$G$243,5,FALSE)</f>
        <v>6000</v>
      </c>
      <c r="J250" s="30">
        <f t="shared" si="11"/>
        <v>18000</v>
      </c>
      <c r="K250" s="31">
        <f>VLOOKUP(C250,DATA!$A$2:$G$243,3,FALSE)</f>
        <v>4.95</v>
      </c>
      <c r="L250" s="31">
        <f>VLOOKUP(C250,DATA!$A$2:$G$243,4,FALSE)</f>
        <v>1.9800000000000002</v>
      </c>
      <c r="M250" s="31">
        <f t="shared" si="10"/>
        <v>5.94</v>
      </c>
      <c r="N250" s="25" t="str">
        <f>VLOOKUP(C250,DATA!$A$2:$G$243,6,FALSE)</f>
        <v>Shoe Laces</v>
      </c>
      <c r="O250" s="16">
        <v>28605</v>
      </c>
    </row>
    <row r="251" spans="1:15" s="4" customFormat="1">
      <c r="A251" s="16" t="s">
        <v>6</v>
      </c>
      <c r="B251" s="18">
        <v>42927</v>
      </c>
      <c r="C251" s="18" t="s">
        <v>530</v>
      </c>
      <c r="D251" s="21">
        <v>45</v>
      </c>
      <c r="E251" s="22">
        <v>3</v>
      </c>
      <c r="F251" s="18" t="s">
        <v>414</v>
      </c>
      <c r="G251" s="29" t="str">
        <f>VLOOKUP(C251,DATA!$A$2:$G$243,2,FALSE)</f>
        <v>Dark Green Shoe Laces</v>
      </c>
      <c r="H251" s="30">
        <f t="shared" si="9"/>
        <v>3</v>
      </c>
      <c r="I251" s="30">
        <f>VLOOKUP(C251,DATA!$A$2:$G$243,5,FALSE)</f>
        <v>6000</v>
      </c>
      <c r="J251" s="30">
        <f t="shared" si="11"/>
        <v>18000</v>
      </c>
      <c r="K251" s="31">
        <f>VLOOKUP(C251,DATA!$A$2:$G$243,3,FALSE)</f>
        <v>4.95</v>
      </c>
      <c r="L251" s="31">
        <f>VLOOKUP(C251,DATA!$A$2:$G$243,4,FALSE)</f>
        <v>1.9800000000000002</v>
      </c>
      <c r="M251" s="31">
        <f t="shared" si="10"/>
        <v>5.94</v>
      </c>
      <c r="N251" s="25" t="str">
        <f>VLOOKUP(C251,DATA!$A$2:$G$243,6,FALSE)</f>
        <v>Shoe Laces</v>
      </c>
      <c r="O251" s="16">
        <v>28605</v>
      </c>
    </row>
    <row r="252" spans="1:15" s="4" customFormat="1">
      <c r="A252" s="16" t="s">
        <v>6</v>
      </c>
      <c r="B252" s="18">
        <v>42927</v>
      </c>
      <c r="C252" s="18" t="s">
        <v>530</v>
      </c>
      <c r="D252" s="21">
        <v>54</v>
      </c>
      <c r="E252" s="22">
        <v>3</v>
      </c>
      <c r="F252" s="18" t="s">
        <v>414</v>
      </c>
      <c r="G252" s="29" t="str">
        <f>VLOOKUP(C252,DATA!$A$2:$G$243,2,FALSE)</f>
        <v>Dark Green Shoe Laces</v>
      </c>
      <c r="H252" s="30">
        <f t="shared" si="9"/>
        <v>3</v>
      </c>
      <c r="I252" s="30">
        <f>VLOOKUP(C252,DATA!$A$2:$G$243,5,FALSE)</f>
        <v>6000</v>
      </c>
      <c r="J252" s="30">
        <f t="shared" si="11"/>
        <v>18000</v>
      </c>
      <c r="K252" s="31">
        <f>VLOOKUP(C252,DATA!$A$2:$G$243,3,FALSE)</f>
        <v>4.95</v>
      </c>
      <c r="L252" s="31">
        <f>VLOOKUP(C252,DATA!$A$2:$G$243,4,FALSE)</f>
        <v>1.9800000000000002</v>
      </c>
      <c r="M252" s="31">
        <f t="shared" si="10"/>
        <v>5.94</v>
      </c>
      <c r="N252" s="25" t="str">
        <f>VLOOKUP(C252,DATA!$A$2:$G$243,6,FALSE)</f>
        <v>Shoe Laces</v>
      </c>
      <c r="O252" s="16">
        <v>28605</v>
      </c>
    </row>
    <row r="253" spans="1:15" s="4" customFormat="1">
      <c r="A253" s="16" t="s">
        <v>6</v>
      </c>
      <c r="B253" s="18">
        <v>42927</v>
      </c>
      <c r="C253" s="18" t="s">
        <v>531</v>
      </c>
      <c r="D253" s="21">
        <v>45</v>
      </c>
      <c r="E253" s="22">
        <v>3</v>
      </c>
      <c r="F253" s="18" t="s">
        <v>414</v>
      </c>
      <c r="G253" s="29" t="str">
        <f>VLOOKUP(C253,DATA!$A$2:$G$243,2,FALSE)</f>
        <v>Dark Grey Shoe Laces</v>
      </c>
      <c r="H253" s="30">
        <f t="shared" si="9"/>
        <v>3</v>
      </c>
      <c r="I253" s="30">
        <f>VLOOKUP(C253,DATA!$A$2:$G$243,5,FALSE)</f>
        <v>6000</v>
      </c>
      <c r="J253" s="30">
        <f t="shared" si="11"/>
        <v>18000</v>
      </c>
      <c r="K253" s="31">
        <f>VLOOKUP(C253,DATA!$A$2:$G$243,3,FALSE)</f>
        <v>4.95</v>
      </c>
      <c r="L253" s="31">
        <f>VLOOKUP(C253,DATA!$A$2:$G$243,4,FALSE)</f>
        <v>1.9800000000000002</v>
      </c>
      <c r="M253" s="31">
        <f t="shared" si="10"/>
        <v>5.94</v>
      </c>
      <c r="N253" s="25" t="str">
        <f>VLOOKUP(C253,DATA!$A$2:$G$243,6,FALSE)</f>
        <v>Shoe Laces</v>
      </c>
      <c r="O253" s="16">
        <v>28605</v>
      </c>
    </row>
    <row r="254" spans="1:15" s="4" customFormat="1">
      <c r="A254" s="16" t="s">
        <v>6</v>
      </c>
      <c r="B254" s="18">
        <v>42927</v>
      </c>
      <c r="C254" s="18" t="s">
        <v>531</v>
      </c>
      <c r="D254" s="21">
        <v>54</v>
      </c>
      <c r="E254" s="22">
        <v>3</v>
      </c>
      <c r="F254" s="18" t="s">
        <v>414</v>
      </c>
      <c r="G254" s="29" t="str">
        <f>VLOOKUP(C254,DATA!$A$2:$G$243,2,FALSE)</f>
        <v>Dark Grey Shoe Laces</v>
      </c>
      <c r="H254" s="30">
        <f t="shared" si="9"/>
        <v>3</v>
      </c>
      <c r="I254" s="30">
        <f>VLOOKUP(C254,DATA!$A$2:$G$243,5,FALSE)</f>
        <v>6000</v>
      </c>
      <c r="J254" s="30">
        <f t="shared" si="11"/>
        <v>18000</v>
      </c>
      <c r="K254" s="31">
        <f>VLOOKUP(C254,DATA!$A$2:$G$243,3,FALSE)</f>
        <v>4.95</v>
      </c>
      <c r="L254" s="31">
        <f>VLOOKUP(C254,DATA!$A$2:$G$243,4,FALSE)</f>
        <v>1.9800000000000002</v>
      </c>
      <c r="M254" s="31">
        <f t="shared" si="10"/>
        <v>5.94</v>
      </c>
      <c r="N254" s="25" t="str">
        <f>VLOOKUP(C254,DATA!$A$2:$G$243,6,FALSE)</f>
        <v>Shoe Laces</v>
      </c>
      <c r="O254" s="16">
        <v>28605</v>
      </c>
    </row>
    <row r="255" spans="1:15" s="4" customFormat="1">
      <c r="A255" s="16" t="s">
        <v>6</v>
      </c>
      <c r="B255" s="18">
        <v>42927</v>
      </c>
      <c r="C255" s="18" t="s">
        <v>532</v>
      </c>
      <c r="D255" s="21">
        <v>45</v>
      </c>
      <c r="E255" s="22">
        <v>3</v>
      </c>
      <c r="F255" s="18" t="s">
        <v>414</v>
      </c>
      <c r="G255" s="29" t="str">
        <f>VLOOKUP(C255,DATA!$A$2:$G$243,2,FALSE)</f>
        <v>Dark Orange Shoe Laces</v>
      </c>
      <c r="H255" s="30">
        <f t="shared" si="9"/>
        <v>3</v>
      </c>
      <c r="I255" s="30">
        <f>VLOOKUP(C255,DATA!$A$2:$G$243,5,FALSE)</f>
        <v>6000</v>
      </c>
      <c r="J255" s="30">
        <f t="shared" si="11"/>
        <v>18000</v>
      </c>
      <c r="K255" s="31">
        <f>VLOOKUP(C255,DATA!$A$2:$G$243,3,FALSE)</f>
        <v>4.95</v>
      </c>
      <c r="L255" s="31">
        <f>VLOOKUP(C255,DATA!$A$2:$G$243,4,FALSE)</f>
        <v>1.9800000000000002</v>
      </c>
      <c r="M255" s="31">
        <f t="shared" si="10"/>
        <v>5.94</v>
      </c>
      <c r="N255" s="25" t="str">
        <f>VLOOKUP(C255,DATA!$A$2:$G$243,6,FALSE)</f>
        <v>Shoe Laces</v>
      </c>
      <c r="O255" s="16">
        <v>28605</v>
      </c>
    </row>
    <row r="256" spans="1:15" s="4" customFormat="1">
      <c r="A256" s="16" t="s">
        <v>6</v>
      </c>
      <c r="B256" s="18">
        <v>42927</v>
      </c>
      <c r="C256" s="18" t="s">
        <v>532</v>
      </c>
      <c r="D256" s="21">
        <v>54</v>
      </c>
      <c r="E256" s="22">
        <v>3</v>
      </c>
      <c r="F256" s="18" t="s">
        <v>414</v>
      </c>
      <c r="G256" s="29" t="str">
        <f>VLOOKUP(C256,DATA!$A$2:$G$243,2,FALSE)</f>
        <v>Dark Orange Shoe Laces</v>
      </c>
      <c r="H256" s="30">
        <f t="shared" si="9"/>
        <v>3</v>
      </c>
      <c r="I256" s="30">
        <f>VLOOKUP(C256,DATA!$A$2:$G$243,5,FALSE)</f>
        <v>6000</v>
      </c>
      <c r="J256" s="30">
        <f t="shared" si="11"/>
        <v>18000</v>
      </c>
      <c r="K256" s="31">
        <f>VLOOKUP(C256,DATA!$A$2:$G$243,3,FALSE)</f>
        <v>4.95</v>
      </c>
      <c r="L256" s="31">
        <f>VLOOKUP(C256,DATA!$A$2:$G$243,4,FALSE)</f>
        <v>1.9800000000000002</v>
      </c>
      <c r="M256" s="31">
        <f t="shared" si="10"/>
        <v>5.94</v>
      </c>
      <c r="N256" s="25" t="str">
        <f>VLOOKUP(C256,DATA!$A$2:$G$243,6,FALSE)</f>
        <v>Shoe Laces</v>
      </c>
      <c r="O256" s="16">
        <v>28605</v>
      </c>
    </row>
    <row r="257" spans="1:15" s="4" customFormat="1">
      <c r="A257" s="16" t="s">
        <v>6</v>
      </c>
      <c r="B257" s="18">
        <v>42927</v>
      </c>
      <c r="C257" s="18" t="s">
        <v>533</v>
      </c>
      <c r="D257" s="21">
        <v>45</v>
      </c>
      <c r="E257" s="22">
        <v>3</v>
      </c>
      <c r="F257" s="18" t="s">
        <v>414</v>
      </c>
      <c r="G257" s="29" t="str">
        <f>VLOOKUP(C257,DATA!$A$2:$G$243,2,FALSE)</f>
        <v>Flaming Orange Shoe Laces</v>
      </c>
      <c r="H257" s="30">
        <f t="shared" si="9"/>
        <v>3</v>
      </c>
      <c r="I257" s="30">
        <f>VLOOKUP(C257,DATA!$A$2:$G$243,5,FALSE)</f>
        <v>6000</v>
      </c>
      <c r="J257" s="30">
        <f t="shared" si="11"/>
        <v>18000</v>
      </c>
      <c r="K257" s="31">
        <f>VLOOKUP(C257,DATA!$A$2:$G$243,3,FALSE)</f>
        <v>4.95</v>
      </c>
      <c r="L257" s="31">
        <f>VLOOKUP(C257,DATA!$A$2:$G$243,4,FALSE)</f>
        <v>1.9800000000000002</v>
      </c>
      <c r="M257" s="31">
        <f t="shared" si="10"/>
        <v>5.94</v>
      </c>
      <c r="N257" s="25" t="str">
        <f>VLOOKUP(C257,DATA!$A$2:$G$243,6,FALSE)</f>
        <v>Shoe Laces</v>
      </c>
      <c r="O257" s="16">
        <v>28605</v>
      </c>
    </row>
    <row r="258" spans="1:15" s="4" customFormat="1">
      <c r="A258" s="16" t="s">
        <v>6</v>
      </c>
      <c r="B258" s="18">
        <v>42927</v>
      </c>
      <c r="C258" s="18" t="s">
        <v>533</v>
      </c>
      <c r="D258" s="21">
        <v>54</v>
      </c>
      <c r="E258" s="22">
        <v>3</v>
      </c>
      <c r="F258" s="18" t="s">
        <v>414</v>
      </c>
      <c r="G258" s="29" t="str">
        <f>VLOOKUP(C258,DATA!$A$2:$G$243,2,FALSE)</f>
        <v>Flaming Orange Shoe Laces</v>
      </c>
      <c r="H258" s="30">
        <f t="shared" ref="H258:H321" si="12">IF(F258="입",E258,-1*E258)</f>
        <v>3</v>
      </c>
      <c r="I258" s="30">
        <f>VLOOKUP(C258,DATA!$A$2:$G$243,5,FALSE)</f>
        <v>6000</v>
      </c>
      <c r="J258" s="30">
        <f t="shared" si="11"/>
        <v>18000</v>
      </c>
      <c r="K258" s="31">
        <f>VLOOKUP(C258,DATA!$A$2:$G$243,3,FALSE)</f>
        <v>4.95</v>
      </c>
      <c r="L258" s="31">
        <f>VLOOKUP(C258,DATA!$A$2:$G$243,4,FALSE)</f>
        <v>1.9800000000000002</v>
      </c>
      <c r="M258" s="31">
        <f t="shared" ref="M258:M321" si="13">L258*E258</f>
        <v>5.94</v>
      </c>
      <c r="N258" s="25" t="str">
        <f>VLOOKUP(C258,DATA!$A$2:$G$243,6,FALSE)</f>
        <v>Shoe Laces</v>
      </c>
      <c r="O258" s="16">
        <v>28605</v>
      </c>
    </row>
    <row r="259" spans="1:15" s="4" customFormat="1">
      <c r="A259" s="16" t="s">
        <v>6</v>
      </c>
      <c r="B259" s="18">
        <v>42927</v>
      </c>
      <c r="C259" s="18" t="s">
        <v>534</v>
      </c>
      <c r="D259" s="21">
        <v>45</v>
      </c>
      <c r="E259" s="22">
        <v>3</v>
      </c>
      <c r="F259" s="18" t="s">
        <v>414</v>
      </c>
      <c r="G259" s="29" t="str">
        <f>VLOOKUP(C259,DATA!$A$2:$G$243,2,FALSE)</f>
        <v>Fuchsia Shoe Laces</v>
      </c>
      <c r="H259" s="30">
        <f t="shared" si="12"/>
        <v>3</v>
      </c>
      <c r="I259" s="30">
        <f>VLOOKUP(C259,DATA!$A$2:$G$243,5,FALSE)</f>
        <v>6000</v>
      </c>
      <c r="J259" s="30">
        <f t="shared" ref="J259:J322" si="14">I259*E259</f>
        <v>18000</v>
      </c>
      <c r="K259" s="31">
        <f>VLOOKUP(C259,DATA!$A$2:$G$243,3,FALSE)</f>
        <v>4.95</v>
      </c>
      <c r="L259" s="31">
        <f>VLOOKUP(C259,DATA!$A$2:$G$243,4,FALSE)</f>
        <v>1.9800000000000002</v>
      </c>
      <c r="M259" s="31">
        <f t="shared" si="13"/>
        <v>5.94</v>
      </c>
      <c r="N259" s="25" t="str">
        <f>VLOOKUP(C259,DATA!$A$2:$G$243,6,FALSE)</f>
        <v>Shoe Laces</v>
      </c>
      <c r="O259" s="16">
        <v>28605</v>
      </c>
    </row>
    <row r="260" spans="1:15" s="4" customFormat="1">
      <c r="A260" s="16" t="s">
        <v>6</v>
      </c>
      <c r="B260" s="18">
        <v>42927</v>
      </c>
      <c r="C260" s="18" t="s">
        <v>534</v>
      </c>
      <c r="D260" s="21">
        <v>54</v>
      </c>
      <c r="E260" s="22">
        <v>3</v>
      </c>
      <c r="F260" s="18" t="s">
        <v>414</v>
      </c>
      <c r="G260" s="29" t="str">
        <f>VLOOKUP(C260,DATA!$A$2:$G$243,2,FALSE)</f>
        <v>Fuchsia Shoe Laces</v>
      </c>
      <c r="H260" s="30">
        <f t="shared" si="12"/>
        <v>3</v>
      </c>
      <c r="I260" s="30">
        <f>VLOOKUP(C260,DATA!$A$2:$G$243,5,FALSE)</f>
        <v>6000</v>
      </c>
      <c r="J260" s="30">
        <f t="shared" si="14"/>
        <v>18000</v>
      </c>
      <c r="K260" s="31">
        <f>VLOOKUP(C260,DATA!$A$2:$G$243,3,FALSE)</f>
        <v>4.95</v>
      </c>
      <c r="L260" s="31">
        <f>VLOOKUP(C260,DATA!$A$2:$G$243,4,FALSE)</f>
        <v>1.9800000000000002</v>
      </c>
      <c r="M260" s="31">
        <f t="shared" si="13"/>
        <v>5.94</v>
      </c>
      <c r="N260" s="25" t="str">
        <f>VLOOKUP(C260,DATA!$A$2:$G$243,6,FALSE)</f>
        <v>Shoe Laces</v>
      </c>
      <c r="O260" s="16">
        <v>28605</v>
      </c>
    </row>
    <row r="261" spans="1:15" s="4" customFormat="1">
      <c r="A261" s="16" t="s">
        <v>6</v>
      </c>
      <c r="B261" s="18">
        <v>42927</v>
      </c>
      <c r="C261" s="18" t="s">
        <v>535</v>
      </c>
      <c r="D261" s="21">
        <v>45</v>
      </c>
      <c r="E261" s="22">
        <v>3</v>
      </c>
      <c r="F261" s="18" t="s">
        <v>414</v>
      </c>
      <c r="G261" s="29" t="str">
        <f>VLOOKUP(C261,DATA!$A$2:$G$243,2,FALSE)</f>
        <v>Gold Shoe Laces</v>
      </c>
      <c r="H261" s="30">
        <f t="shared" si="12"/>
        <v>3</v>
      </c>
      <c r="I261" s="30">
        <f>VLOOKUP(C261,DATA!$A$2:$G$243,5,FALSE)</f>
        <v>6000</v>
      </c>
      <c r="J261" s="30">
        <f t="shared" si="14"/>
        <v>18000</v>
      </c>
      <c r="K261" s="31">
        <f>VLOOKUP(C261,DATA!$A$2:$G$243,3,FALSE)</f>
        <v>4.95</v>
      </c>
      <c r="L261" s="31">
        <f>VLOOKUP(C261,DATA!$A$2:$G$243,4,FALSE)</f>
        <v>1.9800000000000002</v>
      </c>
      <c r="M261" s="31">
        <f t="shared" si="13"/>
        <v>5.94</v>
      </c>
      <c r="N261" s="25" t="str">
        <f>VLOOKUP(C261,DATA!$A$2:$G$243,6,FALSE)</f>
        <v>Shoe Laces</v>
      </c>
      <c r="O261" s="16">
        <v>28605</v>
      </c>
    </row>
    <row r="262" spans="1:15" s="4" customFormat="1">
      <c r="A262" s="16" t="s">
        <v>6</v>
      </c>
      <c r="B262" s="18">
        <v>42927</v>
      </c>
      <c r="C262" s="18" t="s">
        <v>535</v>
      </c>
      <c r="D262" s="21">
        <v>54</v>
      </c>
      <c r="E262" s="22">
        <v>3</v>
      </c>
      <c r="F262" s="18" t="s">
        <v>414</v>
      </c>
      <c r="G262" s="29" t="str">
        <f>VLOOKUP(C262,DATA!$A$2:$G$243,2,FALSE)</f>
        <v>Gold Shoe Laces</v>
      </c>
      <c r="H262" s="30">
        <f t="shared" si="12"/>
        <v>3</v>
      </c>
      <c r="I262" s="30">
        <f>VLOOKUP(C262,DATA!$A$2:$G$243,5,FALSE)</f>
        <v>6000</v>
      </c>
      <c r="J262" s="30">
        <f t="shared" si="14"/>
        <v>18000</v>
      </c>
      <c r="K262" s="31">
        <f>VLOOKUP(C262,DATA!$A$2:$G$243,3,FALSE)</f>
        <v>4.95</v>
      </c>
      <c r="L262" s="31">
        <f>VLOOKUP(C262,DATA!$A$2:$G$243,4,FALSE)</f>
        <v>1.9800000000000002</v>
      </c>
      <c r="M262" s="31">
        <f t="shared" si="13"/>
        <v>5.94</v>
      </c>
      <c r="N262" s="25" t="str">
        <f>VLOOKUP(C262,DATA!$A$2:$G$243,6,FALSE)</f>
        <v>Shoe Laces</v>
      </c>
      <c r="O262" s="16">
        <v>28605</v>
      </c>
    </row>
    <row r="263" spans="1:15" s="4" customFormat="1">
      <c r="A263" s="16" t="s">
        <v>6</v>
      </c>
      <c r="B263" s="18">
        <v>42927</v>
      </c>
      <c r="C263" s="18" t="s">
        <v>536</v>
      </c>
      <c r="D263" s="21">
        <v>45</v>
      </c>
      <c r="E263" s="22">
        <v>3</v>
      </c>
      <c r="F263" s="18" t="s">
        <v>414</v>
      </c>
      <c r="G263" s="29" t="str">
        <f>VLOOKUP(C263,DATA!$A$2:$G$243,2,FALSE)</f>
        <v>Kelly Green Shoe Laces</v>
      </c>
      <c r="H263" s="30">
        <f t="shared" si="12"/>
        <v>3</v>
      </c>
      <c r="I263" s="30">
        <f>VLOOKUP(C263,DATA!$A$2:$G$243,5,FALSE)</f>
        <v>6000</v>
      </c>
      <c r="J263" s="30">
        <f t="shared" si="14"/>
        <v>18000</v>
      </c>
      <c r="K263" s="31">
        <f>VLOOKUP(C263,DATA!$A$2:$G$243,3,FALSE)</f>
        <v>4.95</v>
      </c>
      <c r="L263" s="31">
        <f>VLOOKUP(C263,DATA!$A$2:$G$243,4,FALSE)</f>
        <v>1.9800000000000002</v>
      </c>
      <c r="M263" s="31">
        <f t="shared" si="13"/>
        <v>5.94</v>
      </c>
      <c r="N263" s="25" t="str">
        <f>VLOOKUP(C263,DATA!$A$2:$G$243,6,FALSE)</f>
        <v>Shoe Laces</v>
      </c>
      <c r="O263" s="16">
        <v>28605</v>
      </c>
    </row>
    <row r="264" spans="1:15" s="4" customFormat="1">
      <c r="A264" s="16" t="s">
        <v>6</v>
      </c>
      <c r="B264" s="18">
        <v>42927</v>
      </c>
      <c r="C264" s="18" t="s">
        <v>536</v>
      </c>
      <c r="D264" s="21">
        <v>54</v>
      </c>
      <c r="E264" s="22">
        <v>3</v>
      </c>
      <c r="F264" s="18" t="s">
        <v>414</v>
      </c>
      <c r="G264" s="29" t="str">
        <f>VLOOKUP(C264,DATA!$A$2:$G$243,2,FALSE)</f>
        <v>Kelly Green Shoe Laces</v>
      </c>
      <c r="H264" s="30">
        <f t="shared" si="12"/>
        <v>3</v>
      </c>
      <c r="I264" s="30">
        <f>VLOOKUP(C264,DATA!$A$2:$G$243,5,FALSE)</f>
        <v>6000</v>
      </c>
      <c r="J264" s="30">
        <f t="shared" si="14"/>
        <v>18000</v>
      </c>
      <c r="K264" s="31">
        <f>VLOOKUP(C264,DATA!$A$2:$G$243,3,FALSE)</f>
        <v>4.95</v>
      </c>
      <c r="L264" s="31">
        <f>VLOOKUP(C264,DATA!$A$2:$G$243,4,FALSE)</f>
        <v>1.9800000000000002</v>
      </c>
      <c r="M264" s="31">
        <f t="shared" si="13"/>
        <v>5.94</v>
      </c>
      <c r="N264" s="25" t="str">
        <f>VLOOKUP(C264,DATA!$A$2:$G$243,6,FALSE)</f>
        <v>Shoe Laces</v>
      </c>
      <c r="O264" s="16">
        <v>28605</v>
      </c>
    </row>
    <row r="265" spans="1:15" s="4" customFormat="1">
      <c r="A265" s="16" t="s">
        <v>6</v>
      </c>
      <c r="B265" s="18">
        <v>42927</v>
      </c>
      <c r="C265" s="18" t="s">
        <v>537</v>
      </c>
      <c r="D265" s="21">
        <v>45</v>
      </c>
      <c r="E265" s="22">
        <v>3</v>
      </c>
      <c r="F265" s="18" t="s">
        <v>414</v>
      </c>
      <c r="G265" s="29" t="str">
        <f>VLOOKUP(C265,DATA!$A$2:$G$243,2,FALSE)</f>
        <v>Light Beige Shoe Laces</v>
      </c>
      <c r="H265" s="30">
        <f t="shared" si="12"/>
        <v>3</v>
      </c>
      <c r="I265" s="30">
        <f>VLOOKUP(C265,DATA!$A$2:$G$243,5,FALSE)</f>
        <v>6000</v>
      </c>
      <c r="J265" s="30">
        <f t="shared" si="14"/>
        <v>18000</v>
      </c>
      <c r="K265" s="31">
        <f>VLOOKUP(C265,DATA!$A$2:$G$243,3,FALSE)</f>
        <v>4.95</v>
      </c>
      <c r="L265" s="31">
        <f>VLOOKUP(C265,DATA!$A$2:$G$243,4,FALSE)</f>
        <v>1.9800000000000002</v>
      </c>
      <c r="M265" s="31">
        <f t="shared" si="13"/>
        <v>5.94</v>
      </c>
      <c r="N265" s="25" t="str">
        <f>VLOOKUP(C265,DATA!$A$2:$G$243,6,FALSE)</f>
        <v>Shoe Laces</v>
      </c>
      <c r="O265" s="16">
        <v>28605</v>
      </c>
    </row>
    <row r="266" spans="1:15" s="4" customFormat="1">
      <c r="A266" s="16" t="s">
        <v>6</v>
      </c>
      <c r="B266" s="18">
        <v>42927</v>
      </c>
      <c r="C266" s="18" t="s">
        <v>537</v>
      </c>
      <c r="D266" s="21">
        <v>54</v>
      </c>
      <c r="E266" s="22">
        <v>3</v>
      </c>
      <c r="F266" s="18" t="s">
        <v>414</v>
      </c>
      <c r="G266" s="29" t="str">
        <f>VLOOKUP(C266,DATA!$A$2:$G$243,2,FALSE)</f>
        <v>Light Beige Shoe Laces</v>
      </c>
      <c r="H266" s="30">
        <f t="shared" si="12"/>
        <v>3</v>
      </c>
      <c r="I266" s="30">
        <f>VLOOKUP(C266,DATA!$A$2:$G$243,5,FALSE)</f>
        <v>6000</v>
      </c>
      <c r="J266" s="30">
        <f t="shared" si="14"/>
        <v>18000</v>
      </c>
      <c r="K266" s="31">
        <f>VLOOKUP(C266,DATA!$A$2:$G$243,3,FALSE)</f>
        <v>4.95</v>
      </c>
      <c r="L266" s="31">
        <f>VLOOKUP(C266,DATA!$A$2:$G$243,4,FALSE)</f>
        <v>1.9800000000000002</v>
      </c>
      <c r="M266" s="31">
        <f t="shared" si="13"/>
        <v>5.94</v>
      </c>
      <c r="N266" s="25" t="str">
        <f>VLOOKUP(C266,DATA!$A$2:$G$243,6,FALSE)</f>
        <v>Shoe Laces</v>
      </c>
      <c r="O266" s="16">
        <v>28605</v>
      </c>
    </row>
    <row r="267" spans="1:15" s="4" customFormat="1">
      <c r="A267" s="16" t="s">
        <v>6</v>
      </c>
      <c r="B267" s="18">
        <v>42927</v>
      </c>
      <c r="C267" s="18" t="s">
        <v>425</v>
      </c>
      <c r="D267" s="19">
        <v>41</v>
      </c>
      <c r="E267" s="22">
        <v>2</v>
      </c>
      <c r="F267" s="18" t="s">
        <v>414</v>
      </c>
      <c r="G267" s="29" t="str">
        <f>VLOOKUP(C267,DATA!$A$2:$G$243,2,FALSE)</f>
        <v>White  - ReflectiveFlatLaces1.0</v>
      </c>
      <c r="H267" s="30">
        <f t="shared" si="12"/>
        <v>2</v>
      </c>
      <c r="I267" s="30">
        <f>VLOOKUP(C267,DATA!$A$2:$G$243,5,FALSE)</f>
        <v>8000</v>
      </c>
      <c r="J267" s="30">
        <f t="shared" si="14"/>
        <v>16000</v>
      </c>
      <c r="K267" s="31">
        <f>VLOOKUP(C267,DATA!$A$2:$G$243,3,FALSE)</f>
        <v>6.95</v>
      </c>
      <c r="L267" s="31">
        <f>VLOOKUP(C267,DATA!$A$2:$G$243,4,FALSE)</f>
        <v>2.7800000000000002</v>
      </c>
      <c r="M267" s="31">
        <f t="shared" si="13"/>
        <v>5.5600000000000005</v>
      </c>
      <c r="N267" s="25" t="str">
        <f>VLOOKUP(C267,DATA!$A$2:$G$243,6,FALSE)</f>
        <v>Reflective Flat Laces</v>
      </c>
      <c r="O267" s="16">
        <v>28605</v>
      </c>
    </row>
    <row r="268" spans="1:15" s="4" customFormat="1">
      <c r="A268" s="16" t="s">
        <v>6</v>
      </c>
      <c r="B268" s="18">
        <v>42927</v>
      </c>
      <c r="C268" s="18" t="s">
        <v>425</v>
      </c>
      <c r="D268" s="21">
        <v>45</v>
      </c>
      <c r="E268" s="22">
        <v>2</v>
      </c>
      <c r="F268" s="18" t="s">
        <v>414</v>
      </c>
      <c r="G268" s="29" t="str">
        <f>VLOOKUP(C268,DATA!$A$2:$G$243,2,FALSE)</f>
        <v>White  - ReflectiveFlatLaces1.0</v>
      </c>
      <c r="H268" s="30">
        <f t="shared" si="12"/>
        <v>2</v>
      </c>
      <c r="I268" s="30">
        <f>VLOOKUP(C268,DATA!$A$2:$G$243,5,FALSE)</f>
        <v>8000</v>
      </c>
      <c r="J268" s="30">
        <f t="shared" si="14"/>
        <v>16000</v>
      </c>
      <c r="K268" s="31">
        <f>VLOOKUP(C268,DATA!$A$2:$G$243,3,FALSE)</f>
        <v>6.95</v>
      </c>
      <c r="L268" s="31">
        <f>VLOOKUP(C268,DATA!$A$2:$G$243,4,FALSE)</f>
        <v>2.7800000000000002</v>
      </c>
      <c r="M268" s="31">
        <f t="shared" si="13"/>
        <v>5.5600000000000005</v>
      </c>
      <c r="N268" s="25" t="str">
        <f>VLOOKUP(C268,DATA!$A$2:$G$243,6,FALSE)</f>
        <v>Reflective Flat Laces</v>
      </c>
      <c r="O268" s="16">
        <v>28605</v>
      </c>
    </row>
    <row r="269" spans="1:15" s="4" customFormat="1">
      <c r="A269" s="16" t="s">
        <v>6</v>
      </c>
      <c r="B269" s="18">
        <v>42927</v>
      </c>
      <c r="C269" s="18" t="s">
        <v>425</v>
      </c>
      <c r="D269" s="21">
        <v>54</v>
      </c>
      <c r="E269" s="22">
        <v>1</v>
      </c>
      <c r="F269" s="18" t="s">
        <v>414</v>
      </c>
      <c r="G269" s="29" t="str">
        <f>VLOOKUP(C269,DATA!$A$2:$G$243,2,FALSE)</f>
        <v>White  - ReflectiveFlatLaces1.0</v>
      </c>
      <c r="H269" s="30">
        <f t="shared" si="12"/>
        <v>1</v>
      </c>
      <c r="I269" s="30">
        <f>VLOOKUP(C269,DATA!$A$2:$G$243,5,FALSE)</f>
        <v>8000</v>
      </c>
      <c r="J269" s="30">
        <f t="shared" si="14"/>
        <v>8000</v>
      </c>
      <c r="K269" s="31">
        <f>VLOOKUP(C269,DATA!$A$2:$G$243,3,FALSE)</f>
        <v>6.95</v>
      </c>
      <c r="L269" s="31">
        <f>VLOOKUP(C269,DATA!$A$2:$G$243,4,FALSE)</f>
        <v>2.7800000000000002</v>
      </c>
      <c r="M269" s="31">
        <f t="shared" si="13"/>
        <v>2.7800000000000002</v>
      </c>
      <c r="N269" s="25" t="str">
        <f>VLOOKUP(C269,DATA!$A$2:$G$243,6,FALSE)</f>
        <v>Reflective Flat Laces</v>
      </c>
      <c r="O269" s="16">
        <v>28605</v>
      </c>
    </row>
    <row r="270" spans="1:15" s="4" customFormat="1">
      <c r="A270" s="16" t="s">
        <v>6</v>
      </c>
      <c r="B270" s="18">
        <v>42927</v>
      </c>
      <c r="C270" s="18" t="s">
        <v>538</v>
      </c>
      <c r="D270" s="21">
        <v>41</v>
      </c>
      <c r="E270" s="22">
        <v>2</v>
      </c>
      <c r="F270" s="18" t="s">
        <v>414</v>
      </c>
      <c r="G270" s="29" t="str">
        <f>VLOOKUP(C270,DATA!$A$2:$G$243,2,FALSE)</f>
        <v xml:space="preserve">Black Reflective Flat Laces1.0 </v>
      </c>
      <c r="H270" s="30">
        <f t="shared" si="12"/>
        <v>2</v>
      </c>
      <c r="I270" s="30">
        <f>VLOOKUP(C270,DATA!$A$2:$G$243,5,FALSE)</f>
        <v>8000</v>
      </c>
      <c r="J270" s="30">
        <f t="shared" si="14"/>
        <v>16000</v>
      </c>
      <c r="K270" s="31">
        <f>VLOOKUP(C270,DATA!$A$2:$G$243,3,FALSE)</f>
        <v>6.95</v>
      </c>
      <c r="L270" s="31">
        <f>VLOOKUP(C270,DATA!$A$2:$G$243,4,FALSE)</f>
        <v>2.7800000000000002</v>
      </c>
      <c r="M270" s="31">
        <f t="shared" si="13"/>
        <v>5.5600000000000005</v>
      </c>
      <c r="N270" s="25" t="str">
        <f>VLOOKUP(C270,DATA!$A$2:$G$243,6,FALSE)</f>
        <v>Reflective Flat Laces</v>
      </c>
      <c r="O270" s="16">
        <v>28605</v>
      </c>
    </row>
    <row r="271" spans="1:15" s="4" customFormat="1">
      <c r="A271" s="16" t="s">
        <v>6</v>
      </c>
      <c r="B271" s="18">
        <v>42927</v>
      </c>
      <c r="C271" s="18" t="s">
        <v>538</v>
      </c>
      <c r="D271" s="21">
        <v>45</v>
      </c>
      <c r="E271" s="22">
        <v>2</v>
      </c>
      <c r="F271" s="18" t="s">
        <v>414</v>
      </c>
      <c r="G271" s="29" t="str">
        <f>VLOOKUP(C271,DATA!$A$2:$G$243,2,FALSE)</f>
        <v xml:space="preserve">Black Reflective Flat Laces1.0 </v>
      </c>
      <c r="H271" s="30">
        <f t="shared" si="12"/>
        <v>2</v>
      </c>
      <c r="I271" s="30">
        <f>VLOOKUP(C271,DATA!$A$2:$G$243,5,FALSE)</f>
        <v>8000</v>
      </c>
      <c r="J271" s="30">
        <f t="shared" si="14"/>
        <v>16000</v>
      </c>
      <c r="K271" s="31">
        <f>VLOOKUP(C271,DATA!$A$2:$G$243,3,FALSE)</f>
        <v>6.95</v>
      </c>
      <c r="L271" s="31">
        <f>VLOOKUP(C271,DATA!$A$2:$G$243,4,FALSE)</f>
        <v>2.7800000000000002</v>
      </c>
      <c r="M271" s="31">
        <f t="shared" si="13"/>
        <v>5.5600000000000005</v>
      </c>
      <c r="N271" s="25" t="str">
        <f>VLOOKUP(C271,DATA!$A$2:$G$243,6,FALSE)</f>
        <v>Reflective Flat Laces</v>
      </c>
      <c r="O271" s="16">
        <v>28605</v>
      </c>
    </row>
    <row r="272" spans="1:15" s="4" customFormat="1">
      <c r="A272" s="16" t="s">
        <v>6</v>
      </c>
      <c r="B272" s="18">
        <v>42927</v>
      </c>
      <c r="C272" s="18" t="s">
        <v>538</v>
      </c>
      <c r="D272" s="21">
        <v>54</v>
      </c>
      <c r="E272" s="22">
        <v>1</v>
      </c>
      <c r="F272" s="18" t="s">
        <v>414</v>
      </c>
      <c r="G272" s="29" t="str">
        <f>VLOOKUP(C272,DATA!$A$2:$G$243,2,FALSE)</f>
        <v xml:space="preserve">Black Reflective Flat Laces1.0 </v>
      </c>
      <c r="H272" s="30">
        <f t="shared" si="12"/>
        <v>1</v>
      </c>
      <c r="I272" s="30">
        <f>VLOOKUP(C272,DATA!$A$2:$G$243,5,FALSE)</f>
        <v>8000</v>
      </c>
      <c r="J272" s="30">
        <f t="shared" si="14"/>
        <v>8000</v>
      </c>
      <c r="K272" s="31">
        <f>VLOOKUP(C272,DATA!$A$2:$G$243,3,FALSE)</f>
        <v>6.95</v>
      </c>
      <c r="L272" s="31">
        <f>VLOOKUP(C272,DATA!$A$2:$G$243,4,FALSE)</f>
        <v>2.7800000000000002</v>
      </c>
      <c r="M272" s="31">
        <f t="shared" si="13"/>
        <v>2.7800000000000002</v>
      </c>
      <c r="N272" s="25" t="str">
        <f>VLOOKUP(C272,DATA!$A$2:$G$243,6,FALSE)</f>
        <v>Reflective Flat Laces</v>
      </c>
      <c r="O272" s="16">
        <v>28605</v>
      </c>
    </row>
    <row r="273" spans="1:15" s="4" customFormat="1">
      <c r="A273" s="16" t="s">
        <v>6</v>
      </c>
      <c r="B273" s="18">
        <v>42927</v>
      </c>
      <c r="C273" s="18" t="s">
        <v>539</v>
      </c>
      <c r="D273" s="21">
        <v>45</v>
      </c>
      <c r="E273" s="22">
        <v>2</v>
      </c>
      <c r="F273" s="18" t="s">
        <v>414</v>
      </c>
      <c r="G273" s="29" t="str">
        <f>VLOOKUP(C273,DATA!$A$2:$G$243,2,FALSE)</f>
        <v>Red  - ReflectiveFlatLaces1.0</v>
      </c>
      <c r="H273" s="30">
        <f t="shared" si="12"/>
        <v>2</v>
      </c>
      <c r="I273" s="30">
        <f>VLOOKUP(C273,DATA!$A$2:$G$243,5,FALSE)</f>
        <v>8000</v>
      </c>
      <c r="J273" s="30">
        <f t="shared" si="14"/>
        <v>16000</v>
      </c>
      <c r="K273" s="31">
        <f>VLOOKUP(C273,DATA!$A$2:$G$243,3,FALSE)</f>
        <v>6.95</v>
      </c>
      <c r="L273" s="31">
        <f>VLOOKUP(C273,DATA!$A$2:$G$243,4,FALSE)</f>
        <v>2.7800000000000002</v>
      </c>
      <c r="M273" s="31">
        <f t="shared" si="13"/>
        <v>5.5600000000000005</v>
      </c>
      <c r="N273" s="25" t="str">
        <f>VLOOKUP(C273,DATA!$A$2:$G$243,6,FALSE)</f>
        <v>Reflective Flat Laces</v>
      </c>
      <c r="O273" s="16">
        <v>28605</v>
      </c>
    </row>
    <row r="274" spans="1:15" s="4" customFormat="1">
      <c r="A274" s="16" t="s">
        <v>6</v>
      </c>
      <c r="B274" s="18">
        <v>42927</v>
      </c>
      <c r="C274" s="18" t="s">
        <v>539</v>
      </c>
      <c r="D274" s="21">
        <v>54</v>
      </c>
      <c r="E274" s="22">
        <v>1</v>
      </c>
      <c r="F274" s="18" t="s">
        <v>414</v>
      </c>
      <c r="G274" s="29" t="str">
        <f>VLOOKUP(C274,DATA!$A$2:$G$243,2,FALSE)</f>
        <v>Red  - ReflectiveFlatLaces1.0</v>
      </c>
      <c r="H274" s="30">
        <f t="shared" si="12"/>
        <v>1</v>
      </c>
      <c r="I274" s="30">
        <f>VLOOKUP(C274,DATA!$A$2:$G$243,5,FALSE)</f>
        <v>8000</v>
      </c>
      <c r="J274" s="30">
        <f t="shared" si="14"/>
        <v>8000</v>
      </c>
      <c r="K274" s="31">
        <f>VLOOKUP(C274,DATA!$A$2:$G$243,3,FALSE)</f>
        <v>6.95</v>
      </c>
      <c r="L274" s="31">
        <f>VLOOKUP(C274,DATA!$A$2:$G$243,4,FALSE)</f>
        <v>2.7800000000000002</v>
      </c>
      <c r="M274" s="31">
        <f t="shared" si="13"/>
        <v>2.7800000000000002</v>
      </c>
      <c r="N274" s="25" t="str">
        <f>VLOOKUP(C274,DATA!$A$2:$G$243,6,FALSE)</f>
        <v>Reflective Flat Laces</v>
      </c>
      <c r="O274" s="16">
        <v>28605</v>
      </c>
    </row>
    <row r="275" spans="1:15" s="4" customFormat="1">
      <c r="A275" s="16" t="s">
        <v>6</v>
      </c>
      <c r="B275" s="18">
        <v>42927</v>
      </c>
      <c r="C275" s="18" t="s">
        <v>540</v>
      </c>
      <c r="D275" s="21">
        <v>45</v>
      </c>
      <c r="E275" s="22">
        <v>2</v>
      </c>
      <c r="F275" s="18" t="s">
        <v>414</v>
      </c>
      <c r="G275" s="29" t="str">
        <f>VLOOKUP(C275,DATA!$A$2:$G$243,2,FALSE)</f>
        <v>Blue  - ReflectiveFlatLaces1.0</v>
      </c>
      <c r="H275" s="30">
        <f t="shared" si="12"/>
        <v>2</v>
      </c>
      <c r="I275" s="30">
        <f>VLOOKUP(C275,DATA!$A$2:$G$243,5,FALSE)</f>
        <v>8000</v>
      </c>
      <c r="J275" s="30">
        <f t="shared" si="14"/>
        <v>16000</v>
      </c>
      <c r="K275" s="31">
        <f>VLOOKUP(C275,DATA!$A$2:$G$243,3,FALSE)</f>
        <v>6.95</v>
      </c>
      <c r="L275" s="31">
        <f>VLOOKUP(C275,DATA!$A$2:$G$243,4,FALSE)</f>
        <v>2.7800000000000002</v>
      </c>
      <c r="M275" s="31">
        <f t="shared" si="13"/>
        <v>5.5600000000000005</v>
      </c>
      <c r="N275" s="25" t="str">
        <f>VLOOKUP(C275,DATA!$A$2:$G$243,6,FALSE)</f>
        <v>Reflective Flat Laces</v>
      </c>
      <c r="O275" s="16">
        <v>28605</v>
      </c>
    </row>
    <row r="276" spans="1:15" s="4" customFormat="1">
      <c r="A276" s="16" t="s">
        <v>6</v>
      </c>
      <c r="B276" s="18">
        <v>42927</v>
      </c>
      <c r="C276" s="18" t="s">
        <v>540</v>
      </c>
      <c r="D276" s="21">
        <v>54</v>
      </c>
      <c r="E276" s="22">
        <v>1</v>
      </c>
      <c r="F276" s="18" t="s">
        <v>414</v>
      </c>
      <c r="G276" s="29" t="str">
        <f>VLOOKUP(C276,DATA!$A$2:$G$243,2,FALSE)</f>
        <v>Blue  - ReflectiveFlatLaces1.0</v>
      </c>
      <c r="H276" s="30">
        <f t="shared" si="12"/>
        <v>1</v>
      </c>
      <c r="I276" s="30">
        <f>VLOOKUP(C276,DATA!$A$2:$G$243,5,FALSE)</f>
        <v>8000</v>
      </c>
      <c r="J276" s="30">
        <f t="shared" si="14"/>
        <v>8000</v>
      </c>
      <c r="K276" s="31">
        <f>VLOOKUP(C276,DATA!$A$2:$G$243,3,FALSE)</f>
        <v>6.95</v>
      </c>
      <c r="L276" s="31">
        <f>VLOOKUP(C276,DATA!$A$2:$G$243,4,FALSE)</f>
        <v>2.7800000000000002</v>
      </c>
      <c r="M276" s="31">
        <f t="shared" si="13"/>
        <v>2.7800000000000002</v>
      </c>
      <c r="N276" s="25" t="str">
        <f>VLOOKUP(C276,DATA!$A$2:$G$243,6,FALSE)</f>
        <v>Reflective Flat Laces</v>
      </c>
      <c r="O276" s="16">
        <v>28605</v>
      </c>
    </row>
    <row r="277" spans="1:15" s="4" customFormat="1">
      <c r="A277" s="16" t="s">
        <v>6</v>
      </c>
      <c r="B277" s="18">
        <v>42927</v>
      </c>
      <c r="C277" s="18" t="s">
        <v>541</v>
      </c>
      <c r="D277" s="21">
        <v>41</v>
      </c>
      <c r="E277" s="22">
        <v>2</v>
      </c>
      <c r="F277" s="18" t="s">
        <v>414</v>
      </c>
      <c r="G277" s="29" t="str">
        <f>VLOOKUP(C277,DATA!$A$2:$G$243,2,FALSE)</f>
        <v>White  - ReflectiveFlatLaces2.0</v>
      </c>
      <c r="H277" s="30">
        <f t="shared" si="12"/>
        <v>2</v>
      </c>
      <c r="I277" s="30">
        <f>VLOOKUP(C277,DATA!$A$2:$G$243,5,FALSE)</f>
        <v>8000</v>
      </c>
      <c r="J277" s="30">
        <f t="shared" si="14"/>
        <v>16000</v>
      </c>
      <c r="K277" s="31">
        <f>VLOOKUP(C277,DATA!$A$2:$G$243,3,FALSE)</f>
        <v>6.95</v>
      </c>
      <c r="L277" s="31">
        <f>VLOOKUP(C277,DATA!$A$2:$G$243,4,FALSE)</f>
        <v>2.7800000000000002</v>
      </c>
      <c r="M277" s="31">
        <f t="shared" si="13"/>
        <v>5.5600000000000005</v>
      </c>
      <c r="N277" s="25" t="str">
        <f>VLOOKUP(C277,DATA!$A$2:$G$243,6,FALSE)</f>
        <v>Reflective Flat Laces</v>
      </c>
      <c r="O277" s="16">
        <v>28605</v>
      </c>
    </row>
    <row r="278" spans="1:15" s="4" customFormat="1">
      <c r="A278" s="16" t="s">
        <v>6</v>
      </c>
      <c r="B278" s="18">
        <v>42927</v>
      </c>
      <c r="C278" s="18" t="s">
        <v>541</v>
      </c>
      <c r="D278" s="21">
        <v>45</v>
      </c>
      <c r="E278" s="22">
        <v>2</v>
      </c>
      <c r="F278" s="18" t="s">
        <v>414</v>
      </c>
      <c r="G278" s="29" t="str">
        <f>VLOOKUP(C278,DATA!$A$2:$G$243,2,FALSE)</f>
        <v>White  - ReflectiveFlatLaces2.0</v>
      </c>
      <c r="H278" s="30">
        <f t="shared" si="12"/>
        <v>2</v>
      </c>
      <c r="I278" s="30">
        <f>VLOOKUP(C278,DATA!$A$2:$G$243,5,FALSE)</f>
        <v>8000</v>
      </c>
      <c r="J278" s="30">
        <f t="shared" si="14"/>
        <v>16000</v>
      </c>
      <c r="K278" s="31">
        <f>VLOOKUP(C278,DATA!$A$2:$G$243,3,FALSE)</f>
        <v>6.95</v>
      </c>
      <c r="L278" s="31">
        <f>VLOOKUP(C278,DATA!$A$2:$G$243,4,FALSE)</f>
        <v>2.7800000000000002</v>
      </c>
      <c r="M278" s="31">
        <f t="shared" si="13"/>
        <v>5.5600000000000005</v>
      </c>
      <c r="N278" s="25" t="str">
        <f>VLOOKUP(C278,DATA!$A$2:$G$243,6,FALSE)</f>
        <v>Reflective Flat Laces</v>
      </c>
      <c r="O278" s="16">
        <v>28605</v>
      </c>
    </row>
    <row r="279" spans="1:15" s="4" customFormat="1">
      <c r="A279" s="16" t="s">
        <v>6</v>
      </c>
      <c r="B279" s="18">
        <v>42927</v>
      </c>
      <c r="C279" s="18" t="s">
        <v>541</v>
      </c>
      <c r="D279" s="21">
        <v>54</v>
      </c>
      <c r="E279" s="22">
        <v>1</v>
      </c>
      <c r="F279" s="18" t="s">
        <v>414</v>
      </c>
      <c r="G279" s="29" t="str">
        <f>VLOOKUP(C279,DATA!$A$2:$G$243,2,FALSE)</f>
        <v>White  - ReflectiveFlatLaces2.0</v>
      </c>
      <c r="H279" s="30">
        <f t="shared" si="12"/>
        <v>1</v>
      </c>
      <c r="I279" s="30">
        <f>VLOOKUP(C279,DATA!$A$2:$G$243,5,FALSE)</f>
        <v>8000</v>
      </c>
      <c r="J279" s="30">
        <f t="shared" si="14"/>
        <v>8000</v>
      </c>
      <c r="K279" s="31">
        <f>VLOOKUP(C279,DATA!$A$2:$G$243,3,FALSE)</f>
        <v>6.95</v>
      </c>
      <c r="L279" s="31">
        <f>VLOOKUP(C279,DATA!$A$2:$G$243,4,FALSE)</f>
        <v>2.7800000000000002</v>
      </c>
      <c r="M279" s="31">
        <f t="shared" si="13"/>
        <v>2.7800000000000002</v>
      </c>
      <c r="N279" s="25" t="str">
        <f>VLOOKUP(C279,DATA!$A$2:$G$243,6,FALSE)</f>
        <v>Reflective Flat Laces</v>
      </c>
      <c r="O279" s="16">
        <v>28605</v>
      </c>
    </row>
    <row r="280" spans="1:15" s="4" customFormat="1">
      <c r="A280" s="16" t="s">
        <v>6</v>
      </c>
      <c r="B280" s="18">
        <v>42927</v>
      </c>
      <c r="C280" s="18" t="s">
        <v>542</v>
      </c>
      <c r="D280" s="21">
        <v>41</v>
      </c>
      <c r="E280" s="22">
        <v>2</v>
      </c>
      <c r="F280" s="18" t="s">
        <v>414</v>
      </c>
      <c r="G280" s="29" t="str">
        <f>VLOOKUP(C280,DATA!$A$2:$G$243,2,FALSE)</f>
        <v>Black  - ReflectiveFlatLaces2.0</v>
      </c>
      <c r="H280" s="30">
        <f t="shared" si="12"/>
        <v>2</v>
      </c>
      <c r="I280" s="30">
        <f>VLOOKUP(C280,DATA!$A$2:$G$243,5,FALSE)</f>
        <v>8000</v>
      </c>
      <c r="J280" s="30">
        <f t="shared" si="14"/>
        <v>16000</v>
      </c>
      <c r="K280" s="31">
        <f>VLOOKUP(C280,DATA!$A$2:$G$243,3,FALSE)</f>
        <v>6.95</v>
      </c>
      <c r="L280" s="31">
        <f>VLOOKUP(C280,DATA!$A$2:$G$243,4,FALSE)</f>
        <v>2.7800000000000002</v>
      </c>
      <c r="M280" s="31">
        <f t="shared" si="13"/>
        <v>5.5600000000000005</v>
      </c>
      <c r="N280" s="25" t="str">
        <f>VLOOKUP(C280,DATA!$A$2:$G$243,6,FALSE)</f>
        <v>Reflective Flat Laces</v>
      </c>
      <c r="O280" s="16">
        <v>28605</v>
      </c>
    </row>
    <row r="281" spans="1:15" s="4" customFormat="1">
      <c r="A281" s="16" t="s">
        <v>6</v>
      </c>
      <c r="B281" s="18">
        <v>42927</v>
      </c>
      <c r="C281" s="18" t="s">
        <v>542</v>
      </c>
      <c r="D281" s="21">
        <v>45</v>
      </c>
      <c r="E281" s="22">
        <v>2</v>
      </c>
      <c r="F281" s="18" t="s">
        <v>414</v>
      </c>
      <c r="G281" s="29" t="str">
        <f>VLOOKUP(C281,DATA!$A$2:$G$243,2,FALSE)</f>
        <v>Black  - ReflectiveFlatLaces2.0</v>
      </c>
      <c r="H281" s="30">
        <f t="shared" si="12"/>
        <v>2</v>
      </c>
      <c r="I281" s="30">
        <f>VLOOKUP(C281,DATA!$A$2:$G$243,5,FALSE)</f>
        <v>8000</v>
      </c>
      <c r="J281" s="30">
        <f t="shared" si="14"/>
        <v>16000</v>
      </c>
      <c r="K281" s="31">
        <f>VLOOKUP(C281,DATA!$A$2:$G$243,3,FALSE)</f>
        <v>6.95</v>
      </c>
      <c r="L281" s="31">
        <f>VLOOKUP(C281,DATA!$A$2:$G$243,4,FALSE)</f>
        <v>2.7800000000000002</v>
      </c>
      <c r="M281" s="31">
        <f t="shared" si="13"/>
        <v>5.5600000000000005</v>
      </c>
      <c r="N281" s="25" t="str">
        <f>VLOOKUP(C281,DATA!$A$2:$G$243,6,FALSE)</f>
        <v>Reflective Flat Laces</v>
      </c>
      <c r="O281" s="16">
        <v>28605</v>
      </c>
    </row>
    <row r="282" spans="1:15" s="4" customFormat="1">
      <c r="A282" s="16" t="s">
        <v>6</v>
      </c>
      <c r="B282" s="18">
        <v>42927</v>
      </c>
      <c r="C282" s="18" t="s">
        <v>542</v>
      </c>
      <c r="D282" s="21">
        <v>54</v>
      </c>
      <c r="E282" s="22">
        <v>1</v>
      </c>
      <c r="F282" s="18" t="s">
        <v>414</v>
      </c>
      <c r="G282" s="29" t="str">
        <f>VLOOKUP(C282,DATA!$A$2:$G$243,2,FALSE)</f>
        <v>Black  - ReflectiveFlatLaces2.0</v>
      </c>
      <c r="H282" s="30">
        <f t="shared" si="12"/>
        <v>1</v>
      </c>
      <c r="I282" s="30">
        <f>VLOOKUP(C282,DATA!$A$2:$G$243,5,FALSE)</f>
        <v>8000</v>
      </c>
      <c r="J282" s="30">
        <f t="shared" si="14"/>
        <v>8000</v>
      </c>
      <c r="K282" s="31">
        <f>VLOOKUP(C282,DATA!$A$2:$G$243,3,FALSE)</f>
        <v>6.95</v>
      </c>
      <c r="L282" s="31">
        <f>VLOOKUP(C282,DATA!$A$2:$G$243,4,FALSE)</f>
        <v>2.7800000000000002</v>
      </c>
      <c r="M282" s="31">
        <f t="shared" si="13"/>
        <v>2.7800000000000002</v>
      </c>
      <c r="N282" s="25" t="str">
        <f>VLOOKUP(C282,DATA!$A$2:$G$243,6,FALSE)</f>
        <v>Reflective Flat Laces</v>
      </c>
      <c r="O282" s="16">
        <v>28605</v>
      </c>
    </row>
    <row r="283" spans="1:15" s="4" customFormat="1">
      <c r="A283" s="16" t="s">
        <v>6</v>
      </c>
      <c r="B283" s="18">
        <v>42927</v>
      </c>
      <c r="C283" s="18" t="s">
        <v>543</v>
      </c>
      <c r="D283" s="21">
        <v>45</v>
      </c>
      <c r="E283" s="22">
        <v>1</v>
      </c>
      <c r="F283" s="18" t="s">
        <v>414</v>
      </c>
      <c r="G283" s="29" t="str">
        <f>VLOOKUP(C283,DATA!$A$2:$G$243,2,FALSE)</f>
        <v>Blue  - ReflectiveFlatLaces2.0</v>
      </c>
      <c r="H283" s="30">
        <f t="shared" si="12"/>
        <v>1</v>
      </c>
      <c r="I283" s="30">
        <f>VLOOKUP(C283,DATA!$A$2:$G$243,5,FALSE)</f>
        <v>8000</v>
      </c>
      <c r="J283" s="30">
        <f t="shared" si="14"/>
        <v>8000</v>
      </c>
      <c r="K283" s="31">
        <f>VLOOKUP(C283,DATA!$A$2:$G$243,3,FALSE)</f>
        <v>6.95</v>
      </c>
      <c r="L283" s="31">
        <f>VLOOKUP(C283,DATA!$A$2:$G$243,4,FALSE)</f>
        <v>2.7800000000000002</v>
      </c>
      <c r="M283" s="31">
        <f t="shared" si="13"/>
        <v>2.7800000000000002</v>
      </c>
      <c r="N283" s="25" t="str">
        <f>VLOOKUP(C283,DATA!$A$2:$G$243,6,FALSE)</f>
        <v>Reflective Flat Laces</v>
      </c>
      <c r="O283" s="16">
        <v>28605</v>
      </c>
    </row>
    <row r="284" spans="1:15" s="4" customFormat="1">
      <c r="A284" s="16" t="s">
        <v>6</v>
      </c>
      <c r="B284" s="18">
        <v>42927</v>
      </c>
      <c r="C284" s="18" t="s">
        <v>543</v>
      </c>
      <c r="D284" s="21">
        <v>54</v>
      </c>
      <c r="E284" s="22">
        <v>1</v>
      </c>
      <c r="F284" s="18" t="s">
        <v>414</v>
      </c>
      <c r="G284" s="29" t="str">
        <f>VLOOKUP(C284,DATA!$A$2:$G$243,2,FALSE)</f>
        <v>Blue  - ReflectiveFlatLaces2.0</v>
      </c>
      <c r="H284" s="30">
        <f t="shared" si="12"/>
        <v>1</v>
      </c>
      <c r="I284" s="30">
        <f>VLOOKUP(C284,DATA!$A$2:$G$243,5,FALSE)</f>
        <v>8000</v>
      </c>
      <c r="J284" s="30">
        <f t="shared" si="14"/>
        <v>8000</v>
      </c>
      <c r="K284" s="31">
        <f>VLOOKUP(C284,DATA!$A$2:$G$243,3,FALSE)</f>
        <v>6.95</v>
      </c>
      <c r="L284" s="31">
        <f>VLOOKUP(C284,DATA!$A$2:$G$243,4,FALSE)</f>
        <v>2.7800000000000002</v>
      </c>
      <c r="M284" s="31">
        <f t="shared" si="13"/>
        <v>2.7800000000000002</v>
      </c>
      <c r="N284" s="25" t="str">
        <f>VLOOKUP(C284,DATA!$A$2:$G$243,6,FALSE)</f>
        <v>Reflective Flat Laces</v>
      </c>
      <c r="O284" s="16">
        <v>28605</v>
      </c>
    </row>
    <row r="285" spans="1:15" s="4" customFormat="1">
      <c r="A285" s="16" t="s">
        <v>6</v>
      </c>
      <c r="B285" s="18">
        <v>42927</v>
      </c>
      <c r="C285" s="18" t="s">
        <v>544</v>
      </c>
      <c r="D285" s="21">
        <v>45</v>
      </c>
      <c r="E285" s="22">
        <v>1</v>
      </c>
      <c r="F285" s="18" t="s">
        <v>414</v>
      </c>
      <c r="G285" s="29" t="str">
        <f>VLOOKUP(C285,DATA!$A$2:$G$243,2,FALSE)</f>
        <v>Red  - ReflectiveFlatLaces2.0</v>
      </c>
      <c r="H285" s="30">
        <f t="shared" si="12"/>
        <v>1</v>
      </c>
      <c r="I285" s="30">
        <f>VLOOKUP(C285,DATA!$A$2:$G$243,5,FALSE)</f>
        <v>8000</v>
      </c>
      <c r="J285" s="30">
        <f t="shared" si="14"/>
        <v>8000</v>
      </c>
      <c r="K285" s="31">
        <f>VLOOKUP(C285,DATA!$A$2:$G$243,3,FALSE)</f>
        <v>6.95</v>
      </c>
      <c r="L285" s="31">
        <f>VLOOKUP(C285,DATA!$A$2:$G$243,4,FALSE)</f>
        <v>2.7800000000000002</v>
      </c>
      <c r="M285" s="31">
        <f t="shared" si="13"/>
        <v>2.7800000000000002</v>
      </c>
      <c r="N285" s="25" t="str">
        <f>VLOOKUP(C285,DATA!$A$2:$G$243,6,FALSE)</f>
        <v>Reflective Flat Laces</v>
      </c>
      <c r="O285" s="16">
        <v>28605</v>
      </c>
    </row>
    <row r="286" spans="1:15" s="4" customFormat="1">
      <c r="A286" s="16" t="s">
        <v>6</v>
      </c>
      <c r="B286" s="18">
        <v>42927</v>
      </c>
      <c r="C286" s="18" t="s">
        <v>544</v>
      </c>
      <c r="D286" s="21">
        <v>54</v>
      </c>
      <c r="E286" s="22">
        <v>1</v>
      </c>
      <c r="F286" s="18" t="s">
        <v>414</v>
      </c>
      <c r="G286" s="29" t="str">
        <f>VLOOKUP(C286,DATA!$A$2:$G$243,2,FALSE)</f>
        <v>Red  - ReflectiveFlatLaces2.0</v>
      </c>
      <c r="H286" s="30">
        <f t="shared" si="12"/>
        <v>1</v>
      </c>
      <c r="I286" s="30">
        <f>VLOOKUP(C286,DATA!$A$2:$G$243,5,FALSE)</f>
        <v>8000</v>
      </c>
      <c r="J286" s="30">
        <f t="shared" si="14"/>
        <v>8000</v>
      </c>
      <c r="K286" s="31">
        <f>VLOOKUP(C286,DATA!$A$2:$G$243,3,FALSE)</f>
        <v>6.95</v>
      </c>
      <c r="L286" s="31">
        <f>VLOOKUP(C286,DATA!$A$2:$G$243,4,FALSE)</f>
        <v>2.7800000000000002</v>
      </c>
      <c r="M286" s="31">
        <f t="shared" si="13"/>
        <v>2.7800000000000002</v>
      </c>
      <c r="N286" s="25" t="str">
        <f>VLOOKUP(C286,DATA!$A$2:$G$243,6,FALSE)</f>
        <v>Reflective Flat Laces</v>
      </c>
      <c r="O286" s="16">
        <v>28605</v>
      </c>
    </row>
    <row r="287" spans="1:15" s="4" customFormat="1">
      <c r="A287" s="16" t="s">
        <v>6</v>
      </c>
      <c r="B287" s="18">
        <v>42927</v>
      </c>
      <c r="C287" s="18" t="s">
        <v>545</v>
      </c>
      <c r="D287" s="21">
        <v>45</v>
      </c>
      <c r="E287" s="22">
        <v>1</v>
      </c>
      <c r="F287" s="18" t="s">
        <v>414</v>
      </c>
      <c r="G287" s="29" t="str">
        <f>VLOOKUP(C287,DATA!$A$2:$G$243,2,FALSE)</f>
        <v>Cove Blue  - ReflectiveFlatLaces2.0</v>
      </c>
      <c r="H287" s="30">
        <f t="shared" si="12"/>
        <v>1</v>
      </c>
      <c r="I287" s="30">
        <f>VLOOKUP(C287,DATA!$A$2:$G$243,5,FALSE)</f>
        <v>8000</v>
      </c>
      <c r="J287" s="30">
        <f t="shared" si="14"/>
        <v>8000</v>
      </c>
      <c r="K287" s="31">
        <f>VLOOKUP(C287,DATA!$A$2:$G$243,3,FALSE)</f>
        <v>6.95</v>
      </c>
      <c r="L287" s="31">
        <f>VLOOKUP(C287,DATA!$A$2:$G$243,4,FALSE)</f>
        <v>2.7800000000000002</v>
      </c>
      <c r="M287" s="31">
        <f t="shared" si="13"/>
        <v>2.7800000000000002</v>
      </c>
      <c r="N287" s="25" t="str">
        <f>VLOOKUP(C287,DATA!$A$2:$G$243,6,FALSE)</f>
        <v>Reflective Flat Laces</v>
      </c>
      <c r="O287" s="16">
        <v>28605</v>
      </c>
    </row>
    <row r="288" spans="1:15" s="4" customFormat="1">
      <c r="A288" s="16" t="s">
        <v>6</v>
      </c>
      <c r="B288" s="18">
        <v>42927</v>
      </c>
      <c r="C288" s="18" t="s">
        <v>545</v>
      </c>
      <c r="D288" s="21">
        <v>54</v>
      </c>
      <c r="E288" s="22">
        <v>1</v>
      </c>
      <c r="F288" s="18" t="s">
        <v>414</v>
      </c>
      <c r="G288" s="29" t="str">
        <f>VLOOKUP(C288,DATA!$A$2:$G$243,2,FALSE)</f>
        <v>Cove Blue  - ReflectiveFlatLaces2.0</v>
      </c>
      <c r="H288" s="30">
        <f t="shared" si="12"/>
        <v>1</v>
      </c>
      <c r="I288" s="30">
        <f>VLOOKUP(C288,DATA!$A$2:$G$243,5,FALSE)</f>
        <v>8000</v>
      </c>
      <c r="J288" s="30">
        <f t="shared" si="14"/>
        <v>8000</v>
      </c>
      <c r="K288" s="31">
        <f>VLOOKUP(C288,DATA!$A$2:$G$243,3,FALSE)</f>
        <v>6.95</v>
      </c>
      <c r="L288" s="31">
        <f>VLOOKUP(C288,DATA!$A$2:$G$243,4,FALSE)</f>
        <v>2.7800000000000002</v>
      </c>
      <c r="M288" s="31">
        <f t="shared" si="13"/>
        <v>2.7800000000000002</v>
      </c>
      <c r="N288" s="25" t="str">
        <f>VLOOKUP(C288,DATA!$A$2:$G$243,6,FALSE)</f>
        <v>Reflective Flat Laces</v>
      </c>
      <c r="O288" s="16">
        <v>28605</v>
      </c>
    </row>
    <row r="289" spans="1:15" s="4" customFormat="1">
      <c r="A289" s="16" t="s">
        <v>6</v>
      </c>
      <c r="B289" s="18">
        <v>42927</v>
      </c>
      <c r="C289" s="18" t="s">
        <v>546</v>
      </c>
      <c r="D289" s="21">
        <v>45</v>
      </c>
      <c r="E289" s="22">
        <v>1</v>
      </c>
      <c r="F289" s="18" t="s">
        <v>414</v>
      </c>
      <c r="G289" s="29" t="str">
        <f>VLOOKUP(C289,DATA!$A$2:$G$243,2,FALSE)</f>
        <v>Mint  - ReflectiveFlatLaces2.0</v>
      </c>
      <c r="H289" s="30">
        <f t="shared" si="12"/>
        <v>1</v>
      </c>
      <c r="I289" s="30">
        <f>VLOOKUP(C289,DATA!$A$2:$G$243,5,FALSE)</f>
        <v>8000</v>
      </c>
      <c r="J289" s="30">
        <f t="shared" si="14"/>
        <v>8000</v>
      </c>
      <c r="K289" s="31">
        <f>VLOOKUP(C289,DATA!$A$2:$G$243,3,FALSE)</f>
        <v>6.95</v>
      </c>
      <c r="L289" s="31">
        <f>VLOOKUP(C289,DATA!$A$2:$G$243,4,FALSE)</f>
        <v>2.7800000000000002</v>
      </c>
      <c r="M289" s="31">
        <f t="shared" si="13"/>
        <v>2.7800000000000002</v>
      </c>
      <c r="N289" s="25" t="str">
        <f>VLOOKUP(C289,DATA!$A$2:$G$243,6,FALSE)</f>
        <v>Reflective Flat Laces</v>
      </c>
      <c r="O289" s="16">
        <v>28605</v>
      </c>
    </row>
    <row r="290" spans="1:15" s="4" customFormat="1">
      <c r="A290" s="16" t="s">
        <v>6</v>
      </c>
      <c r="B290" s="18">
        <v>42927</v>
      </c>
      <c r="C290" s="18" t="s">
        <v>546</v>
      </c>
      <c r="D290" s="21">
        <v>54</v>
      </c>
      <c r="E290" s="22">
        <v>1</v>
      </c>
      <c r="F290" s="18" t="s">
        <v>414</v>
      </c>
      <c r="G290" s="29" t="str">
        <f>VLOOKUP(C290,DATA!$A$2:$G$243,2,FALSE)</f>
        <v>Mint  - ReflectiveFlatLaces2.0</v>
      </c>
      <c r="H290" s="30">
        <f t="shared" si="12"/>
        <v>1</v>
      </c>
      <c r="I290" s="30">
        <f>VLOOKUP(C290,DATA!$A$2:$G$243,5,FALSE)</f>
        <v>8000</v>
      </c>
      <c r="J290" s="30">
        <f t="shared" si="14"/>
        <v>8000</v>
      </c>
      <c r="K290" s="31">
        <f>VLOOKUP(C290,DATA!$A$2:$G$243,3,FALSE)</f>
        <v>6.95</v>
      </c>
      <c r="L290" s="31">
        <f>VLOOKUP(C290,DATA!$A$2:$G$243,4,FALSE)</f>
        <v>2.7800000000000002</v>
      </c>
      <c r="M290" s="31">
        <f t="shared" si="13"/>
        <v>2.7800000000000002</v>
      </c>
      <c r="N290" s="25" t="str">
        <f>VLOOKUP(C290,DATA!$A$2:$G$243,6,FALSE)</f>
        <v>Reflective Flat Laces</v>
      </c>
      <c r="O290" s="16">
        <v>28605</v>
      </c>
    </row>
    <row r="291" spans="1:15" s="4" customFormat="1">
      <c r="A291" s="16" t="s">
        <v>6</v>
      </c>
      <c r="B291" s="18">
        <v>42927</v>
      </c>
      <c r="C291" s="18" t="s">
        <v>547</v>
      </c>
      <c r="D291" s="21">
        <v>45</v>
      </c>
      <c r="E291" s="22">
        <v>1</v>
      </c>
      <c r="F291" s="18" t="s">
        <v>414</v>
      </c>
      <c r="G291" s="29" t="str">
        <f>VLOOKUP(C291,DATA!$A$2:$G$243,2,FALSE)</f>
        <v>Volt  - ReflectiveFlatLaces2.0</v>
      </c>
      <c r="H291" s="30">
        <f t="shared" si="12"/>
        <v>1</v>
      </c>
      <c r="I291" s="30">
        <f>VLOOKUP(C291,DATA!$A$2:$G$243,5,FALSE)</f>
        <v>8000</v>
      </c>
      <c r="J291" s="30">
        <f t="shared" si="14"/>
        <v>8000</v>
      </c>
      <c r="K291" s="31">
        <f>VLOOKUP(C291,DATA!$A$2:$G$243,3,FALSE)</f>
        <v>6.95</v>
      </c>
      <c r="L291" s="31">
        <f>VLOOKUP(C291,DATA!$A$2:$G$243,4,FALSE)</f>
        <v>2.7800000000000002</v>
      </c>
      <c r="M291" s="31">
        <f t="shared" si="13"/>
        <v>2.7800000000000002</v>
      </c>
      <c r="N291" s="25" t="str">
        <f>VLOOKUP(C291,DATA!$A$2:$G$243,6,FALSE)</f>
        <v>Reflective Flat Laces</v>
      </c>
      <c r="O291" s="16">
        <v>28605</v>
      </c>
    </row>
    <row r="292" spans="1:15" s="4" customFormat="1">
      <c r="A292" s="16" t="s">
        <v>6</v>
      </c>
      <c r="B292" s="18">
        <v>42927</v>
      </c>
      <c r="C292" s="18" t="s">
        <v>547</v>
      </c>
      <c r="D292" s="21">
        <v>54</v>
      </c>
      <c r="E292" s="22">
        <v>1</v>
      </c>
      <c r="F292" s="18" t="s">
        <v>414</v>
      </c>
      <c r="G292" s="29" t="str">
        <f>VLOOKUP(C292,DATA!$A$2:$G$243,2,FALSE)</f>
        <v>Volt  - ReflectiveFlatLaces2.0</v>
      </c>
      <c r="H292" s="30">
        <f t="shared" si="12"/>
        <v>1</v>
      </c>
      <c r="I292" s="30">
        <f>VLOOKUP(C292,DATA!$A$2:$G$243,5,FALSE)</f>
        <v>8000</v>
      </c>
      <c r="J292" s="30">
        <f t="shared" si="14"/>
        <v>8000</v>
      </c>
      <c r="K292" s="31">
        <f>VLOOKUP(C292,DATA!$A$2:$G$243,3,FALSE)</f>
        <v>6.95</v>
      </c>
      <c r="L292" s="31">
        <f>VLOOKUP(C292,DATA!$A$2:$G$243,4,FALSE)</f>
        <v>2.7800000000000002</v>
      </c>
      <c r="M292" s="31">
        <f t="shared" si="13"/>
        <v>2.7800000000000002</v>
      </c>
      <c r="N292" s="25" t="str">
        <f>VLOOKUP(C292,DATA!$A$2:$G$243,6,FALSE)</f>
        <v>Reflective Flat Laces</v>
      </c>
      <c r="O292" s="16">
        <v>28605</v>
      </c>
    </row>
    <row r="293" spans="1:15" s="4" customFormat="1">
      <c r="A293" s="16" t="s">
        <v>6</v>
      </c>
      <c r="B293" s="18">
        <v>42927</v>
      </c>
      <c r="C293" s="18" t="s">
        <v>548</v>
      </c>
      <c r="D293" s="21">
        <v>45</v>
      </c>
      <c r="E293" s="22">
        <v>1</v>
      </c>
      <c r="F293" s="18" t="s">
        <v>414</v>
      </c>
      <c r="G293" s="29" t="str">
        <f>VLOOKUP(C293,DATA!$A$2:$G$243,2,FALSE)</f>
        <v>Black Reflective Flat Laces</v>
      </c>
      <c r="H293" s="30">
        <f t="shared" si="12"/>
        <v>1</v>
      </c>
      <c r="I293" s="30">
        <f>VLOOKUP(C293,DATA!$A$2:$G$243,5,FALSE)</f>
        <v>8000</v>
      </c>
      <c r="J293" s="30">
        <f t="shared" si="14"/>
        <v>8000</v>
      </c>
      <c r="K293" s="31">
        <f>VLOOKUP(C293,DATA!$A$2:$G$243,3,FALSE)</f>
        <v>4.95</v>
      </c>
      <c r="L293" s="31">
        <f>VLOOKUP(C293,DATA!$A$2:$G$243,4,FALSE)</f>
        <v>1.9800000000000002</v>
      </c>
      <c r="M293" s="31">
        <f t="shared" si="13"/>
        <v>1.9800000000000002</v>
      </c>
      <c r="N293" s="25" t="str">
        <f>VLOOKUP(C293,DATA!$A$2:$G$243,6,FALSE)</f>
        <v>Reflective Flat Laces</v>
      </c>
      <c r="O293" s="16">
        <v>28605</v>
      </c>
    </row>
    <row r="294" spans="1:15" s="4" customFormat="1">
      <c r="A294" s="16" t="s">
        <v>6</v>
      </c>
      <c r="B294" s="18">
        <v>42927</v>
      </c>
      <c r="C294" s="18" t="s">
        <v>548</v>
      </c>
      <c r="D294" s="21">
        <v>54</v>
      </c>
      <c r="E294" s="22">
        <v>1</v>
      </c>
      <c r="F294" s="18" t="s">
        <v>414</v>
      </c>
      <c r="G294" s="29" t="str">
        <f>VLOOKUP(C294,DATA!$A$2:$G$243,2,FALSE)</f>
        <v>Black Reflective Flat Laces</v>
      </c>
      <c r="H294" s="30">
        <f t="shared" si="12"/>
        <v>1</v>
      </c>
      <c r="I294" s="30">
        <f>VLOOKUP(C294,DATA!$A$2:$G$243,5,FALSE)</f>
        <v>8000</v>
      </c>
      <c r="J294" s="30">
        <f t="shared" si="14"/>
        <v>8000</v>
      </c>
      <c r="K294" s="31">
        <f>VLOOKUP(C294,DATA!$A$2:$G$243,3,FALSE)</f>
        <v>4.95</v>
      </c>
      <c r="L294" s="31">
        <f>VLOOKUP(C294,DATA!$A$2:$G$243,4,FALSE)</f>
        <v>1.9800000000000002</v>
      </c>
      <c r="M294" s="31">
        <f t="shared" si="13"/>
        <v>1.9800000000000002</v>
      </c>
      <c r="N294" s="25" t="str">
        <f>VLOOKUP(C294,DATA!$A$2:$G$243,6,FALSE)</f>
        <v>Reflective Flat Laces</v>
      </c>
      <c r="O294" s="16">
        <v>28605</v>
      </c>
    </row>
    <row r="295" spans="1:15" s="4" customFormat="1">
      <c r="A295" s="16" t="s">
        <v>6</v>
      </c>
      <c r="B295" s="18">
        <v>42927</v>
      </c>
      <c r="C295" s="18" t="s">
        <v>549</v>
      </c>
      <c r="D295" s="21">
        <v>45</v>
      </c>
      <c r="E295" s="22">
        <v>1</v>
      </c>
      <c r="F295" s="18" t="s">
        <v>414</v>
      </c>
      <c r="G295" s="29" t="str">
        <f>VLOOKUP(C295,DATA!$A$2:$G$243,2,FALSE)</f>
        <v>Silver Reflective Flat Laces</v>
      </c>
      <c r="H295" s="30">
        <f t="shared" si="12"/>
        <v>1</v>
      </c>
      <c r="I295" s="30">
        <f>VLOOKUP(C295,DATA!$A$2:$G$243,5,FALSE)</f>
        <v>8000</v>
      </c>
      <c r="J295" s="30">
        <f t="shared" si="14"/>
        <v>8000</v>
      </c>
      <c r="K295" s="31">
        <f>VLOOKUP(C295,DATA!$A$2:$G$243,3,FALSE)</f>
        <v>4.95</v>
      </c>
      <c r="L295" s="31">
        <f>VLOOKUP(C295,DATA!$A$2:$G$243,4,FALSE)</f>
        <v>1.9800000000000002</v>
      </c>
      <c r="M295" s="31">
        <f t="shared" si="13"/>
        <v>1.9800000000000002</v>
      </c>
      <c r="N295" s="25" t="str">
        <f>VLOOKUP(C295,DATA!$A$2:$G$243,6,FALSE)</f>
        <v>Reflective Flat Laces</v>
      </c>
      <c r="O295" s="16">
        <v>28605</v>
      </c>
    </row>
    <row r="296" spans="1:15" s="4" customFormat="1">
      <c r="A296" s="16" t="s">
        <v>6</v>
      </c>
      <c r="B296" s="18">
        <v>42927</v>
      </c>
      <c r="C296" s="18" t="s">
        <v>549</v>
      </c>
      <c r="D296" s="21">
        <v>54</v>
      </c>
      <c r="E296" s="22">
        <v>1</v>
      </c>
      <c r="F296" s="18" t="s">
        <v>414</v>
      </c>
      <c r="G296" s="29" t="str">
        <f>VLOOKUP(C296,DATA!$A$2:$G$243,2,FALSE)</f>
        <v>Silver Reflective Flat Laces</v>
      </c>
      <c r="H296" s="30">
        <f t="shared" si="12"/>
        <v>1</v>
      </c>
      <c r="I296" s="30">
        <f>VLOOKUP(C296,DATA!$A$2:$G$243,5,FALSE)</f>
        <v>8000</v>
      </c>
      <c r="J296" s="30">
        <f t="shared" si="14"/>
        <v>8000</v>
      </c>
      <c r="K296" s="31">
        <f>VLOOKUP(C296,DATA!$A$2:$G$243,3,FALSE)</f>
        <v>4.95</v>
      </c>
      <c r="L296" s="31">
        <f>VLOOKUP(C296,DATA!$A$2:$G$243,4,FALSE)</f>
        <v>1.9800000000000002</v>
      </c>
      <c r="M296" s="31">
        <f t="shared" si="13"/>
        <v>1.9800000000000002</v>
      </c>
      <c r="N296" s="25" t="str">
        <f>VLOOKUP(C296,DATA!$A$2:$G$243,6,FALSE)</f>
        <v>Reflective Flat Laces</v>
      </c>
      <c r="O296" s="16">
        <v>28605</v>
      </c>
    </row>
    <row r="297" spans="1:15" s="4" customFormat="1">
      <c r="A297" s="16" t="s">
        <v>6</v>
      </c>
      <c r="B297" s="18">
        <v>42927</v>
      </c>
      <c r="C297" s="18" t="s">
        <v>550</v>
      </c>
      <c r="D297" s="21">
        <v>45</v>
      </c>
      <c r="E297" s="22">
        <v>1</v>
      </c>
      <c r="F297" s="18" t="s">
        <v>414</v>
      </c>
      <c r="G297" s="29" t="str">
        <f>VLOOKUP(C297,DATA!$A$2:$G$243,2,FALSE)</f>
        <v>White Reflective Flat Laces</v>
      </c>
      <c r="H297" s="30">
        <f t="shared" si="12"/>
        <v>1</v>
      </c>
      <c r="I297" s="30">
        <f>VLOOKUP(C297,DATA!$A$2:$G$243,5,FALSE)</f>
        <v>8000</v>
      </c>
      <c r="J297" s="30">
        <f t="shared" si="14"/>
        <v>8000</v>
      </c>
      <c r="K297" s="31">
        <f>VLOOKUP(C297,DATA!$A$2:$G$243,3,FALSE)</f>
        <v>4.95</v>
      </c>
      <c r="L297" s="31">
        <f>VLOOKUP(C297,DATA!$A$2:$G$243,4,FALSE)</f>
        <v>1.9800000000000002</v>
      </c>
      <c r="M297" s="31">
        <f t="shared" si="13"/>
        <v>1.9800000000000002</v>
      </c>
      <c r="N297" s="25" t="str">
        <f>VLOOKUP(C297,DATA!$A$2:$G$243,6,FALSE)</f>
        <v>Reflective Flat Laces</v>
      </c>
      <c r="O297" s="16">
        <v>28605</v>
      </c>
    </row>
    <row r="298" spans="1:15" s="4" customFormat="1">
      <c r="A298" s="16" t="s">
        <v>6</v>
      </c>
      <c r="B298" s="18">
        <v>42927</v>
      </c>
      <c r="C298" s="18" t="s">
        <v>550</v>
      </c>
      <c r="D298" s="21">
        <v>54</v>
      </c>
      <c r="E298" s="22">
        <v>1</v>
      </c>
      <c r="F298" s="18" t="s">
        <v>414</v>
      </c>
      <c r="G298" s="29" t="str">
        <f>VLOOKUP(C298,DATA!$A$2:$G$243,2,FALSE)</f>
        <v>White Reflective Flat Laces</v>
      </c>
      <c r="H298" s="30">
        <f t="shared" si="12"/>
        <v>1</v>
      </c>
      <c r="I298" s="30">
        <f>VLOOKUP(C298,DATA!$A$2:$G$243,5,FALSE)</f>
        <v>8000</v>
      </c>
      <c r="J298" s="30">
        <f t="shared" si="14"/>
        <v>8000</v>
      </c>
      <c r="K298" s="31">
        <f>VLOOKUP(C298,DATA!$A$2:$G$243,3,FALSE)</f>
        <v>4.95</v>
      </c>
      <c r="L298" s="31">
        <f>VLOOKUP(C298,DATA!$A$2:$G$243,4,FALSE)</f>
        <v>1.9800000000000002</v>
      </c>
      <c r="M298" s="31">
        <f t="shared" si="13"/>
        <v>1.9800000000000002</v>
      </c>
      <c r="N298" s="25" t="str">
        <f>VLOOKUP(C298,DATA!$A$2:$G$243,6,FALSE)</f>
        <v>Reflective Flat Laces</v>
      </c>
      <c r="O298" s="16">
        <v>28605</v>
      </c>
    </row>
    <row r="299" spans="1:15" s="4" customFormat="1">
      <c r="A299" s="16" t="s">
        <v>6</v>
      </c>
      <c r="B299" s="18">
        <v>42927</v>
      </c>
      <c r="C299" s="18" t="s">
        <v>551</v>
      </c>
      <c r="D299" s="21">
        <v>45</v>
      </c>
      <c r="E299" s="22">
        <v>1</v>
      </c>
      <c r="F299" s="18" t="s">
        <v>414</v>
      </c>
      <c r="G299" s="29" t="str">
        <f>VLOOKUP(C299,DATA!$A$2:$G$243,2,FALSE)</f>
        <v>Navy Blue  - ReflectiveFlatLaces1.0</v>
      </c>
      <c r="H299" s="30">
        <f t="shared" si="12"/>
        <v>1</v>
      </c>
      <c r="I299" s="30">
        <f>VLOOKUP(C299,DATA!$A$2:$G$243,5,FALSE)</f>
        <v>8000</v>
      </c>
      <c r="J299" s="30">
        <f t="shared" si="14"/>
        <v>8000</v>
      </c>
      <c r="K299" s="31">
        <f>VLOOKUP(C299,DATA!$A$2:$G$243,3,FALSE)</f>
        <v>6.95</v>
      </c>
      <c r="L299" s="31">
        <f>VLOOKUP(C299,DATA!$A$2:$G$243,4,FALSE)</f>
        <v>2.7800000000000002</v>
      </c>
      <c r="M299" s="31">
        <f t="shared" si="13"/>
        <v>2.7800000000000002</v>
      </c>
      <c r="N299" s="25" t="str">
        <f>VLOOKUP(C299,DATA!$A$2:$G$243,6,FALSE)</f>
        <v>Reflective Flat Laces</v>
      </c>
      <c r="O299" s="16">
        <v>28605</v>
      </c>
    </row>
    <row r="300" spans="1:15" s="4" customFormat="1">
      <c r="A300" s="16" t="s">
        <v>6</v>
      </c>
      <c r="B300" s="18">
        <v>42927</v>
      </c>
      <c r="C300" s="18" t="s">
        <v>551</v>
      </c>
      <c r="D300" s="21">
        <v>54</v>
      </c>
      <c r="E300" s="22">
        <v>1</v>
      </c>
      <c r="F300" s="18" t="s">
        <v>414</v>
      </c>
      <c r="G300" s="29" t="str">
        <f>VLOOKUP(C300,DATA!$A$2:$G$243,2,FALSE)</f>
        <v>Navy Blue  - ReflectiveFlatLaces1.0</v>
      </c>
      <c r="H300" s="30">
        <f t="shared" si="12"/>
        <v>1</v>
      </c>
      <c r="I300" s="30">
        <f>VLOOKUP(C300,DATA!$A$2:$G$243,5,FALSE)</f>
        <v>8000</v>
      </c>
      <c r="J300" s="30">
        <f t="shared" si="14"/>
        <v>8000</v>
      </c>
      <c r="K300" s="31">
        <f>VLOOKUP(C300,DATA!$A$2:$G$243,3,FALSE)</f>
        <v>6.95</v>
      </c>
      <c r="L300" s="31">
        <f>VLOOKUP(C300,DATA!$A$2:$G$243,4,FALSE)</f>
        <v>2.7800000000000002</v>
      </c>
      <c r="M300" s="31">
        <f t="shared" si="13"/>
        <v>2.7800000000000002</v>
      </c>
      <c r="N300" s="25" t="str">
        <f>VLOOKUP(C300,DATA!$A$2:$G$243,6,FALSE)</f>
        <v>Reflective Flat Laces</v>
      </c>
      <c r="O300" s="16">
        <v>28605</v>
      </c>
    </row>
    <row r="301" spans="1:15" s="4" customFormat="1">
      <c r="A301" s="16" t="s">
        <v>6</v>
      </c>
      <c r="B301" s="18">
        <v>42927</v>
      </c>
      <c r="C301" s="18" t="s">
        <v>552</v>
      </c>
      <c r="D301" s="21">
        <v>45</v>
      </c>
      <c r="E301" s="22">
        <v>1</v>
      </c>
      <c r="F301" s="18" t="s">
        <v>414</v>
      </c>
      <c r="G301" s="29" t="str">
        <f>VLOOKUP(C301,DATA!$A$2:$G$243,2,FALSE)</f>
        <v>Sapphire  - ReflectiveFlatLaces1.0</v>
      </c>
      <c r="H301" s="30">
        <f t="shared" si="12"/>
        <v>1</v>
      </c>
      <c r="I301" s="30">
        <f>VLOOKUP(C301,DATA!$A$2:$G$243,5,FALSE)</f>
        <v>8000</v>
      </c>
      <c r="J301" s="30">
        <f t="shared" si="14"/>
        <v>8000</v>
      </c>
      <c r="K301" s="31">
        <f>VLOOKUP(C301,DATA!$A$2:$G$243,3,FALSE)</f>
        <v>6.95</v>
      </c>
      <c r="L301" s="31">
        <f>VLOOKUP(C301,DATA!$A$2:$G$243,4,FALSE)</f>
        <v>2.7800000000000002</v>
      </c>
      <c r="M301" s="31">
        <f t="shared" si="13"/>
        <v>2.7800000000000002</v>
      </c>
      <c r="N301" s="25" t="str">
        <f>VLOOKUP(C301,DATA!$A$2:$G$243,6,FALSE)</f>
        <v>Reflective Flat Laces</v>
      </c>
      <c r="O301" s="16">
        <v>28605</v>
      </c>
    </row>
    <row r="302" spans="1:15" s="4" customFormat="1">
      <c r="A302" s="16" t="s">
        <v>6</v>
      </c>
      <c r="B302" s="18">
        <v>42927</v>
      </c>
      <c r="C302" s="18" t="s">
        <v>552</v>
      </c>
      <c r="D302" s="21">
        <v>54</v>
      </c>
      <c r="E302" s="22">
        <v>1</v>
      </c>
      <c r="F302" s="18" t="s">
        <v>414</v>
      </c>
      <c r="G302" s="29" t="str">
        <f>VLOOKUP(C302,DATA!$A$2:$G$243,2,FALSE)</f>
        <v>Sapphire  - ReflectiveFlatLaces1.0</v>
      </c>
      <c r="H302" s="30">
        <f t="shared" si="12"/>
        <v>1</v>
      </c>
      <c r="I302" s="30">
        <f>VLOOKUP(C302,DATA!$A$2:$G$243,5,FALSE)</f>
        <v>8000</v>
      </c>
      <c r="J302" s="30">
        <f t="shared" si="14"/>
        <v>8000</v>
      </c>
      <c r="K302" s="31">
        <f>VLOOKUP(C302,DATA!$A$2:$G$243,3,FALSE)</f>
        <v>6.95</v>
      </c>
      <c r="L302" s="31">
        <f>VLOOKUP(C302,DATA!$A$2:$G$243,4,FALSE)</f>
        <v>2.7800000000000002</v>
      </c>
      <c r="M302" s="31">
        <f t="shared" si="13"/>
        <v>2.7800000000000002</v>
      </c>
      <c r="N302" s="25" t="str">
        <f>VLOOKUP(C302,DATA!$A$2:$G$243,6,FALSE)</f>
        <v>Reflective Flat Laces</v>
      </c>
      <c r="O302" s="16">
        <v>28605</v>
      </c>
    </row>
    <row r="303" spans="1:15" s="4" customFormat="1">
      <c r="A303" s="16" t="s">
        <v>6</v>
      </c>
      <c r="B303" s="18">
        <v>42927</v>
      </c>
      <c r="C303" s="18" t="s">
        <v>427</v>
      </c>
      <c r="D303" s="19">
        <v>45</v>
      </c>
      <c r="E303" s="22">
        <v>2</v>
      </c>
      <c r="F303" s="18" t="s">
        <v>414</v>
      </c>
      <c r="G303" s="29" t="str">
        <f>VLOOKUP(C303,DATA!$A$2:$G$243,2,FALSE)</f>
        <v>Black  - XIRopeLaces</v>
      </c>
      <c r="H303" s="30">
        <f t="shared" si="12"/>
        <v>2</v>
      </c>
      <c r="I303" s="30">
        <f>VLOOKUP(C303,DATA!$A$2:$G$243,5,FALSE)</f>
        <v>7000</v>
      </c>
      <c r="J303" s="30">
        <f t="shared" si="14"/>
        <v>14000</v>
      </c>
      <c r="K303" s="31">
        <f>VLOOKUP(C303,DATA!$A$2:$G$243,3,FALSE)</f>
        <v>5.95</v>
      </c>
      <c r="L303" s="31">
        <f>VLOOKUP(C303,DATA!$A$2:$G$243,4,FALSE)</f>
        <v>2.3800000000000003</v>
      </c>
      <c r="M303" s="31">
        <f t="shared" si="13"/>
        <v>4.7600000000000007</v>
      </c>
      <c r="N303" s="25" t="str">
        <f>VLOOKUP(C303,DATA!$A$2:$G$243,6,FALSE)</f>
        <v>XI Rope Laces</v>
      </c>
      <c r="O303" s="16">
        <v>28605</v>
      </c>
    </row>
    <row r="304" spans="1:15" s="4" customFormat="1">
      <c r="A304" s="16" t="s">
        <v>6</v>
      </c>
      <c r="B304" s="18">
        <v>42927</v>
      </c>
      <c r="C304" s="18" t="s">
        <v>427</v>
      </c>
      <c r="D304" s="21">
        <v>54</v>
      </c>
      <c r="E304" s="22">
        <v>2</v>
      </c>
      <c r="F304" s="18" t="s">
        <v>414</v>
      </c>
      <c r="G304" s="29" t="str">
        <f>VLOOKUP(C304,DATA!$A$2:$G$243,2,FALSE)</f>
        <v>Black  - XIRopeLaces</v>
      </c>
      <c r="H304" s="30">
        <f t="shared" si="12"/>
        <v>2</v>
      </c>
      <c r="I304" s="30">
        <f>VLOOKUP(C304,DATA!$A$2:$G$243,5,FALSE)</f>
        <v>7000</v>
      </c>
      <c r="J304" s="30">
        <f t="shared" si="14"/>
        <v>14000</v>
      </c>
      <c r="K304" s="31">
        <f>VLOOKUP(C304,DATA!$A$2:$G$243,3,FALSE)</f>
        <v>5.95</v>
      </c>
      <c r="L304" s="31">
        <f>VLOOKUP(C304,DATA!$A$2:$G$243,4,FALSE)</f>
        <v>2.3800000000000003</v>
      </c>
      <c r="M304" s="31">
        <f t="shared" si="13"/>
        <v>4.7600000000000007</v>
      </c>
      <c r="N304" s="25" t="str">
        <f>VLOOKUP(C304,DATA!$A$2:$G$243,6,FALSE)</f>
        <v>XI Rope Laces</v>
      </c>
      <c r="O304" s="16">
        <v>28605</v>
      </c>
    </row>
    <row r="305" spans="1:15" s="4" customFormat="1">
      <c r="A305" s="16" t="s">
        <v>6</v>
      </c>
      <c r="B305" s="18">
        <v>42927</v>
      </c>
      <c r="C305" s="18" t="s">
        <v>553</v>
      </c>
      <c r="D305" s="21">
        <v>45</v>
      </c>
      <c r="E305" s="22">
        <v>1</v>
      </c>
      <c r="F305" s="18" t="s">
        <v>414</v>
      </c>
      <c r="G305" s="29" t="str">
        <f>VLOOKUP(C305,DATA!$A$2:$G$243,2,FALSE)</f>
        <v>Cool Grey  - XIRopeLaces</v>
      </c>
      <c r="H305" s="30">
        <f t="shared" si="12"/>
        <v>1</v>
      </c>
      <c r="I305" s="30">
        <f>VLOOKUP(C305,DATA!$A$2:$G$243,5,FALSE)</f>
        <v>7000</v>
      </c>
      <c r="J305" s="30">
        <f t="shared" si="14"/>
        <v>7000</v>
      </c>
      <c r="K305" s="31">
        <f>VLOOKUP(C305,DATA!$A$2:$G$243,3,FALSE)</f>
        <v>5.95</v>
      </c>
      <c r="L305" s="31">
        <f>VLOOKUP(C305,DATA!$A$2:$G$243,4,FALSE)</f>
        <v>2.3800000000000003</v>
      </c>
      <c r="M305" s="31">
        <f t="shared" si="13"/>
        <v>2.3800000000000003</v>
      </c>
      <c r="N305" s="25" t="str">
        <f>VLOOKUP(C305,DATA!$A$2:$G$243,6,FALSE)</f>
        <v>XI Rope Laces</v>
      </c>
      <c r="O305" s="16">
        <v>28605</v>
      </c>
    </row>
    <row r="306" spans="1:15" s="4" customFormat="1">
      <c r="A306" s="16" t="s">
        <v>6</v>
      </c>
      <c r="B306" s="18">
        <v>42927</v>
      </c>
      <c r="C306" s="18" t="s">
        <v>553</v>
      </c>
      <c r="D306" s="21">
        <v>54</v>
      </c>
      <c r="E306" s="22">
        <v>1</v>
      </c>
      <c r="F306" s="18" t="s">
        <v>414</v>
      </c>
      <c r="G306" s="29" t="str">
        <f>VLOOKUP(C306,DATA!$A$2:$G$243,2,FALSE)</f>
        <v>Cool Grey  - XIRopeLaces</v>
      </c>
      <c r="H306" s="30">
        <f t="shared" si="12"/>
        <v>1</v>
      </c>
      <c r="I306" s="30">
        <f>VLOOKUP(C306,DATA!$A$2:$G$243,5,FALSE)</f>
        <v>7000</v>
      </c>
      <c r="J306" s="30">
        <f t="shared" si="14"/>
        <v>7000</v>
      </c>
      <c r="K306" s="31">
        <f>VLOOKUP(C306,DATA!$A$2:$G$243,3,FALSE)</f>
        <v>5.95</v>
      </c>
      <c r="L306" s="31">
        <f>VLOOKUP(C306,DATA!$A$2:$G$243,4,FALSE)</f>
        <v>2.3800000000000003</v>
      </c>
      <c r="M306" s="31">
        <f t="shared" si="13"/>
        <v>2.3800000000000003</v>
      </c>
      <c r="N306" s="25" t="str">
        <f>VLOOKUP(C306,DATA!$A$2:$G$243,6,FALSE)</f>
        <v>XI Rope Laces</v>
      </c>
      <c r="O306" s="16">
        <v>28605</v>
      </c>
    </row>
    <row r="307" spans="1:15" s="4" customFormat="1">
      <c r="A307" s="16" t="s">
        <v>6</v>
      </c>
      <c r="B307" s="18">
        <v>42927</v>
      </c>
      <c r="C307" s="18" t="s">
        <v>554</v>
      </c>
      <c r="D307" s="21">
        <v>45</v>
      </c>
      <c r="E307" s="22">
        <v>0</v>
      </c>
      <c r="F307" s="18" t="s">
        <v>414</v>
      </c>
      <c r="G307" s="29" t="str">
        <f>VLOOKUP(C307,DATA!$A$2:$G$243,2,FALSE)</f>
        <v>Gamma Blue  - XIRopeLaces</v>
      </c>
      <c r="H307" s="30">
        <f t="shared" si="12"/>
        <v>0</v>
      </c>
      <c r="I307" s="30">
        <f>VLOOKUP(C307,DATA!$A$2:$G$243,5,FALSE)</f>
        <v>7000</v>
      </c>
      <c r="J307" s="30">
        <f t="shared" si="14"/>
        <v>0</v>
      </c>
      <c r="K307" s="31">
        <f>VLOOKUP(C307,DATA!$A$2:$G$243,3,FALSE)</f>
        <v>5.95</v>
      </c>
      <c r="L307" s="31">
        <f>VLOOKUP(C307,DATA!$A$2:$G$243,4,FALSE)</f>
        <v>2.3800000000000003</v>
      </c>
      <c r="M307" s="31">
        <f t="shared" si="13"/>
        <v>0</v>
      </c>
      <c r="N307" s="25" t="str">
        <f>VLOOKUP(C307,DATA!$A$2:$G$243,6,FALSE)</f>
        <v>XI Rope Laces</v>
      </c>
      <c r="O307" s="16">
        <v>28605</v>
      </c>
    </row>
    <row r="308" spans="1:15" s="4" customFormat="1">
      <c r="A308" s="16" t="s">
        <v>6</v>
      </c>
      <c r="B308" s="18">
        <v>42927</v>
      </c>
      <c r="C308" s="18" t="s">
        <v>554</v>
      </c>
      <c r="D308" s="21">
        <v>54</v>
      </c>
      <c r="E308" s="22">
        <v>2</v>
      </c>
      <c r="F308" s="18" t="s">
        <v>414</v>
      </c>
      <c r="G308" s="29" t="str">
        <f>VLOOKUP(C308,DATA!$A$2:$G$243,2,FALSE)</f>
        <v>Gamma Blue  - XIRopeLaces</v>
      </c>
      <c r="H308" s="30">
        <f t="shared" si="12"/>
        <v>2</v>
      </c>
      <c r="I308" s="30">
        <f>VLOOKUP(C308,DATA!$A$2:$G$243,5,FALSE)</f>
        <v>7000</v>
      </c>
      <c r="J308" s="30">
        <f t="shared" si="14"/>
        <v>14000</v>
      </c>
      <c r="K308" s="31">
        <f>VLOOKUP(C308,DATA!$A$2:$G$243,3,FALSE)</f>
        <v>5.95</v>
      </c>
      <c r="L308" s="31">
        <f>VLOOKUP(C308,DATA!$A$2:$G$243,4,FALSE)</f>
        <v>2.3800000000000003</v>
      </c>
      <c r="M308" s="31">
        <f t="shared" si="13"/>
        <v>4.7600000000000007</v>
      </c>
      <c r="N308" s="25" t="str">
        <f>VLOOKUP(C308,DATA!$A$2:$G$243,6,FALSE)</f>
        <v>XI Rope Laces</v>
      </c>
      <c r="O308" s="16">
        <v>28605</v>
      </c>
    </row>
    <row r="309" spans="1:15" s="4" customFormat="1">
      <c r="A309" s="16" t="s">
        <v>6</v>
      </c>
      <c r="B309" s="18">
        <v>42927</v>
      </c>
      <c r="C309" s="18" t="s">
        <v>555</v>
      </c>
      <c r="D309" s="21">
        <v>45</v>
      </c>
      <c r="E309" s="22">
        <v>1</v>
      </c>
      <c r="F309" s="18" t="s">
        <v>414</v>
      </c>
      <c r="G309" s="29" t="str">
        <f>VLOOKUP(C309,DATA!$A$2:$G$243,2,FALSE)</f>
        <v>Grape  - XIRopeLaces</v>
      </c>
      <c r="H309" s="30">
        <f t="shared" si="12"/>
        <v>1</v>
      </c>
      <c r="I309" s="30">
        <f>VLOOKUP(C309,DATA!$A$2:$G$243,5,FALSE)</f>
        <v>7000</v>
      </c>
      <c r="J309" s="30">
        <f t="shared" si="14"/>
        <v>7000</v>
      </c>
      <c r="K309" s="31">
        <f>VLOOKUP(C309,DATA!$A$2:$G$243,3,FALSE)</f>
        <v>5.95</v>
      </c>
      <c r="L309" s="31">
        <f>VLOOKUP(C309,DATA!$A$2:$G$243,4,FALSE)</f>
        <v>2.3800000000000003</v>
      </c>
      <c r="M309" s="31">
        <f t="shared" si="13"/>
        <v>2.3800000000000003</v>
      </c>
      <c r="N309" s="25" t="str">
        <f>VLOOKUP(C309,DATA!$A$2:$G$243,6,FALSE)</f>
        <v>XI Rope Laces</v>
      </c>
      <c r="O309" s="16">
        <v>28605</v>
      </c>
    </row>
    <row r="310" spans="1:15" s="4" customFormat="1">
      <c r="A310" s="16" t="s">
        <v>6</v>
      </c>
      <c r="B310" s="18">
        <v>42927</v>
      </c>
      <c r="C310" s="18" t="s">
        <v>555</v>
      </c>
      <c r="D310" s="21">
        <v>54</v>
      </c>
      <c r="E310" s="22">
        <v>1</v>
      </c>
      <c r="F310" s="18" t="s">
        <v>414</v>
      </c>
      <c r="G310" s="29" t="str">
        <f>VLOOKUP(C310,DATA!$A$2:$G$243,2,FALSE)</f>
        <v>Grape  - XIRopeLaces</v>
      </c>
      <c r="H310" s="30">
        <f t="shared" si="12"/>
        <v>1</v>
      </c>
      <c r="I310" s="30">
        <f>VLOOKUP(C310,DATA!$A$2:$G$243,5,FALSE)</f>
        <v>7000</v>
      </c>
      <c r="J310" s="30">
        <f t="shared" si="14"/>
        <v>7000</v>
      </c>
      <c r="K310" s="31">
        <f>VLOOKUP(C310,DATA!$A$2:$G$243,3,FALSE)</f>
        <v>5.95</v>
      </c>
      <c r="L310" s="31">
        <f>VLOOKUP(C310,DATA!$A$2:$G$243,4,FALSE)</f>
        <v>2.3800000000000003</v>
      </c>
      <c r="M310" s="31">
        <f t="shared" si="13"/>
        <v>2.3800000000000003</v>
      </c>
      <c r="N310" s="25" t="str">
        <f>VLOOKUP(C310,DATA!$A$2:$G$243,6,FALSE)</f>
        <v>XI Rope Laces</v>
      </c>
      <c r="O310" s="16">
        <v>28605</v>
      </c>
    </row>
    <row r="311" spans="1:15" s="4" customFormat="1">
      <c r="A311" s="16" t="s">
        <v>6</v>
      </c>
      <c r="B311" s="18">
        <v>42927</v>
      </c>
      <c r="C311" s="18" t="s">
        <v>556</v>
      </c>
      <c r="D311" s="21">
        <v>45</v>
      </c>
      <c r="E311" s="22">
        <v>3</v>
      </c>
      <c r="F311" s="18" t="s">
        <v>414</v>
      </c>
      <c r="G311" s="29" t="str">
        <f>VLOOKUP(C311,DATA!$A$2:$G$243,2,FALSE)</f>
        <v>Legend Blue  - XIRopeLaces</v>
      </c>
      <c r="H311" s="30">
        <f t="shared" si="12"/>
        <v>3</v>
      </c>
      <c r="I311" s="30">
        <f>VLOOKUP(C311,DATA!$A$2:$G$243,5,FALSE)</f>
        <v>7000</v>
      </c>
      <c r="J311" s="30">
        <f t="shared" si="14"/>
        <v>21000</v>
      </c>
      <c r="K311" s="31">
        <f>VLOOKUP(C311,DATA!$A$2:$G$243,3,FALSE)</f>
        <v>5.95</v>
      </c>
      <c r="L311" s="31">
        <f>VLOOKUP(C311,DATA!$A$2:$G$243,4,FALSE)</f>
        <v>2.3800000000000003</v>
      </c>
      <c r="M311" s="31">
        <f t="shared" si="13"/>
        <v>7.1400000000000006</v>
      </c>
      <c r="N311" s="25" t="str">
        <f>VLOOKUP(C311,DATA!$A$2:$G$243,6,FALSE)</f>
        <v>XI Rope Laces</v>
      </c>
      <c r="O311" s="16">
        <v>28605</v>
      </c>
    </row>
    <row r="312" spans="1:15" s="4" customFormat="1">
      <c r="A312" s="16" t="s">
        <v>6</v>
      </c>
      <c r="B312" s="18">
        <v>42927</v>
      </c>
      <c r="C312" s="18" t="s">
        <v>556</v>
      </c>
      <c r="D312" s="21">
        <v>54</v>
      </c>
      <c r="E312" s="22">
        <v>1</v>
      </c>
      <c r="F312" s="18" t="s">
        <v>414</v>
      </c>
      <c r="G312" s="29" t="str">
        <f>VLOOKUP(C312,DATA!$A$2:$G$243,2,FALSE)</f>
        <v>Legend Blue  - XIRopeLaces</v>
      </c>
      <c r="H312" s="30">
        <f t="shared" si="12"/>
        <v>1</v>
      </c>
      <c r="I312" s="30">
        <f>VLOOKUP(C312,DATA!$A$2:$G$243,5,FALSE)</f>
        <v>7000</v>
      </c>
      <c r="J312" s="30">
        <f t="shared" si="14"/>
        <v>7000</v>
      </c>
      <c r="K312" s="31">
        <f>VLOOKUP(C312,DATA!$A$2:$G$243,3,FALSE)</f>
        <v>5.95</v>
      </c>
      <c r="L312" s="31">
        <f>VLOOKUP(C312,DATA!$A$2:$G$243,4,FALSE)</f>
        <v>2.3800000000000003</v>
      </c>
      <c r="M312" s="31">
        <f t="shared" si="13"/>
        <v>2.3800000000000003</v>
      </c>
      <c r="N312" s="25" t="str">
        <f>VLOOKUP(C312,DATA!$A$2:$G$243,6,FALSE)</f>
        <v>XI Rope Laces</v>
      </c>
      <c r="O312" s="16">
        <v>28605</v>
      </c>
    </row>
    <row r="313" spans="1:15" s="4" customFormat="1">
      <c r="A313" s="16" t="s">
        <v>6</v>
      </c>
      <c r="B313" s="18">
        <v>42927</v>
      </c>
      <c r="C313" s="18" t="s">
        <v>557</v>
      </c>
      <c r="D313" s="21">
        <v>45</v>
      </c>
      <c r="E313" s="22">
        <v>1</v>
      </c>
      <c r="F313" s="18" t="s">
        <v>414</v>
      </c>
      <c r="G313" s="29" t="str">
        <f>VLOOKUP(C313,DATA!$A$2:$G$243,2,FALSE)</f>
        <v>Light Grey  - XIRopeLaces</v>
      </c>
      <c r="H313" s="30">
        <f t="shared" si="12"/>
        <v>1</v>
      </c>
      <c r="I313" s="30">
        <f>VLOOKUP(C313,DATA!$A$2:$G$243,5,FALSE)</f>
        <v>7000</v>
      </c>
      <c r="J313" s="30">
        <f t="shared" si="14"/>
        <v>7000</v>
      </c>
      <c r="K313" s="31">
        <f>VLOOKUP(C313,DATA!$A$2:$G$243,3,FALSE)</f>
        <v>5.95</v>
      </c>
      <c r="L313" s="31">
        <f>VLOOKUP(C313,DATA!$A$2:$G$243,4,FALSE)</f>
        <v>2.3800000000000003</v>
      </c>
      <c r="M313" s="31">
        <f t="shared" si="13"/>
        <v>2.3800000000000003</v>
      </c>
      <c r="N313" s="25" t="str">
        <f>VLOOKUP(C313,DATA!$A$2:$G$243,6,FALSE)</f>
        <v>XI Rope Laces</v>
      </c>
      <c r="O313" s="16">
        <v>28605</v>
      </c>
    </row>
    <row r="314" spans="1:15" s="4" customFormat="1">
      <c r="A314" s="16" t="s">
        <v>6</v>
      </c>
      <c r="B314" s="18">
        <v>42927</v>
      </c>
      <c r="C314" s="18" t="s">
        <v>557</v>
      </c>
      <c r="D314" s="21">
        <v>54</v>
      </c>
      <c r="E314" s="22">
        <v>1</v>
      </c>
      <c r="F314" s="18" t="s">
        <v>414</v>
      </c>
      <c r="G314" s="29" t="str">
        <f>VLOOKUP(C314,DATA!$A$2:$G$243,2,FALSE)</f>
        <v>Light Grey  - XIRopeLaces</v>
      </c>
      <c r="H314" s="30">
        <f t="shared" si="12"/>
        <v>1</v>
      </c>
      <c r="I314" s="30">
        <f>VLOOKUP(C314,DATA!$A$2:$G$243,5,FALSE)</f>
        <v>7000</v>
      </c>
      <c r="J314" s="30">
        <f t="shared" si="14"/>
        <v>7000</v>
      </c>
      <c r="K314" s="31">
        <f>VLOOKUP(C314,DATA!$A$2:$G$243,3,FALSE)</f>
        <v>5.95</v>
      </c>
      <c r="L314" s="31">
        <f>VLOOKUP(C314,DATA!$A$2:$G$243,4,FALSE)</f>
        <v>2.3800000000000003</v>
      </c>
      <c r="M314" s="31">
        <f t="shared" si="13"/>
        <v>2.3800000000000003</v>
      </c>
      <c r="N314" s="25" t="str">
        <f>VLOOKUP(C314,DATA!$A$2:$G$243,6,FALSE)</f>
        <v>XI Rope Laces</v>
      </c>
      <c r="O314" s="16">
        <v>28605</v>
      </c>
    </row>
    <row r="315" spans="1:15" s="4" customFormat="1">
      <c r="A315" s="16" t="s">
        <v>6</v>
      </c>
      <c r="B315" s="18">
        <v>42927</v>
      </c>
      <c r="C315" s="18" t="s">
        <v>558</v>
      </c>
      <c r="D315" s="21">
        <v>45</v>
      </c>
      <c r="E315" s="22">
        <v>2</v>
      </c>
      <c r="F315" s="18" t="s">
        <v>414</v>
      </c>
      <c r="G315" s="29" t="str">
        <f>VLOOKUP(C315,DATA!$A$2:$G$243,2,FALSE)</f>
        <v>Navy Blue  - XIRopeLaces</v>
      </c>
      <c r="H315" s="30">
        <f t="shared" si="12"/>
        <v>2</v>
      </c>
      <c r="I315" s="30">
        <f>VLOOKUP(C315,DATA!$A$2:$G$243,5,FALSE)</f>
        <v>7000</v>
      </c>
      <c r="J315" s="30">
        <f t="shared" si="14"/>
        <v>14000</v>
      </c>
      <c r="K315" s="31">
        <f>VLOOKUP(C315,DATA!$A$2:$G$243,3,FALSE)</f>
        <v>5.95</v>
      </c>
      <c r="L315" s="31">
        <f>VLOOKUP(C315,DATA!$A$2:$G$243,4,FALSE)</f>
        <v>2.3800000000000003</v>
      </c>
      <c r="M315" s="31">
        <f t="shared" si="13"/>
        <v>4.7600000000000007</v>
      </c>
      <c r="N315" s="25" t="str">
        <f>VLOOKUP(C315,DATA!$A$2:$G$243,6,FALSE)</f>
        <v>XI Rope Laces</v>
      </c>
      <c r="O315" s="16">
        <v>28605</v>
      </c>
    </row>
    <row r="316" spans="1:15" s="4" customFormat="1">
      <c r="A316" s="16" t="s">
        <v>6</v>
      </c>
      <c r="B316" s="18">
        <v>42927</v>
      </c>
      <c r="C316" s="18" t="s">
        <v>558</v>
      </c>
      <c r="D316" s="21">
        <v>54</v>
      </c>
      <c r="E316" s="22">
        <v>2</v>
      </c>
      <c r="F316" s="18" t="s">
        <v>414</v>
      </c>
      <c r="G316" s="29" t="str">
        <f>VLOOKUP(C316,DATA!$A$2:$G$243,2,FALSE)</f>
        <v>Navy Blue  - XIRopeLaces</v>
      </c>
      <c r="H316" s="30">
        <f t="shared" si="12"/>
        <v>2</v>
      </c>
      <c r="I316" s="30">
        <f>VLOOKUP(C316,DATA!$A$2:$G$243,5,FALSE)</f>
        <v>7000</v>
      </c>
      <c r="J316" s="30">
        <f t="shared" si="14"/>
        <v>14000</v>
      </c>
      <c r="K316" s="31">
        <f>VLOOKUP(C316,DATA!$A$2:$G$243,3,FALSE)</f>
        <v>5.95</v>
      </c>
      <c r="L316" s="31">
        <f>VLOOKUP(C316,DATA!$A$2:$G$243,4,FALSE)</f>
        <v>2.3800000000000003</v>
      </c>
      <c r="M316" s="31">
        <f t="shared" si="13"/>
        <v>4.7600000000000007</v>
      </c>
      <c r="N316" s="25" t="str">
        <f>VLOOKUP(C316,DATA!$A$2:$G$243,6,FALSE)</f>
        <v>XI Rope Laces</v>
      </c>
      <c r="O316" s="16">
        <v>28605</v>
      </c>
    </row>
    <row r="317" spans="1:15" s="4" customFormat="1">
      <c r="A317" s="16" t="s">
        <v>6</v>
      </c>
      <c r="B317" s="18">
        <v>42927</v>
      </c>
      <c r="C317" s="18" t="s">
        <v>559</v>
      </c>
      <c r="D317" s="21">
        <v>45</v>
      </c>
      <c r="E317" s="22">
        <v>2</v>
      </c>
      <c r="F317" s="18" t="s">
        <v>414</v>
      </c>
      <c r="G317" s="29" t="str">
        <f>VLOOKUP(C317,DATA!$A$2:$G$243,2,FALSE)</f>
        <v>Red  - XILaces</v>
      </c>
      <c r="H317" s="30">
        <f t="shared" si="12"/>
        <v>2</v>
      </c>
      <c r="I317" s="30">
        <f>VLOOKUP(C317,DATA!$A$2:$G$243,5,FALSE)</f>
        <v>7000</v>
      </c>
      <c r="J317" s="30">
        <f t="shared" si="14"/>
        <v>14000</v>
      </c>
      <c r="K317" s="31">
        <f>VLOOKUP(C317,DATA!$A$2:$G$243,3,FALSE)</f>
        <v>5.95</v>
      </c>
      <c r="L317" s="31">
        <f>VLOOKUP(C317,DATA!$A$2:$G$243,4,FALSE)</f>
        <v>2.3800000000000003</v>
      </c>
      <c r="M317" s="31">
        <f t="shared" si="13"/>
        <v>4.7600000000000007</v>
      </c>
      <c r="N317" s="25" t="str">
        <f>VLOOKUP(C317,DATA!$A$2:$G$243,6,FALSE)</f>
        <v>XI Rope Laces</v>
      </c>
      <c r="O317" s="16">
        <v>28605</v>
      </c>
    </row>
    <row r="318" spans="1:15" s="4" customFormat="1">
      <c r="A318" s="16" t="s">
        <v>6</v>
      </c>
      <c r="B318" s="18">
        <v>42927</v>
      </c>
      <c r="C318" s="18" t="s">
        <v>559</v>
      </c>
      <c r="D318" s="21">
        <v>54</v>
      </c>
      <c r="E318" s="22">
        <v>2</v>
      </c>
      <c r="F318" s="18" t="s">
        <v>414</v>
      </c>
      <c r="G318" s="29" t="str">
        <f>VLOOKUP(C318,DATA!$A$2:$G$243,2,FALSE)</f>
        <v>Red  - XILaces</v>
      </c>
      <c r="H318" s="30">
        <f t="shared" si="12"/>
        <v>2</v>
      </c>
      <c r="I318" s="30">
        <f>VLOOKUP(C318,DATA!$A$2:$G$243,5,FALSE)</f>
        <v>7000</v>
      </c>
      <c r="J318" s="30">
        <f t="shared" si="14"/>
        <v>14000</v>
      </c>
      <c r="K318" s="31">
        <f>VLOOKUP(C318,DATA!$A$2:$G$243,3,FALSE)</f>
        <v>5.95</v>
      </c>
      <c r="L318" s="31">
        <f>VLOOKUP(C318,DATA!$A$2:$G$243,4,FALSE)</f>
        <v>2.3800000000000003</v>
      </c>
      <c r="M318" s="31">
        <f t="shared" si="13"/>
        <v>4.7600000000000007</v>
      </c>
      <c r="N318" s="25" t="str">
        <f>VLOOKUP(C318,DATA!$A$2:$G$243,6,FALSE)</f>
        <v>XI Rope Laces</v>
      </c>
      <c r="O318" s="16">
        <v>28605</v>
      </c>
    </row>
    <row r="319" spans="1:15" s="4" customFormat="1">
      <c r="A319" s="16" t="s">
        <v>6</v>
      </c>
      <c r="B319" s="18">
        <v>42927</v>
      </c>
      <c r="C319" s="18" t="s">
        <v>560</v>
      </c>
      <c r="D319" s="21">
        <v>45</v>
      </c>
      <c r="E319" s="22">
        <v>2</v>
      </c>
      <c r="F319" s="18" t="s">
        <v>414</v>
      </c>
      <c r="G319" s="29" t="str">
        <f>VLOOKUP(C319,DATA!$A$2:$G$243,2,FALSE)</f>
        <v>Royal Blue  - XIRopeLaces</v>
      </c>
      <c r="H319" s="30">
        <f t="shared" si="12"/>
        <v>2</v>
      </c>
      <c r="I319" s="30">
        <f>VLOOKUP(C319,DATA!$A$2:$G$243,5,FALSE)</f>
        <v>7000</v>
      </c>
      <c r="J319" s="30">
        <f t="shared" si="14"/>
        <v>14000</v>
      </c>
      <c r="K319" s="31">
        <f>VLOOKUP(C319,DATA!$A$2:$G$243,3,FALSE)</f>
        <v>5.95</v>
      </c>
      <c r="L319" s="31">
        <f>VLOOKUP(C319,DATA!$A$2:$G$243,4,FALSE)</f>
        <v>2.3800000000000003</v>
      </c>
      <c r="M319" s="31">
        <f t="shared" si="13"/>
        <v>4.7600000000000007</v>
      </c>
      <c r="N319" s="25" t="str">
        <f>VLOOKUP(C319,DATA!$A$2:$G$243,6,FALSE)</f>
        <v>XI Rope Laces</v>
      </c>
      <c r="O319" s="16">
        <v>28605</v>
      </c>
    </row>
    <row r="320" spans="1:15" s="4" customFormat="1">
      <c r="A320" s="16" t="s">
        <v>6</v>
      </c>
      <c r="B320" s="18">
        <v>42927</v>
      </c>
      <c r="C320" s="18" t="s">
        <v>560</v>
      </c>
      <c r="D320" s="21">
        <v>54</v>
      </c>
      <c r="E320" s="22">
        <v>2</v>
      </c>
      <c r="F320" s="18" t="s">
        <v>414</v>
      </c>
      <c r="G320" s="29" t="str">
        <f>VLOOKUP(C320,DATA!$A$2:$G$243,2,FALSE)</f>
        <v>Royal Blue  - XIRopeLaces</v>
      </c>
      <c r="H320" s="30">
        <f t="shared" si="12"/>
        <v>2</v>
      </c>
      <c r="I320" s="30">
        <f>VLOOKUP(C320,DATA!$A$2:$G$243,5,FALSE)</f>
        <v>7000</v>
      </c>
      <c r="J320" s="30">
        <f t="shared" si="14"/>
        <v>14000</v>
      </c>
      <c r="K320" s="31">
        <f>VLOOKUP(C320,DATA!$A$2:$G$243,3,FALSE)</f>
        <v>5.95</v>
      </c>
      <c r="L320" s="31">
        <f>VLOOKUP(C320,DATA!$A$2:$G$243,4,FALSE)</f>
        <v>2.3800000000000003</v>
      </c>
      <c r="M320" s="31">
        <f t="shared" si="13"/>
        <v>4.7600000000000007</v>
      </c>
      <c r="N320" s="25" t="str">
        <f>VLOOKUP(C320,DATA!$A$2:$G$243,6,FALSE)</f>
        <v>XI Rope Laces</v>
      </c>
      <c r="O320" s="16">
        <v>28605</v>
      </c>
    </row>
    <row r="321" spans="1:15" s="4" customFormat="1">
      <c r="A321" s="16" t="s">
        <v>6</v>
      </c>
      <c r="B321" s="18">
        <v>42927</v>
      </c>
      <c r="C321" s="18" t="s">
        <v>561</v>
      </c>
      <c r="D321" s="21">
        <v>45</v>
      </c>
      <c r="E321" s="22">
        <v>2</v>
      </c>
      <c r="F321" s="18" t="s">
        <v>414</v>
      </c>
      <c r="G321" s="29" t="str">
        <f>VLOOKUP(C321,DATA!$A$2:$G$243,2,FALSE)</f>
        <v>White  - XIRopeLaces</v>
      </c>
      <c r="H321" s="30">
        <f t="shared" si="12"/>
        <v>2</v>
      </c>
      <c r="I321" s="30">
        <f>VLOOKUP(C321,DATA!$A$2:$G$243,5,FALSE)</f>
        <v>7000</v>
      </c>
      <c r="J321" s="30">
        <f t="shared" si="14"/>
        <v>14000</v>
      </c>
      <c r="K321" s="31">
        <f>VLOOKUP(C321,DATA!$A$2:$G$243,3,FALSE)</f>
        <v>5.95</v>
      </c>
      <c r="L321" s="31">
        <f>VLOOKUP(C321,DATA!$A$2:$G$243,4,FALSE)</f>
        <v>2.3800000000000003</v>
      </c>
      <c r="M321" s="31">
        <f t="shared" si="13"/>
        <v>4.7600000000000007</v>
      </c>
      <c r="N321" s="25" t="str">
        <f>VLOOKUP(C321,DATA!$A$2:$G$243,6,FALSE)</f>
        <v>XI Rope Laces</v>
      </c>
      <c r="O321" s="16">
        <v>28605</v>
      </c>
    </row>
    <row r="322" spans="1:15" s="4" customFormat="1">
      <c r="A322" s="16" t="s">
        <v>6</v>
      </c>
      <c r="B322" s="18">
        <v>42927</v>
      </c>
      <c r="C322" s="18" t="s">
        <v>561</v>
      </c>
      <c r="D322" s="21">
        <v>54</v>
      </c>
      <c r="E322" s="22">
        <v>2</v>
      </c>
      <c r="F322" s="18" t="s">
        <v>414</v>
      </c>
      <c r="G322" s="29" t="str">
        <f>VLOOKUP(C322,DATA!$A$2:$G$243,2,FALSE)</f>
        <v>White  - XIRopeLaces</v>
      </c>
      <c r="H322" s="30">
        <f t="shared" ref="H322:H385" si="15">IF(F322="입",E322,-1*E322)</f>
        <v>2</v>
      </c>
      <c r="I322" s="30">
        <f>VLOOKUP(C322,DATA!$A$2:$G$243,5,FALSE)</f>
        <v>7000</v>
      </c>
      <c r="J322" s="30">
        <f t="shared" si="14"/>
        <v>14000</v>
      </c>
      <c r="K322" s="31">
        <f>VLOOKUP(C322,DATA!$A$2:$G$243,3,FALSE)</f>
        <v>5.95</v>
      </c>
      <c r="L322" s="31">
        <f>VLOOKUP(C322,DATA!$A$2:$G$243,4,FALSE)</f>
        <v>2.3800000000000003</v>
      </c>
      <c r="M322" s="31">
        <f t="shared" ref="M322:M385" si="16">L322*E322</f>
        <v>4.7600000000000007</v>
      </c>
      <c r="N322" s="25" t="str">
        <f>VLOOKUP(C322,DATA!$A$2:$G$243,6,FALSE)</f>
        <v>XI Rope Laces</v>
      </c>
      <c r="O322" s="16">
        <v>28605</v>
      </c>
    </row>
    <row r="323" spans="1:15" s="4" customFormat="1">
      <c r="A323" s="16" t="s">
        <v>6</v>
      </c>
      <c r="B323" s="18">
        <v>42927</v>
      </c>
      <c r="C323" s="18" t="s">
        <v>429</v>
      </c>
      <c r="D323" s="19">
        <v>36</v>
      </c>
      <c r="E323" s="22">
        <v>3</v>
      </c>
      <c r="F323" s="18" t="s">
        <v>414</v>
      </c>
      <c r="G323" s="29" t="str">
        <f>VLOOKUP(C323,DATA!$A$2:$G$243,2,FALSE)</f>
        <v>Beige Roshe - StyleLaces</v>
      </c>
      <c r="H323" s="30">
        <f t="shared" si="15"/>
        <v>3</v>
      </c>
      <c r="I323" s="30">
        <f>VLOOKUP(C323,DATA!$A$2:$G$243,5,FALSE)</f>
        <v>5000</v>
      </c>
      <c r="J323" s="30">
        <f t="shared" ref="J323:J386" si="17">I323*E323</f>
        <v>15000</v>
      </c>
      <c r="K323" s="31">
        <f>VLOOKUP(C323,DATA!$A$2:$G$243,3,FALSE)</f>
        <v>3.95</v>
      </c>
      <c r="L323" s="31">
        <f>VLOOKUP(C323,DATA!$A$2:$G$243,4,FALSE)</f>
        <v>1.58</v>
      </c>
      <c r="M323" s="31">
        <f t="shared" si="16"/>
        <v>4.74</v>
      </c>
      <c r="N323" s="25" t="str">
        <f>VLOOKUP(C323,DATA!$A$2:$G$243,6,FALSE)</f>
        <v>Roshe-Style Laces</v>
      </c>
      <c r="O323" s="16">
        <v>28605</v>
      </c>
    </row>
    <row r="324" spans="1:15" s="4" customFormat="1">
      <c r="A324" s="16" t="s">
        <v>6</v>
      </c>
      <c r="B324" s="18">
        <v>42927</v>
      </c>
      <c r="C324" s="18" t="s">
        <v>562</v>
      </c>
      <c r="D324" s="21">
        <v>36</v>
      </c>
      <c r="E324" s="22">
        <v>3</v>
      </c>
      <c r="F324" s="18" t="s">
        <v>414</v>
      </c>
      <c r="G324" s="29" t="str">
        <f>VLOOKUP(C324,DATA!$A$2:$G$243,2,FALSE)</f>
        <v>Black Roshe - StyleLaces</v>
      </c>
      <c r="H324" s="30">
        <f t="shared" si="15"/>
        <v>3</v>
      </c>
      <c r="I324" s="30">
        <f>VLOOKUP(C324,DATA!$A$2:$G$243,5,FALSE)</f>
        <v>5000</v>
      </c>
      <c r="J324" s="30">
        <f t="shared" si="17"/>
        <v>15000</v>
      </c>
      <c r="K324" s="31">
        <f>VLOOKUP(C324,DATA!$A$2:$G$243,3,FALSE)</f>
        <v>3.95</v>
      </c>
      <c r="L324" s="31">
        <f>VLOOKUP(C324,DATA!$A$2:$G$243,4,FALSE)</f>
        <v>1.58</v>
      </c>
      <c r="M324" s="31">
        <f t="shared" si="16"/>
        <v>4.74</v>
      </c>
      <c r="N324" s="25" t="str">
        <f>VLOOKUP(C324,DATA!$A$2:$G$243,6,FALSE)</f>
        <v>Roshe-Style Laces</v>
      </c>
      <c r="O324" s="16">
        <v>28605</v>
      </c>
    </row>
    <row r="325" spans="1:15" s="4" customFormat="1">
      <c r="A325" s="16" t="s">
        <v>6</v>
      </c>
      <c r="B325" s="18">
        <v>42927</v>
      </c>
      <c r="C325" s="18" t="s">
        <v>563</v>
      </c>
      <c r="D325" s="21">
        <v>36</v>
      </c>
      <c r="E325" s="22">
        <v>3</v>
      </c>
      <c r="F325" s="18" t="s">
        <v>414</v>
      </c>
      <c r="G325" s="29" t="str">
        <f>VLOOKUP(C325,DATA!$A$2:$G$243,2,FALSE)</f>
        <v>Bone Roshe - StyleLaces</v>
      </c>
      <c r="H325" s="30">
        <f t="shared" si="15"/>
        <v>3</v>
      </c>
      <c r="I325" s="30">
        <f>VLOOKUP(C325,DATA!$A$2:$G$243,5,FALSE)</f>
        <v>5000</v>
      </c>
      <c r="J325" s="30">
        <f t="shared" si="17"/>
        <v>15000</v>
      </c>
      <c r="K325" s="31">
        <f>VLOOKUP(C325,DATA!$A$2:$G$243,3,FALSE)</f>
        <v>3.95</v>
      </c>
      <c r="L325" s="31">
        <f>VLOOKUP(C325,DATA!$A$2:$G$243,4,FALSE)</f>
        <v>1.58</v>
      </c>
      <c r="M325" s="31">
        <f t="shared" si="16"/>
        <v>4.74</v>
      </c>
      <c r="N325" s="25" t="str">
        <f>VLOOKUP(C325,DATA!$A$2:$G$243,6,FALSE)</f>
        <v>Roshe-Style Laces</v>
      </c>
      <c r="O325" s="16">
        <v>28605</v>
      </c>
    </row>
    <row r="326" spans="1:15" s="4" customFormat="1">
      <c r="A326" s="16" t="s">
        <v>6</v>
      </c>
      <c r="B326" s="18">
        <v>42927</v>
      </c>
      <c r="C326" s="18" t="s">
        <v>564</v>
      </c>
      <c r="D326" s="21">
        <v>36</v>
      </c>
      <c r="E326" s="22">
        <v>3</v>
      </c>
      <c r="F326" s="18" t="s">
        <v>414</v>
      </c>
      <c r="G326" s="29" t="str">
        <f>VLOOKUP(C326,DATA!$A$2:$G$243,2,FALSE)</f>
        <v>Cappuccino Roshe - StyleLaces</v>
      </c>
      <c r="H326" s="30">
        <f t="shared" si="15"/>
        <v>3</v>
      </c>
      <c r="I326" s="30">
        <f>VLOOKUP(C326,DATA!$A$2:$G$243,5,FALSE)</f>
        <v>5000</v>
      </c>
      <c r="J326" s="30">
        <f t="shared" si="17"/>
        <v>15000</v>
      </c>
      <c r="K326" s="31">
        <f>VLOOKUP(C326,DATA!$A$2:$G$243,3,FALSE)</f>
        <v>3.95</v>
      </c>
      <c r="L326" s="31">
        <f>VLOOKUP(C326,DATA!$A$2:$G$243,4,FALSE)</f>
        <v>1.58</v>
      </c>
      <c r="M326" s="31">
        <f t="shared" si="16"/>
        <v>4.74</v>
      </c>
      <c r="N326" s="25" t="str">
        <f>VLOOKUP(C326,DATA!$A$2:$G$243,6,FALSE)</f>
        <v>Roshe-Style Laces</v>
      </c>
      <c r="O326" s="16">
        <v>28605</v>
      </c>
    </row>
    <row r="327" spans="1:15" s="4" customFormat="1">
      <c r="A327" s="16" t="s">
        <v>6</v>
      </c>
      <c r="B327" s="18">
        <v>42927</v>
      </c>
      <c r="C327" s="18" t="s">
        <v>565</v>
      </c>
      <c r="D327" s="21">
        <v>36</v>
      </c>
      <c r="E327" s="22">
        <v>3</v>
      </c>
      <c r="F327" s="18" t="s">
        <v>414</v>
      </c>
      <c r="G327" s="29" t="str">
        <f>VLOOKUP(C327,DATA!$A$2:$G$243,2,FALSE)</f>
        <v>Chocolate Roshe - StyleLaces</v>
      </c>
      <c r="H327" s="30">
        <f t="shared" si="15"/>
        <v>3</v>
      </c>
      <c r="I327" s="30">
        <f>VLOOKUP(C327,DATA!$A$2:$G$243,5,FALSE)</f>
        <v>5000</v>
      </c>
      <c r="J327" s="30">
        <f t="shared" si="17"/>
        <v>15000</v>
      </c>
      <c r="K327" s="31">
        <f>VLOOKUP(C327,DATA!$A$2:$G$243,3,FALSE)</f>
        <v>3.95</v>
      </c>
      <c r="L327" s="31">
        <f>VLOOKUP(C327,DATA!$A$2:$G$243,4,FALSE)</f>
        <v>1.58</v>
      </c>
      <c r="M327" s="31">
        <f t="shared" si="16"/>
        <v>4.74</v>
      </c>
      <c r="N327" s="25" t="str">
        <f>VLOOKUP(C327,DATA!$A$2:$G$243,6,FALSE)</f>
        <v>Roshe-Style Laces</v>
      </c>
      <c r="O327" s="16">
        <v>28605</v>
      </c>
    </row>
    <row r="328" spans="1:15" s="4" customFormat="1">
      <c r="A328" s="16" t="s">
        <v>6</v>
      </c>
      <c r="B328" s="18">
        <v>42927</v>
      </c>
      <c r="C328" s="18" t="s">
        <v>566</v>
      </c>
      <c r="D328" s="21">
        <v>36</v>
      </c>
      <c r="E328" s="22">
        <v>3</v>
      </c>
      <c r="F328" s="18" t="s">
        <v>414</v>
      </c>
      <c r="G328" s="29" t="str">
        <f>VLOOKUP(C328,DATA!$A$2:$G$243,2,FALSE)</f>
        <v>Dark Brown Roshe - StyleLaces</v>
      </c>
      <c r="H328" s="30">
        <f t="shared" si="15"/>
        <v>3</v>
      </c>
      <c r="I328" s="30">
        <f>VLOOKUP(C328,DATA!$A$2:$G$243,5,FALSE)</f>
        <v>5000</v>
      </c>
      <c r="J328" s="30">
        <f t="shared" si="17"/>
        <v>15000</v>
      </c>
      <c r="K328" s="31">
        <f>VLOOKUP(C328,DATA!$A$2:$G$243,3,FALSE)</f>
        <v>3.95</v>
      </c>
      <c r="L328" s="31">
        <f>VLOOKUP(C328,DATA!$A$2:$G$243,4,FALSE)</f>
        <v>1.58</v>
      </c>
      <c r="M328" s="31">
        <f t="shared" si="16"/>
        <v>4.74</v>
      </c>
      <c r="N328" s="25" t="str">
        <f>VLOOKUP(C328,DATA!$A$2:$G$243,6,FALSE)</f>
        <v>Roshe-Style Laces</v>
      </c>
      <c r="O328" s="16">
        <v>28605</v>
      </c>
    </row>
    <row r="329" spans="1:15" s="4" customFormat="1">
      <c r="A329" s="16" t="s">
        <v>6</v>
      </c>
      <c r="B329" s="18">
        <v>42927</v>
      </c>
      <c r="C329" s="18" t="s">
        <v>567</v>
      </c>
      <c r="D329" s="21">
        <v>36</v>
      </c>
      <c r="E329" s="22">
        <v>3</v>
      </c>
      <c r="F329" s="18" t="s">
        <v>414</v>
      </c>
      <c r="G329" s="29" t="str">
        <f>VLOOKUP(C329,DATA!$A$2:$G$243,2,FALSE)</f>
        <v>Hunter Green Roshe - StyleLaces</v>
      </c>
      <c r="H329" s="30">
        <f t="shared" si="15"/>
        <v>3</v>
      </c>
      <c r="I329" s="30">
        <f>VLOOKUP(C329,DATA!$A$2:$G$243,5,FALSE)</f>
        <v>5000</v>
      </c>
      <c r="J329" s="30">
        <f t="shared" si="17"/>
        <v>15000</v>
      </c>
      <c r="K329" s="31">
        <f>VLOOKUP(C329,DATA!$A$2:$G$243,3,FALSE)</f>
        <v>3.95</v>
      </c>
      <c r="L329" s="31">
        <f>VLOOKUP(C329,DATA!$A$2:$G$243,4,FALSE)</f>
        <v>1.58</v>
      </c>
      <c r="M329" s="31">
        <f t="shared" si="16"/>
        <v>4.74</v>
      </c>
      <c r="N329" s="25" t="str">
        <f>VLOOKUP(C329,DATA!$A$2:$G$243,6,FALSE)</f>
        <v>Roshe-Style Laces</v>
      </c>
      <c r="O329" s="16">
        <v>28605</v>
      </c>
    </row>
    <row r="330" spans="1:15" s="4" customFormat="1">
      <c r="A330" s="16" t="s">
        <v>6</v>
      </c>
      <c r="B330" s="18">
        <v>42927</v>
      </c>
      <c r="C330" s="18" t="s">
        <v>568</v>
      </c>
      <c r="D330" s="21">
        <v>36</v>
      </c>
      <c r="E330" s="22">
        <v>3</v>
      </c>
      <c r="F330" s="18" t="s">
        <v>414</v>
      </c>
      <c r="G330" s="29" t="str">
        <f>VLOOKUP(C330,DATA!$A$2:$G$243,2,FALSE)</f>
        <v>Navy Blue Roshe - StyleLaces</v>
      </c>
      <c r="H330" s="30">
        <f t="shared" si="15"/>
        <v>3</v>
      </c>
      <c r="I330" s="30">
        <f>VLOOKUP(C330,DATA!$A$2:$G$243,5,FALSE)</f>
        <v>5000</v>
      </c>
      <c r="J330" s="30">
        <f t="shared" si="17"/>
        <v>15000</v>
      </c>
      <c r="K330" s="31">
        <f>VLOOKUP(C330,DATA!$A$2:$G$243,3,FALSE)</f>
        <v>3.95</v>
      </c>
      <c r="L330" s="31">
        <f>VLOOKUP(C330,DATA!$A$2:$G$243,4,FALSE)</f>
        <v>1.58</v>
      </c>
      <c r="M330" s="31">
        <f t="shared" si="16"/>
        <v>4.74</v>
      </c>
      <c r="N330" s="25" t="str">
        <f>VLOOKUP(C330,DATA!$A$2:$G$243,6,FALSE)</f>
        <v>Roshe-Style Laces</v>
      </c>
      <c r="O330" s="16">
        <v>28605</v>
      </c>
    </row>
    <row r="331" spans="1:15" s="4" customFormat="1">
      <c r="A331" s="16" t="s">
        <v>6</v>
      </c>
      <c r="B331" s="18">
        <v>42927</v>
      </c>
      <c r="C331" s="18" t="s">
        <v>569</v>
      </c>
      <c r="D331" s="21">
        <v>36</v>
      </c>
      <c r="E331" s="22">
        <v>3</v>
      </c>
      <c r="F331" s="18" t="s">
        <v>414</v>
      </c>
      <c r="G331" s="29" t="str">
        <f>VLOOKUP(C331,DATA!$A$2:$G$243,2,FALSE)</f>
        <v>Neon Green Roshe - StyleLaces</v>
      </c>
      <c r="H331" s="30">
        <f t="shared" si="15"/>
        <v>3</v>
      </c>
      <c r="I331" s="30">
        <f>VLOOKUP(C331,DATA!$A$2:$G$243,5,FALSE)</f>
        <v>5000</v>
      </c>
      <c r="J331" s="30">
        <f t="shared" si="17"/>
        <v>15000</v>
      </c>
      <c r="K331" s="31">
        <f>VLOOKUP(C331,DATA!$A$2:$G$243,3,FALSE)</f>
        <v>3.95</v>
      </c>
      <c r="L331" s="31">
        <f>VLOOKUP(C331,DATA!$A$2:$G$243,4,FALSE)</f>
        <v>1.58</v>
      </c>
      <c r="M331" s="31">
        <f t="shared" si="16"/>
        <v>4.74</v>
      </c>
      <c r="N331" s="25" t="str">
        <f>VLOOKUP(C331,DATA!$A$2:$G$243,6,FALSE)</f>
        <v>Roshe-Style Laces</v>
      </c>
      <c r="O331" s="16">
        <v>28605</v>
      </c>
    </row>
    <row r="332" spans="1:15" s="4" customFormat="1">
      <c r="A332" s="16" t="s">
        <v>6</v>
      </c>
      <c r="B332" s="18">
        <v>42927</v>
      </c>
      <c r="C332" s="18" t="s">
        <v>570</v>
      </c>
      <c r="D332" s="21">
        <v>36</v>
      </c>
      <c r="E332" s="22">
        <v>3</v>
      </c>
      <c r="F332" s="18" t="s">
        <v>414</v>
      </c>
      <c r="G332" s="29" t="str">
        <f>VLOOKUP(C332,DATA!$A$2:$G$243,2,FALSE)</f>
        <v>Neon Pink Roshe - StyleLaces</v>
      </c>
      <c r="H332" s="30">
        <f t="shared" si="15"/>
        <v>3</v>
      </c>
      <c r="I332" s="30">
        <f>VLOOKUP(C332,DATA!$A$2:$G$243,5,FALSE)</f>
        <v>5000</v>
      </c>
      <c r="J332" s="30">
        <f t="shared" si="17"/>
        <v>15000</v>
      </c>
      <c r="K332" s="31">
        <f>VLOOKUP(C332,DATA!$A$2:$G$243,3,FALSE)</f>
        <v>3.95</v>
      </c>
      <c r="L332" s="31">
        <f>VLOOKUP(C332,DATA!$A$2:$G$243,4,FALSE)</f>
        <v>1.58</v>
      </c>
      <c r="M332" s="31">
        <f t="shared" si="16"/>
        <v>4.74</v>
      </c>
      <c r="N332" s="25" t="str">
        <f>VLOOKUP(C332,DATA!$A$2:$G$243,6,FALSE)</f>
        <v>Roshe-Style Laces</v>
      </c>
      <c r="O332" s="16">
        <v>28605</v>
      </c>
    </row>
    <row r="333" spans="1:15" s="4" customFormat="1">
      <c r="A333" s="16" t="s">
        <v>6</v>
      </c>
      <c r="B333" s="18">
        <v>42927</v>
      </c>
      <c r="C333" s="18" t="s">
        <v>571</v>
      </c>
      <c r="D333" s="21">
        <v>36</v>
      </c>
      <c r="E333" s="22">
        <v>3</v>
      </c>
      <c r="F333" s="18" t="s">
        <v>414</v>
      </c>
      <c r="G333" s="29" t="str">
        <f>VLOOKUP(C333,DATA!$A$2:$G$243,2,FALSE)</f>
        <v>Red Roshe - StyleLaces</v>
      </c>
      <c r="H333" s="30">
        <f t="shared" si="15"/>
        <v>3</v>
      </c>
      <c r="I333" s="30">
        <f>VLOOKUP(C333,DATA!$A$2:$G$243,5,FALSE)</f>
        <v>5000</v>
      </c>
      <c r="J333" s="30">
        <f t="shared" si="17"/>
        <v>15000</v>
      </c>
      <c r="K333" s="31">
        <f>VLOOKUP(C333,DATA!$A$2:$G$243,3,FALSE)</f>
        <v>3.95</v>
      </c>
      <c r="L333" s="31">
        <f>VLOOKUP(C333,DATA!$A$2:$G$243,4,FALSE)</f>
        <v>1.58</v>
      </c>
      <c r="M333" s="31">
        <f t="shared" si="16"/>
        <v>4.74</v>
      </c>
      <c r="N333" s="25" t="str">
        <f>VLOOKUP(C333,DATA!$A$2:$G$243,6,FALSE)</f>
        <v>Roshe-Style Laces</v>
      </c>
      <c r="O333" s="16">
        <v>28605</v>
      </c>
    </row>
    <row r="334" spans="1:15" s="4" customFormat="1">
      <c r="A334" s="16" t="s">
        <v>6</v>
      </c>
      <c r="B334" s="18">
        <v>42927</v>
      </c>
      <c r="C334" s="18" t="s">
        <v>572</v>
      </c>
      <c r="D334" s="21">
        <v>36</v>
      </c>
      <c r="E334" s="22">
        <v>3</v>
      </c>
      <c r="F334" s="18" t="s">
        <v>414</v>
      </c>
      <c r="G334" s="29" t="str">
        <f>VLOOKUP(C334,DATA!$A$2:$G$243,2,FALSE)</f>
        <v>White Roshe - StyleLaces</v>
      </c>
      <c r="H334" s="30">
        <f t="shared" si="15"/>
        <v>3</v>
      </c>
      <c r="I334" s="30">
        <f>VLOOKUP(C334,DATA!$A$2:$G$243,5,FALSE)</f>
        <v>5000</v>
      </c>
      <c r="J334" s="30">
        <f t="shared" si="17"/>
        <v>15000</v>
      </c>
      <c r="K334" s="31">
        <f>VLOOKUP(C334,DATA!$A$2:$G$243,3,FALSE)</f>
        <v>3.95</v>
      </c>
      <c r="L334" s="31">
        <f>VLOOKUP(C334,DATA!$A$2:$G$243,4,FALSE)</f>
        <v>1.58</v>
      </c>
      <c r="M334" s="31">
        <f t="shared" si="16"/>
        <v>4.74</v>
      </c>
      <c r="N334" s="25" t="str">
        <f>VLOOKUP(C334,DATA!$A$2:$G$243,6,FALSE)</f>
        <v>Roshe-Style Laces</v>
      </c>
      <c r="O334" s="16">
        <v>28605</v>
      </c>
    </row>
    <row r="335" spans="1:15" s="4" customFormat="1">
      <c r="A335" s="16" t="s">
        <v>6</v>
      </c>
      <c r="B335" s="18">
        <v>42927</v>
      </c>
      <c r="C335" s="18" t="s">
        <v>573</v>
      </c>
      <c r="D335" s="21">
        <v>36</v>
      </c>
      <c r="E335" s="22">
        <v>3</v>
      </c>
      <c r="F335" s="18" t="s">
        <v>414</v>
      </c>
      <c r="G335" s="29" t="str">
        <f>VLOOKUP(C335,DATA!$A$2:$G$243,2,FALSE)</f>
        <v>Yellow Roshe - StyleLaces</v>
      </c>
      <c r="H335" s="30">
        <f t="shared" si="15"/>
        <v>3</v>
      </c>
      <c r="I335" s="30">
        <f>VLOOKUP(C335,DATA!$A$2:$G$243,5,FALSE)</f>
        <v>5000</v>
      </c>
      <c r="J335" s="30">
        <f t="shared" si="17"/>
        <v>15000</v>
      </c>
      <c r="K335" s="31">
        <f>VLOOKUP(C335,DATA!$A$2:$G$243,3,FALSE)</f>
        <v>3.95</v>
      </c>
      <c r="L335" s="31">
        <f>VLOOKUP(C335,DATA!$A$2:$G$243,4,FALSE)</f>
        <v>1.58</v>
      </c>
      <c r="M335" s="31">
        <f t="shared" si="16"/>
        <v>4.74</v>
      </c>
      <c r="N335" s="25" t="str">
        <f>VLOOKUP(C335,DATA!$A$2:$G$243,6,FALSE)</f>
        <v>Roshe-Style Laces</v>
      </c>
      <c r="O335" s="16">
        <v>28605</v>
      </c>
    </row>
    <row r="336" spans="1:15" s="4" customFormat="1">
      <c r="A336" s="16" t="s">
        <v>6</v>
      </c>
      <c r="B336" s="18">
        <v>42927</v>
      </c>
      <c r="C336" s="18" t="s">
        <v>431</v>
      </c>
      <c r="D336" s="19">
        <v>36</v>
      </c>
      <c r="E336" s="22">
        <v>2</v>
      </c>
      <c r="F336" s="18" t="s">
        <v>414</v>
      </c>
      <c r="G336" s="29" t="str">
        <f>VLOOKUP(C336,DATA!$A$2:$G$243,2,FALSE)</f>
        <v>Black Luxury Leather Laces - GoldPlated</v>
      </c>
      <c r="H336" s="30">
        <f t="shared" si="15"/>
        <v>2</v>
      </c>
      <c r="I336" s="30">
        <f>VLOOKUP(C336,DATA!$A$2:$G$243,5,FALSE)</f>
        <v>25000</v>
      </c>
      <c r="J336" s="30">
        <f t="shared" si="17"/>
        <v>50000</v>
      </c>
      <c r="K336" s="31">
        <f>VLOOKUP(C336,DATA!$A$2:$G$243,3,FALSE)</f>
        <v>19.95</v>
      </c>
      <c r="L336" s="31">
        <f>VLOOKUP(C336,DATA!$A$2:$G$243,4,FALSE)</f>
        <v>7.98</v>
      </c>
      <c r="M336" s="31">
        <f t="shared" si="16"/>
        <v>15.96</v>
      </c>
      <c r="N336" s="25" t="str">
        <f>VLOOKUP(C336,DATA!$A$2:$G$243,6,FALSE)</f>
        <v>Luxury Leather Laces</v>
      </c>
      <c r="O336" s="16">
        <v>28605</v>
      </c>
    </row>
    <row r="337" spans="1:15" s="4" customFormat="1">
      <c r="A337" s="16" t="s">
        <v>6</v>
      </c>
      <c r="B337" s="18">
        <v>42927</v>
      </c>
      <c r="C337" s="18" t="s">
        <v>431</v>
      </c>
      <c r="D337" s="21">
        <v>45</v>
      </c>
      <c r="E337" s="22">
        <v>3</v>
      </c>
      <c r="F337" s="18" t="s">
        <v>414</v>
      </c>
      <c r="G337" s="29" t="str">
        <f>VLOOKUP(C337,DATA!$A$2:$G$243,2,FALSE)</f>
        <v>Black Luxury Leather Laces - GoldPlated</v>
      </c>
      <c r="H337" s="30">
        <f t="shared" si="15"/>
        <v>3</v>
      </c>
      <c r="I337" s="30">
        <f>VLOOKUP(C337,DATA!$A$2:$G$243,5,FALSE)</f>
        <v>25000</v>
      </c>
      <c r="J337" s="30">
        <f t="shared" si="17"/>
        <v>75000</v>
      </c>
      <c r="K337" s="31">
        <f>VLOOKUP(C337,DATA!$A$2:$G$243,3,FALSE)</f>
        <v>19.95</v>
      </c>
      <c r="L337" s="31">
        <f>VLOOKUP(C337,DATA!$A$2:$G$243,4,FALSE)</f>
        <v>7.98</v>
      </c>
      <c r="M337" s="31">
        <f t="shared" si="16"/>
        <v>23.94</v>
      </c>
      <c r="N337" s="25" t="str">
        <f>VLOOKUP(C337,DATA!$A$2:$G$243,6,FALSE)</f>
        <v>Luxury Leather Laces</v>
      </c>
      <c r="O337" s="16">
        <v>28605</v>
      </c>
    </row>
    <row r="338" spans="1:15" s="4" customFormat="1">
      <c r="A338" s="16" t="s">
        <v>6</v>
      </c>
      <c r="B338" s="18">
        <v>42927</v>
      </c>
      <c r="C338" s="18" t="s">
        <v>431</v>
      </c>
      <c r="D338" s="21">
        <v>54</v>
      </c>
      <c r="E338" s="22">
        <v>3</v>
      </c>
      <c r="F338" s="18" t="s">
        <v>414</v>
      </c>
      <c r="G338" s="29" t="str">
        <f>VLOOKUP(C338,DATA!$A$2:$G$243,2,FALSE)</f>
        <v>Black Luxury Leather Laces - GoldPlated</v>
      </c>
      <c r="H338" s="30">
        <f t="shared" si="15"/>
        <v>3</v>
      </c>
      <c r="I338" s="30">
        <f>VLOOKUP(C338,DATA!$A$2:$G$243,5,FALSE)</f>
        <v>25000</v>
      </c>
      <c r="J338" s="30">
        <f t="shared" si="17"/>
        <v>75000</v>
      </c>
      <c r="K338" s="31">
        <f>VLOOKUP(C338,DATA!$A$2:$G$243,3,FALSE)</f>
        <v>19.95</v>
      </c>
      <c r="L338" s="31">
        <f>VLOOKUP(C338,DATA!$A$2:$G$243,4,FALSE)</f>
        <v>7.98</v>
      </c>
      <c r="M338" s="31">
        <f t="shared" si="16"/>
        <v>23.94</v>
      </c>
      <c r="N338" s="25" t="str">
        <f>VLOOKUP(C338,DATA!$A$2:$G$243,6,FALSE)</f>
        <v>Luxury Leather Laces</v>
      </c>
      <c r="O338" s="16">
        <v>28605</v>
      </c>
    </row>
    <row r="339" spans="1:15" s="4" customFormat="1">
      <c r="A339" s="16" t="s">
        <v>6</v>
      </c>
      <c r="B339" s="18">
        <v>42927</v>
      </c>
      <c r="C339" s="18" t="s">
        <v>431</v>
      </c>
      <c r="D339" s="21">
        <v>63</v>
      </c>
      <c r="E339" s="22">
        <v>2</v>
      </c>
      <c r="F339" s="18" t="s">
        <v>414</v>
      </c>
      <c r="G339" s="29" t="str">
        <f>VLOOKUP(C339,DATA!$A$2:$G$243,2,FALSE)</f>
        <v>Black Luxury Leather Laces - GoldPlated</v>
      </c>
      <c r="H339" s="30">
        <f t="shared" si="15"/>
        <v>2</v>
      </c>
      <c r="I339" s="30">
        <f>VLOOKUP(C339,DATA!$A$2:$G$243,5,FALSE)</f>
        <v>25000</v>
      </c>
      <c r="J339" s="30">
        <f t="shared" si="17"/>
        <v>50000</v>
      </c>
      <c r="K339" s="31">
        <f>VLOOKUP(C339,DATA!$A$2:$G$243,3,FALSE)</f>
        <v>19.95</v>
      </c>
      <c r="L339" s="31">
        <f>VLOOKUP(C339,DATA!$A$2:$G$243,4,FALSE)</f>
        <v>7.98</v>
      </c>
      <c r="M339" s="31">
        <f t="shared" si="16"/>
        <v>15.96</v>
      </c>
      <c r="N339" s="25" t="str">
        <f>VLOOKUP(C339,DATA!$A$2:$G$243,6,FALSE)</f>
        <v>Luxury Leather Laces</v>
      </c>
      <c r="O339" s="16">
        <v>28605</v>
      </c>
    </row>
    <row r="340" spans="1:15" s="4" customFormat="1">
      <c r="A340" s="16" t="s">
        <v>6</v>
      </c>
      <c r="B340" s="18">
        <v>42927</v>
      </c>
      <c r="C340" s="18" t="s">
        <v>574</v>
      </c>
      <c r="D340" s="21">
        <v>36</v>
      </c>
      <c r="E340" s="22">
        <v>2</v>
      </c>
      <c r="F340" s="18" t="s">
        <v>414</v>
      </c>
      <c r="G340" s="29" t="str">
        <f>VLOOKUP(C340,DATA!$A$2:$G$243,2,FALSE)</f>
        <v>Black Luxury Leather Laces - GunmetalPlated</v>
      </c>
      <c r="H340" s="30">
        <f t="shared" si="15"/>
        <v>2</v>
      </c>
      <c r="I340" s="30">
        <f>VLOOKUP(C340,DATA!$A$2:$G$243,5,FALSE)</f>
        <v>25000</v>
      </c>
      <c r="J340" s="30">
        <f t="shared" si="17"/>
        <v>50000</v>
      </c>
      <c r="K340" s="31">
        <f>VLOOKUP(C340,DATA!$A$2:$G$243,3,FALSE)</f>
        <v>19.95</v>
      </c>
      <c r="L340" s="31">
        <f>VLOOKUP(C340,DATA!$A$2:$G$243,4,FALSE)</f>
        <v>7.98</v>
      </c>
      <c r="M340" s="31">
        <f t="shared" si="16"/>
        <v>15.96</v>
      </c>
      <c r="N340" s="25" t="str">
        <f>VLOOKUP(C340,DATA!$A$2:$G$243,6,FALSE)</f>
        <v>Luxury Leather Laces</v>
      </c>
      <c r="O340" s="16">
        <v>28605</v>
      </c>
    </row>
    <row r="341" spans="1:15" s="4" customFormat="1">
      <c r="A341" s="16" t="s">
        <v>6</v>
      </c>
      <c r="B341" s="18">
        <v>42927</v>
      </c>
      <c r="C341" s="18" t="s">
        <v>574</v>
      </c>
      <c r="D341" s="21">
        <v>45</v>
      </c>
      <c r="E341" s="22">
        <v>3</v>
      </c>
      <c r="F341" s="18" t="s">
        <v>414</v>
      </c>
      <c r="G341" s="29" t="str">
        <f>VLOOKUP(C341,DATA!$A$2:$G$243,2,FALSE)</f>
        <v>Black Luxury Leather Laces - GunmetalPlated</v>
      </c>
      <c r="H341" s="30">
        <f t="shared" si="15"/>
        <v>3</v>
      </c>
      <c r="I341" s="30">
        <f>VLOOKUP(C341,DATA!$A$2:$G$243,5,FALSE)</f>
        <v>25000</v>
      </c>
      <c r="J341" s="30">
        <f t="shared" si="17"/>
        <v>75000</v>
      </c>
      <c r="K341" s="31">
        <f>VLOOKUP(C341,DATA!$A$2:$G$243,3,FALSE)</f>
        <v>19.95</v>
      </c>
      <c r="L341" s="31">
        <f>VLOOKUP(C341,DATA!$A$2:$G$243,4,FALSE)</f>
        <v>7.98</v>
      </c>
      <c r="M341" s="31">
        <f t="shared" si="16"/>
        <v>23.94</v>
      </c>
      <c r="N341" s="25" t="str">
        <f>VLOOKUP(C341,DATA!$A$2:$G$243,6,FALSE)</f>
        <v>Luxury Leather Laces</v>
      </c>
      <c r="O341" s="16">
        <v>28605</v>
      </c>
    </row>
    <row r="342" spans="1:15" s="4" customFormat="1">
      <c r="A342" s="16" t="s">
        <v>6</v>
      </c>
      <c r="B342" s="18">
        <v>42927</v>
      </c>
      <c r="C342" s="18" t="s">
        <v>574</v>
      </c>
      <c r="D342" s="21">
        <v>54</v>
      </c>
      <c r="E342" s="22">
        <v>3</v>
      </c>
      <c r="F342" s="18" t="s">
        <v>414</v>
      </c>
      <c r="G342" s="29" t="str">
        <f>VLOOKUP(C342,DATA!$A$2:$G$243,2,FALSE)</f>
        <v>Black Luxury Leather Laces - GunmetalPlated</v>
      </c>
      <c r="H342" s="30">
        <f t="shared" si="15"/>
        <v>3</v>
      </c>
      <c r="I342" s="30">
        <f>VLOOKUP(C342,DATA!$A$2:$G$243,5,FALSE)</f>
        <v>25000</v>
      </c>
      <c r="J342" s="30">
        <f t="shared" si="17"/>
        <v>75000</v>
      </c>
      <c r="K342" s="31">
        <f>VLOOKUP(C342,DATA!$A$2:$G$243,3,FALSE)</f>
        <v>19.95</v>
      </c>
      <c r="L342" s="31">
        <f>VLOOKUP(C342,DATA!$A$2:$G$243,4,FALSE)</f>
        <v>7.98</v>
      </c>
      <c r="M342" s="31">
        <f t="shared" si="16"/>
        <v>23.94</v>
      </c>
      <c r="N342" s="25" t="str">
        <f>VLOOKUP(C342,DATA!$A$2:$G$243,6,FALSE)</f>
        <v>Luxury Leather Laces</v>
      </c>
      <c r="O342" s="16">
        <v>28605</v>
      </c>
    </row>
    <row r="343" spans="1:15" s="4" customFormat="1">
      <c r="A343" s="16" t="s">
        <v>6</v>
      </c>
      <c r="B343" s="18">
        <v>42927</v>
      </c>
      <c r="C343" s="18" t="s">
        <v>574</v>
      </c>
      <c r="D343" s="21">
        <v>63</v>
      </c>
      <c r="E343" s="22">
        <v>2</v>
      </c>
      <c r="F343" s="18" t="s">
        <v>414</v>
      </c>
      <c r="G343" s="29" t="str">
        <f>VLOOKUP(C343,DATA!$A$2:$G$243,2,FALSE)</f>
        <v>Black Luxury Leather Laces - GunmetalPlated</v>
      </c>
      <c r="H343" s="30">
        <f t="shared" si="15"/>
        <v>2</v>
      </c>
      <c r="I343" s="30">
        <f>VLOOKUP(C343,DATA!$A$2:$G$243,5,FALSE)</f>
        <v>25000</v>
      </c>
      <c r="J343" s="30">
        <f t="shared" si="17"/>
        <v>50000</v>
      </c>
      <c r="K343" s="31">
        <f>VLOOKUP(C343,DATA!$A$2:$G$243,3,FALSE)</f>
        <v>19.95</v>
      </c>
      <c r="L343" s="31">
        <f>VLOOKUP(C343,DATA!$A$2:$G$243,4,FALSE)</f>
        <v>7.98</v>
      </c>
      <c r="M343" s="31">
        <f t="shared" si="16"/>
        <v>15.96</v>
      </c>
      <c r="N343" s="25" t="str">
        <f>VLOOKUP(C343,DATA!$A$2:$G$243,6,FALSE)</f>
        <v>Luxury Leather Laces</v>
      </c>
      <c r="O343" s="16">
        <v>28605</v>
      </c>
    </row>
    <row r="344" spans="1:15" s="4" customFormat="1">
      <c r="A344" s="16" t="s">
        <v>6</v>
      </c>
      <c r="B344" s="18">
        <v>42927</v>
      </c>
      <c r="C344" s="18" t="s">
        <v>575</v>
      </c>
      <c r="D344" s="21">
        <v>36</v>
      </c>
      <c r="E344" s="22">
        <v>2</v>
      </c>
      <c r="F344" s="18" t="s">
        <v>414</v>
      </c>
      <c r="G344" s="29" t="str">
        <f>VLOOKUP(C344,DATA!$A$2:$G$243,2,FALSE)</f>
        <v>Black Luxury Leather Laces - SilverPlated</v>
      </c>
      <c r="H344" s="30">
        <f t="shared" si="15"/>
        <v>2</v>
      </c>
      <c r="I344" s="30">
        <f>VLOOKUP(C344,DATA!$A$2:$G$243,5,FALSE)</f>
        <v>25000</v>
      </c>
      <c r="J344" s="30">
        <f t="shared" si="17"/>
        <v>50000</v>
      </c>
      <c r="K344" s="31">
        <f>VLOOKUP(C344,DATA!$A$2:$G$243,3,FALSE)</f>
        <v>19.95</v>
      </c>
      <c r="L344" s="31">
        <f>VLOOKUP(C344,DATA!$A$2:$G$243,4,FALSE)</f>
        <v>7.98</v>
      </c>
      <c r="M344" s="31">
        <f t="shared" si="16"/>
        <v>15.96</v>
      </c>
      <c r="N344" s="25" t="str">
        <f>VLOOKUP(C344,DATA!$A$2:$G$243,6,FALSE)</f>
        <v>Luxury Leather Laces</v>
      </c>
      <c r="O344" s="16">
        <v>28605</v>
      </c>
    </row>
    <row r="345" spans="1:15" s="4" customFormat="1">
      <c r="A345" s="16" t="s">
        <v>6</v>
      </c>
      <c r="B345" s="18">
        <v>42927</v>
      </c>
      <c r="C345" s="18" t="s">
        <v>575</v>
      </c>
      <c r="D345" s="21">
        <v>45</v>
      </c>
      <c r="E345" s="22">
        <v>3</v>
      </c>
      <c r="F345" s="18" t="s">
        <v>414</v>
      </c>
      <c r="G345" s="29" t="str">
        <f>VLOOKUP(C345,DATA!$A$2:$G$243,2,FALSE)</f>
        <v>Black Luxury Leather Laces - SilverPlated</v>
      </c>
      <c r="H345" s="30">
        <f t="shared" si="15"/>
        <v>3</v>
      </c>
      <c r="I345" s="30">
        <f>VLOOKUP(C345,DATA!$A$2:$G$243,5,FALSE)</f>
        <v>25000</v>
      </c>
      <c r="J345" s="30">
        <f t="shared" si="17"/>
        <v>75000</v>
      </c>
      <c r="K345" s="31">
        <f>VLOOKUP(C345,DATA!$A$2:$G$243,3,FALSE)</f>
        <v>19.95</v>
      </c>
      <c r="L345" s="31">
        <f>VLOOKUP(C345,DATA!$A$2:$G$243,4,FALSE)</f>
        <v>7.98</v>
      </c>
      <c r="M345" s="31">
        <f t="shared" si="16"/>
        <v>23.94</v>
      </c>
      <c r="N345" s="25" t="str">
        <f>VLOOKUP(C345,DATA!$A$2:$G$243,6,FALSE)</f>
        <v>Luxury Leather Laces</v>
      </c>
      <c r="O345" s="16">
        <v>28605</v>
      </c>
    </row>
    <row r="346" spans="1:15" s="4" customFormat="1">
      <c r="A346" s="16" t="s">
        <v>6</v>
      </c>
      <c r="B346" s="18">
        <v>42927</v>
      </c>
      <c r="C346" s="18" t="s">
        <v>575</v>
      </c>
      <c r="D346" s="21">
        <v>54</v>
      </c>
      <c r="E346" s="22">
        <v>3</v>
      </c>
      <c r="F346" s="18" t="s">
        <v>414</v>
      </c>
      <c r="G346" s="29" t="str">
        <f>VLOOKUP(C346,DATA!$A$2:$G$243,2,FALSE)</f>
        <v>Black Luxury Leather Laces - SilverPlated</v>
      </c>
      <c r="H346" s="30">
        <f t="shared" si="15"/>
        <v>3</v>
      </c>
      <c r="I346" s="30">
        <f>VLOOKUP(C346,DATA!$A$2:$G$243,5,FALSE)</f>
        <v>25000</v>
      </c>
      <c r="J346" s="30">
        <f t="shared" si="17"/>
        <v>75000</v>
      </c>
      <c r="K346" s="31">
        <f>VLOOKUP(C346,DATA!$A$2:$G$243,3,FALSE)</f>
        <v>19.95</v>
      </c>
      <c r="L346" s="31">
        <f>VLOOKUP(C346,DATA!$A$2:$G$243,4,FALSE)</f>
        <v>7.98</v>
      </c>
      <c r="M346" s="31">
        <f t="shared" si="16"/>
        <v>23.94</v>
      </c>
      <c r="N346" s="25" t="str">
        <f>VLOOKUP(C346,DATA!$A$2:$G$243,6,FALSE)</f>
        <v>Luxury Leather Laces</v>
      </c>
      <c r="O346" s="16">
        <v>28605</v>
      </c>
    </row>
    <row r="347" spans="1:15" s="4" customFormat="1">
      <c r="A347" s="16" t="s">
        <v>6</v>
      </c>
      <c r="B347" s="18">
        <v>42927</v>
      </c>
      <c r="C347" s="18" t="s">
        <v>575</v>
      </c>
      <c r="D347" s="21">
        <v>63</v>
      </c>
      <c r="E347" s="22">
        <v>2</v>
      </c>
      <c r="F347" s="18" t="s">
        <v>414</v>
      </c>
      <c r="G347" s="29" t="str">
        <f>VLOOKUP(C347,DATA!$A$2:$G$243,2,FALSE)</f>
        <v>Black Luxury Leather Laces - SilverPlated</v>
      </c>
      <c r="H347" s="30">
        <f t="shared" si="15"/>
        <v>2</v>
      </c>
      <c r="I347" s="30">
        <f>VLOOKUP(C347,DATA!$A$2:$G$243,5,FALSE)</f>
        <v>25000</v>
      </c>
      <c r="J347" s="30">
        <f t="shared" si="17"/>
        <v>50000</v>
      </c>
      <c r="K347" s="31">
        <f>VLOOKUP(C347,DATA!$A$2:$G$243,3,FALSE)</f>
        <v>19.95</v>
      </c>
      <c r="L347" s="31">
        <f>VLOOKUP(C347,DATA!$A$2:$G$243,4,FALSE)</f>
        <v>7.98</v>
      </c>
      <c r="M347" s="31">
        <f t="shared" si="16"/>
        <v>15.96</v>
      </c>
      <c r="N347" s="25" t="str">
        <f>VLOOKUP(C347,DATA!$A$2:$G$243,6,FALSE)</f>
        <v>Luxury Leather Laces</v>
      </c>
      <c r="O347" s="16">
        <v>28605</v>
      </c>
    </row>
    <row r="348" spans="1:15" s="4" customFormat="1">
      <c r="A348" s="16" t="s">
        <v>6</v>
      </c>
      <c r="B348" s="18">
        <v>42927</v>
      </c>
      <c r="C348" s="18" t="s">
        <v>576</v>
      </c>
      <c r="D348" s="21">
        <v>36</v>
      </c>
      <c r="E348" s="22">
        <v>1</v>
      </c>
      <c r="F348" s="18" t="s">
        <v>414</v>
      </c>
      <c r="G348" s="29" t="str">
        <f>VLOOKUP(C348,DATA!$A$2:$G$243,2,FALSE)</f>
        <v>White Luxury Leather Laces - GoldPlated</v>
      </c>
      <c r="H348" s="30">
        <f t="shared" si="15"/>
        <v>1</v>
      </c>
      <c r="I348" s="30">
        <f>VLOOKUP(C348,DATA!$A$2:$G$243,5,FALSE)</f>
        <v>25000</v>
      </c>
      <c r="J348" s="30">
        <f t="shared" si="17"/>
        <v>25000</v>
      </c>
      <c r="K348" s="31">
        <f>VLOOKUP(C348,DATA!$A$2:$G$243,3,FALSE)</f>
        <v>19.95</v>
      </c>
      <c r="L348" s="31">
        <f>VLOOKUP(C348,DATA!$A$2:$G$243,4,FALSE)</f>
        <v>7.98</v>
      </c>
      <c r="M348" s="31">
        <f t="shared" si="16"/>
        <v>7.98</v>
      </c>
      <c r="N348" s="25" t="str">
        <f>VLOOKUP(C348,DATA!$A$2:$G$243,6,FALSE)</f>
        <v>Luxury Leather Laces</v>
      </c>
      <c r="O348" s="16">
        <v>28605</v>
      </c>
    </row>
    <row r="349" spans="1:15" s="4" customFormat="1">
      <c r="A349" s="16" t="s">
        <v>6</v>
      </c>
      <c r="B349" s="18">
        <v>42927</v>
      </c>
      <c r="C349" s="18" t="s">
        <v>576</v>
      </c>
      <c r="D349" s="21">
        <v>45</v>
      </c>
      <c r="E349" s="22">
        <v>1</v>
      </c>
      <c r="F349" s="18" t="s">
        <v>414</v>
      </c>
      <c r="G349" s="29" t="str">
        <f>VLOOKUP(C349,DATA!$A$2:$G$243,2,FALSE)</f>
        <v>White Luxury Leather Laces - GoldPlated</v>
      </c>
      <c r="H349" s="30">
        <f t="shared" si="15"/>
        <v>1</v>
      </c>
      <c r="I349" s="30">
        <f>VLOOKUP(C349,DATA!$A$2:$G$243,5,FALSE)</f>
        <v>25000</v>
      </c>
      <c r="J349" s="30">
        <f t="shared" si="17"/>
        <v>25000</v>
      </c>
      <c r="K349" s="31">
        <f>VLOOKUP(C349,DATA!$A$2:$G$243,3,FALSE)</f>
        <v>19.95</v>
      </c>
      <c r="L349" s="31">
        <f>VLOOKUP(C349,DATA!$A$2:$G$243,4,FALSE)</f>
        <v>7.98</v>
      </c>
      <c r="M349" s="31">
        <f t="shared" si="16"/>
        <v>7.98</v>
      </c>
      <c r="N349" s="25" t="str">
        <f>VLOOKUP(C349,DATA!$A$2:$G$243,6,FALSE)</f>
        <v>Luxury Leather Laces</v>
      </c>
      <c r="O349" s="16">
        <v>28605</v>
      </c>
    </row>
    <row r="350" spans="1:15" s="4" customFormat="1">
      <c r="A350" s="16" t="s">
        <v>6</v>
      </c>
      <c r="B350" s="18">
        <v>42927</v>
      </c>
      <c r="C350" s="18" t="s">
        <v>576</v>
      </c>
      <c r="D350" s="21">
        <v>54</v>
      </c>
      <c r="E350" s="22">
        <v>1</v>
      </c>
      <c r="F350" s="18" t="s">
        <v>414</v>
      </c>
      <c r="G350" s="29" t="str">
        <f>VLOOKUP(C350,DATA!$A$2:$G$243,2,FALSE)</f>
        <v>White Luxury Leather Laces - GoldPlated</v>
      </c>
      <c r="H350" s="30">
        <f t="shared" si="15"/>
        <v>1</v>
      </c>
      <c r="I350" s="30">
        <f>VLOOKUP(C350,DATA!$A$2:$G$243,5,FALSE)</f>
        <v>25000</v>
      </c>
      <c r="J350" s="30">
        <f t="shared" si="17"/>
        <v>25000</v>
      </c>
      <c r="K350" s="31">
        <f>VLOOKUP(C350,DATA!$A$2:$G$243,3,FALSE)</f>
        <v>19.95</v>
      </c>
      <c r="L350" s="31">
        <f>VLOOKUP(C350,DATA!$A$2:$G$243,4,FALSE)</f>
        <v>7.98</v>
      </c>
      <c r="M350" s="31">
        <f t="shared" si="16"/>
        <v>7.98</v>
      </c>
      <c r="N350" s="25" t="str">
        <f>VLOOKUP(C350,DATA!$A$2:$G$243,6,FALSE)</f>
        <v>Luxury Leather Laces</v>
      </c>
      <c r="O350" s="16">
        <v>28605</v>
      </c>
    </row>
    <row r="351" spans="1:15" s="4" customFormat="1">
      <c r="A351" s="16" t="s">
        <v>6</v>
      </c>
      <c r="B351" s="18">
        <v>42927</v>
      </c>
      <c r="C351" s="18" t="s">
        <v>576</v>
      </c>
      <c r="D351" s="21">
        <v>63</v>
      </c>
      <c r="E351" s="22">
        <v>1</v>
      </c>
      <c r="F351" s="18" t="s">
        <v>414</v>
      </c>
      <c r="G351" s="29" t="str">
        <f>VLOOKUP(C351,DATA!$A$2:$G$243,2,FALSE)</f>
        <v>White Luxury Leather Laces - GoldPlated</v>
      </c>
      <c r="H351" s="30">
        <f t="shared" si="15"/>
        <v>1</v>
      </c>
      <c r="I351" s="30">
        <f>VLOOKUP(C351,DATA!$A$2:$G$243,5,FALSE)</f>
        <v>25000</v>
      </c>
      <c r="J351" s="30">
        <f t="shared" si="17"/>
        <v>25000</v>
      </c>
      <c r="K351" s="31">
        <f>VLOOKUP(C351,DATA!$A$2:$G$243,3,FALSE)</f>
        <v>19.95</v>
      </c>
      <c r="L351" s="31">
        <f>VLOOKUP(C351,DATA!$A$2:$G$243,4,FALSE)</f>
        <v>7.98</v>
      </c>
      <c r="M351" s="31">
        <f t="shared" si="16"/>
        <v>7.98</v>
      </c>
      <c r="N351" s="25" t="str">
        <f>VLOOKUP(C351,DATA!$A$2:$G$243,6,FALSE)</f>
        <v>Luxury Leather Laces</v>
      </c>
      <c r="O351" s="16">
        <v>28605</v>
      </c>
    </row>
    <row r="352" spans="1:15" s="4" customFormat="1">
      <c r="A352" s="16" t="s">
        <v>6</v>
      </c>
      <c r="B352" s="18">
        <v>42927</v>
      </c>
      <c r="C352" s="18" t="s">
        <v>577</v>
      </c>
      <c r="D352" s="21">
        <v>36</v>
      </c>
      <c r="E352" s="22">
        <v>1</v>
      </c>
      <c r="F352" s="18" t="s">
        <v>414</v>
      </c>
      <c r="G352" s="29" t="str">
        <f>VLOOKUP(C352,DATA!$A$2:$G$243,2,FALSE)</f>
        <v>White Luxury Leather Laces - GunmetalPlated</v>
      </c>
      <c r="H352" s="30">
        <f t="shared" si="15"/>
        <v>1</v>
      </c>
      <c r="I352" s="30">
        <f>VLOOKUP(C352,DATA!$A$2:$G$243,5,FALSE)</f>
        <v>25000</v>
      </c>
      <c r="J352" s="30">
        <f t="shared" si="17"/>
        <v>25000</v>
      </c>
      <c r="K352" s="31">
        <f>VLOOKUP(C352,DATA!$A$2:$G$243,3,FALSE)</f>
        <v>19.95</v>
      </c>
      <c r="L352" s="31">
        <f>VLOOKUP(C352,DATA!$A$2:$G$243,4,FALSE)</f>
        <v>7.98</v>
      </c>
      <c r="M352" s="31">
        <f t="shared" si="16"/>
        <v>7.98</v>
      </c>
      <c r="N352" s="25" t="str">
        <f>VLOOKUP(C352,DATA!$A$2:$G$243,6,FALSE)</f>
        <v>Luxury Leather Laces</v>
      </c>
      <c r="O352" s="16">
        <v>28605</v>
      </c>
    </row>
    <row r="353" spans="1:15" s="4" customFormat="1">
      <c r="A353" s="16" t="s">
        <v>6</v>
      </c>
      <c r="B353" s="18">
        <v>42927</v>
      </c>
      <c r="C353" s="18" t="s">
        <v>577</v>
      </c>
      <c r="D353" s="21">
        <v>45</v>
      </c>
      <c r="E353" s="22">
        <v>1</v>
      </c>
      <c r="F353" s="18" t="s">
        <v>414</v>
      </c>
      <c r="G353" s="29" t="str">
        <f>VLOOKUP(C353,DATA!$A$2:$G$243,2,FALSE)</f>
        <v>White Luxury Leather Laces - GunmetalPlated</v>
      </c>
      <c r="H353" s="30">
        <f t="shared" si="15"/>
        <v>1</v>
      </c>
      <c r="I353" s="30">
        <f>VLOOKUP(C353,DATA!$A$2:$G$243,5,FALSE)</f>
        <v>25000</v>
      </c>
      <c r="J353" s="30">
        <f t="shared" si="17"/>
        <v>25000</v>
      </c>
      <c r="K353" s="31">
        <f>VLOOKUP(C353,DATA!$A$2:$G$243,3,FALSE)</f>
        <v>19.95</v>
      </c>
      <c r="L353" s="31">
        <f>VLOOKUP(C353,DATA!$A$2:$G$243,4,FALSE)</f>
        <v>7.98</v>
      </c>
      <c r="M353" s="31">
        <f t="shared" si="16"/>
        <v>7.98</v>
      </c>
      <c r="N353" s="25" t="str">
        <f>VLOOKUP(C353,DATA!$A$2:$G$243,6,FALSE)</f>
        <v>Luxury Leather Laces</v>
      </c>
      <c r="O353" s="16">
        <v>28605</v>
      </c>
    </row>
    <row r="354" spans="1:15" s="4" customFormat="1">
      <c r="A354" s="16" t="s">
        <v>6</v>
      </c>
      <c r="B354" s="18">
        <v>42927</v>
      </c>
      <c r="C354" s="18" t="s">
        <v>577</v>
      </c>
      <c r="D354" s="21">
        <v>54</v>
      </c>
      <c r="E354" s="22">
        <v>1</v>
      </c>
      <c r="F354" s="18" t="s">
        <v>414</v>
      </c>
      <c r="G354" s="29" t="str">
        <f>VLOOKUP(C354,DATA!$A$2:$G$243,2,FALSE)</f>
        <v>White Luxury Leather Laces - GunmetalPlated</v>
      </c>
      <c r="H354" s="30">
        <f t="shared" si="15"/>
        <v>1</v>
      </c>
      <c r="I354" s="30">
        <f>VLOOKUP(C354,DATA!$A$2:$G$243,5,FALSE)</f>
        <v>25000</v>
      </c>
      <c r="J354" s="30">
        <f t="shared" si="17"/>
        <v>25000</v>
      </c>
      <c r="K354" s="31">
        <f>VLOOKUP(C354,DATA!$A$2:$G$243,3,FALSE)</f>
        <v>19.95</v>
      </c>
      <c r="L354" s="31">
        <f>VLOOKUP(C354,DATA!$A$2:$G$243,4,FALSE)</f>
        <v>7.98</v>
      </c>
      <c r="M354" s="31">
        <f t="shared" si="16"/>
        <v>7.98</v>
      </c>
      <c r="N354" s="25" t="str">
        <f>VLOOKUP(C354,DATA!$A$2:$G$243,6,FALSE)</f>
        <v>Luxury Leather Laces</v>
      </c>
      <c r="O354" s="16">
        <v>28605</v>
      </c>
    </row>
    <row r="355" spans="1:15" s="4" customFormat="1">
      <c r="A355" s="16" t="s">
        <v>6</v>
      </c>
      <c r="B355" s="18">
        <v>42927</v>
      </c>
      <c r="C355" s="18" t="s">
        <v>577</v>
      </c>
      <c r="D355" s="21">
        <v>63</v>
      </c>
      <c r="E355" s="22">
        <v>1</v>
      </c>
      <c r="F355" s="18" t="s">
        <v>414</v>
      </c>
      <c r="G355" s="29" t="str">
        <f>VLOOKUP(C355,DATA!$A$2:$G$243,2,FALSE)</f>
        <v>White Luxury Leather Laces - GunmetalPlated</v>
      </c>
      <c r="H355" s="30">
        <f t="shared" si="15"/>
        <v>1</v>
      </c>
      <c r="I355" s="30">
        <f>VLOOKUP(C355,DATA!$A$2:$G$243,5,FALSE)</f>
        <v>25000</v>
      </c>
      <c r="J355" s="30">
        <f t="shared" si="17"/>
        <v>25000</v>
      </c>
      <c r="K355" s="31">
        <f>VLOOKUP(C355,DATA!$A$2:$G$243,3,FALSE)</f>
        <v>19.95</v>
      </c>
      <c r="L355" s="31">
        <f>VLOOKUP(C355,DATA!$A$2:$G$243,4,FALSE)</f>
        <v>7.98</v>
      </c>
      <c r="M355" s="31">
        <f t="shared" si="16"/>
        <v>7.98</v>
      </c>
      <c r="N355" s="25" t="str">
        <f>VLOOKUP(C355,DATA!$A$2:$G$243,6,FALSE)</f>
        <v>Luxury Leather Laces</v>
      </c>
      <c r="O355" s="16">
        <v>28605</v>
      </c>
    </row>
    <row r="356" spans="1:15" s="4" customFormat="1">
      <c r="A356" s="16" t="s">
        <v>6</v>
      </c>
      <c r="B356" s="18">
        <v>42927</v>
      </c>
      <c r="C356" s="18" t="s">
        <v>578</v>
      </c>
      <c r="D356" s="21">
        <v>36</v>
      </c>
      <c r="E356" s="22">
        <v>1</v>
      </c>
      <c r="F356" s="18" t="s">
        <v>414</v>
      </c>
      <c r="G356" s="29" t="str">
        <f>VLOOKUP(C356,DATA!$A$2:$G$243,2,FALSE)</f>
        <v>White Luxury Leather Laces - SilverPlated</v>
      </c>
      <c r="H356" s="30">
        <f t="shared" si="15"/>
        <v>1</v>
      </c>
      <c r="I356" s="30">
        <f>VLOOKUP(C356,DATA!$A$2:$G$243,5,FALSE)</f>
        <v>25000</v>
      </c>
      <c r="J356" s="30">
        <f t="shared" si="17"/>
        <v>25000</v>
      </c>
      <c r="K356" s="31">
        <f>VLOOKUP(C356,DATA!$A$2:$G$243,3,FALSE)</f>
        <v>19.95</v>
      </c>
      <c r="L356" s="31">
        <f>VLOOKUP(C356,DATA!$A$2:$G$243,4,FALSE)</f>
        <v>7.98</v>
      </c>
      <c r="M356" s="31">
        <f t="shared" si="16"/>
        <v>7.98</v>
      </c>
      <c r="N356" s="25" t="str">
        <f>VLOOKUP(C356,DATA!$A$2:$G$243,6,FALSE)</f>
        <v>Luxury Leather Laces</v>
      </c>
      <c r="O356" s="16">
        <v>28605</v>
      </c>
    </row>
    <row r="357" spans="1:15" s="4" customFormat="1">
      <c r="A357" s="16" t="s">
        <v>6</v>
      </c>
      <c r="B357" s="18">
        <v>42927</v>
      </c>
      <c r="C357" s="18" t="s">
        <v>578</v>
      </c>
      <c r="D357" s="21">
        <v>45</v>
      </c>
      <c r="E357" s="22">
        <v>1</v>
      </c>
      <c r="F357" s="18" t="s">
        <v>414</v>
      </c>
      <c r="G357" s="29" t="str">
        <f>VLOOKUP(C357,DATA!$A$2:$G$243,2,FALSE)</f>
        <v>White Luxury Leather Laces - SilverPlated</v>
      </c>
      <c r="H357" s="30">
        <f t="shared" si="15"/>
        <v>1</v>
      </c>
      <c r="I357" s="30">
        <f>VLOOKUP(C357,DATA!$A$2:$G$243,5,FALSE)</f>
        <v>25000</v>
      </c>
      <c r="J357" s="30">
        <f t="shared" si="17"/>
        <v>25000</v>
      </c>
      <c r="K357" s="31">
        <f>VLOOKUP(C357,DATA!$A$2:$G$243,3,FALSE)</f>
        <v>19.95</v>
      </c>
      <c r="L357" s="31">
        <f>VLOOKUP(C357,DATA!$A$2:$G$243,4,FALSE)</f>
        <v>7.98</v>
      </c>
      <c r="M357" s="31">
        <f t="shared" si="16"/>
        <v>7.98</v>
      </c>
      <c r="N357" s="25" t="str">
        <f>VLOOKUP(C357,DATA!$A$2:$G$243,6,FALSE)</f>
        <v>Luxury Leather Laces</v>
      </c>
      <c r="O357" s="16">
        <v>28605</v>
      </c>
    </row>
    <row r="358" spans="1:15" s="4" customFormat="1">
      <c r="A358" s="16" t="s">
        <v>6</v>
      </c>
      <c r="B358" s="18">
        <v>42927</v>
      </c>
      <c r="C358" s="18" t="s">
        <v>578</v>
      </c>
      <c r="D358" s="21">
        <v>54</v>
      </c>
      <c r="E358" s="22">
        <v>1</v>
      </c>
      <c r="F358" s="18" t="s">
        <v>414</v>
      </c>
      <c r="G358" s="29" t="str">
        <f>VLOOKUP(C358,DATA!$A$2:$G$243,2,FALSE)</f>
        <v>White Luxury Leather Laces - SilverPlated</v>
      </c>
      <c r="H358" s="30">
        <f t="shared" si="15"/>
        <v>1</v>
      </c>
      <c r="I358" s="30">
        <f>VLOOKUP(C358,DATA!$A$2:$G$243,5,FALSE)</f>
        <v>25000</v>
      </c>
      <c r="J358" s="30">
        <f t="shared" si="17"/>
        <v>25000</v>
      </c>
      <c r="K358" s="31">
        <f>VLOOKUP(C358,DATA!$A$2:$G$243,3,FALSE)</f>
        <v>19.95</v>
      </c>
      <c r="L358" s="31">
        <f>VLOOKUP(C358,DATA!$A$2:$G$243,4,FALSE)</f>
        <v>7.98</v>
      </c>
      <c r="M358" s="31">
        <f t="shared" si="16"/>
        <v>7.98</v>
      </c>
      <c r="N358" s="25" t="str">
        <f>VLOOKUP(C358,DATA!$A$2:$G$243,6,FALSE)</f>
        <v>Luxury Leather Laces</v>
      </c>
      <c r="O358" s="16">
        <v>28605</v>
      </c>
    </row>
    <row r="359" spans="1:15" s="4" customFormat="1">
      <c r="A359" s="16" t="s">
        <v>6</v>
      </c>
      <c r="B359" s="18">
        <v>42927</v>
      </c>
      <c r="C359" s="18" t="s">
        <v>578</v>
      </c>
      <c r="D359" s="21">
        <v>63</v>
      </c>
      <c r="E359" s="22">
        <v>1</v>
      </c>
      <c r="F359" s="18" t="s">
        <v>414</v>
      </c>
      <c r="G359" s="29" t="str">
        <f>VLOOKUP(C359,DATA!$A$2:$G$243,2,FALSE)</f>
        <v>White Luxury Leather Laces - SilverPlated</v>
      </c>
      <c r="H359" s="30">
        <f t="shared" si="15"/>
        <v>1</v>
      </c>
      <c r="I359" s="30">
        <f>VLOOKUP(C359,DATA!$A$2:$G$243,5,FALSE)</f>
        <v>25000</v>
      </c>
      <c r="J359" s="30">
        <f t="shared" si="17"/>
        <v>25000</v>
      </c>
      <c r="K359" s="31">
        <f>VLOOKUP(C359,DATA!$A$2:$G$243,3,FALSE)</f>
        <v>19.95</v>
      </c>
      <c r="L359" s="31">
        <f>VLOOKUP(C359,DATA!$A$2:$G$243,4,FALSE)</f>
        <v>7.98</v>
      </c>
      <c r="M359" s="31">
        <f t="shared" si="16"/>
        <v>7.98</v>
      </c>
      <c r="N359" s="25" t="str">
        <f>VLOOKUP(C359,DATA!$A$2:$G$243,6,FALSE)</f>
        <v>Luxury Leather Laces</v>
      </c>
      <c r="O359" s="16">
        <v>28605</v>
      </c>
    </row>
    <row r="360" spans="1:15" s="4" customFormat="1">
      <c r="A360" s="16" t="s">
        <v>6</v>
      </c>
      <c r="B360" s="18">
        <v>42927</v>
      </c>
      <c r="C360" s="18" t="s">
        <v>579</v>
      </c>
      <c r="D360" s="21">
        <v>36</v>
      </c>
      <c r="E360" s="22">
        <v>1</v>
      </c>
      <c r="F360" s="18" t="s">
        <v>414</v>
      </c>
      <c r="G360" s="29" t="str">
        <f>VLOOKUP(C360,DATA!$A$2:$G$243,2,FALSE)</f>
        <v>Gold Luxury Leather Laces - GoldPlated</v>
      </c>
      <c r="H360" s="30">
        <f t="shared" si="15"/>
        <v>1</v>
      </c>
      <c r="I360" s="30">
        <f>VLOOKUP(C360,DATA!$A$2:$G$243,5,FALSE)</f>
        <v>25000</v>
      </c>
      <c r="J360" s="30">
        <f t="shared" si="17"/>
        <v>25000</v>
      </c>
      <c r="K360" s="31">
        <f>VLOOKUP(C360,DATA!$A$2:$G$243,3,FALSE)</f>
        <v>19.95</v>
      </c>
      <c r="L360" s="31">
        <f>VLOOKUP(C360,DATA!$A$2:$G$243,4,FALSE)</f>
        <v>7.98</v>
      </c>
      <c r="M360" s="31">
        <f t="shared" si="16"/>
        <v>7.98</v>
      </c>
      <c r="N360" s="25" t="str">
        <f>VLOOKUP(C360,DATA!$A$2:$G$243,6,FALSE)</f>
        <v>Luxury Leather Laces</v>
      </c>
      <c r="O360" s="16">
        <v>28605</v>
      </c>
    </row>
    <row r="361" spans="1:15" s="4" customFormat="1">
      <c r="A361" s="16" t="s">
        <v>6</v>
      </c>
      <c r="B361" s="18">
        <v>42927</v>
      </c>
      <c r="C361" s="18" t="s">
        <v>579</v>
      </c>
      <c r="D361" s="21">
        <v>45</v>
      </c>
      <c r="E361" s="22">
        <v>1</v>
      </c>
      <c r="F361" s="18" t="s">
        <v>414</v>
      </c>
      <c r="G361" s="29" t="str">
        <f>VLOOKUP(C361,DATA!$A$2:$G$243,2,FALSE)</f>
        <v>Gold Luxury Leather Laces - GoldPlated</v>
      </c>
      <c r="H361" s="30">
        <f t="shared" si="15"/>
        <v>1</v>
      </c>
      <c r="I361" s="30">
        <f>VLOOKUP(C361,DATA!$A$2:$G$243,5,FALSE)</f>
        <v>25000</v>
      </c>
      <c r="J361" s="30">
        <f t="shared" si="17"/>
        <v>25000</v>
      </c>
      <c r="K361" s="31">
        <f>VLOOKUP(C361,DATA!$A$2:$G$243,3,FALSE)</f>
        <v>19.95</v>
      </c>
      <c r="L361" s="31">
        <f>VLOOKUP(C361,DATA!$A$2:$G$243,4,FALSE)</f>
        <v>7.98</v>
      </c>
      <c r="M361" s="31">
        <f t="shared" si="16"/>
        <v>7.98</v>
      </c>
      <c r="N361" s="25" t="str">
        <f>VLOOKUP(C361,DATA!$A$2:$G$243,6,FALSE)</f>
        <v>Luxury Leather Laces</v>
      </c>
      <c r="O361" s="16">
        <v>28605</v>
      </c>
    </row>
    <row r="362" spans="1:15" s="4" customFormat="1">
      <c r="A362" s="16" t="s">
        <v>6</v>
      </c>
      <c r="B362" s="18">
        <v>42927</v>
      </c>
      <c r="C362" s="18" t="s">
        <v>579</v>
      </c>
      <c r="D362" s="21">
        <v>54</v>
      </c>
      <c r="E362" s="22">
        <v>1</v>
      </c>
      <c r="F362" s="18" t="s">
        <v>414</v>
      </c>
      <c r="G362" s="29" t="str">
        <f>VLOOKUP(C362,DATA!$A$2:$G$243,2,FALSE)</f>
        <v>Gold Luxury Leather Laces - GoldPlated</v>
      </c>
      <c r="H362" s="30">
        <f t="shared" si="15"/>
        <v>1</v>
      </c>
      <c r="I362" s="30">
        <f>VLOOKUP(C362,DATA!$A$2:$G$243,5,FALSE)</f>
        <v>25000</v>
      </c>
      <c r="J362" s="30">
        <f t="shared" si="17"/>
        <v>25000</v>
      </c>
      <c r="K362" s="31">
        <f>VLOOKUP(C362,DATA!$A$2:$G$243,3,FALSE)</f>
        <v>19.95</v>
      </c>
      <c r="L362" s="31">
        <f>VLOOKUP(C362,DATA!$A$2:$G$243,4,FALSE)</f>
        <v>7.98</v>
      </c>
      <c r="M362" s="31">
        <f t="shared" si="16"/>
        <v>7.98</v>
      </c>
      <c r="N362" s="25" t="str">
        <f>VLOOKUP(C362,DATA!$A$2:$G$243,6,FALSE)</f>
        <v>Luxury Leather Laces</v>
      </c>
      <c r="O362" s="16">
        <v>28605</v>
      </c>
    </row>
    <row r="363" spans="1:15" s="4" customFormat="1">
      <c r="A363" s="16" t="s">
        <v>6</v>
      </c>
      <c r="B363" s="18">
        <v>42927</v>
      </c>
      <c r="C363" s="18" t="s">
        <v>579</v>
      </c>
      <c r="D363" s="21">
        <v>63</v>
      </c>
      <c r="E363" s="22">
        <v>1</v>
      </c>
      <c r="F363" s="18" t="s">
        <v>414</v>
      </c>
      <c r="G363" s="29" t="str">
        <f>VLOOKUP(C363,DATA!$A$2:$G$243,2,FALSE)</f>
        <v>Gold Luxury Leather Laces - GoldPlated</v>
      </c>
      <c r="H363" s="30">
        <f t="shared" si="15"/>
        <v>1</v>
      </c>
      <c r="I363" s="30">
        <f>VLOOKUP(C363,DATA!$A$2:$G$243,5,FALSE)</f>
        <v>25000</v>
      </c>
      <c r="J363" s="30">
        <f t="shared" si="17"/>
        <v>25000</v>
      </c>
      <c r="K363" s="31">
        <f>VLOOKUP(C363,DATA!$A$2:$G$243,3,FALSE)</f>
        <v>19.95</v>
      </c>
      <c r="L363" s="31">
        <f>VLOOKUP(C363,DATA!$A$2:$G$243,4,FALSE)</f>
        <v>7.98</v>
      </c>
      <c r="M363" s="31">
        <f t="shared" si="16"/>
        <v>7.98</v>
      </c>
      <c r="N363" s="25" t="str">
        <f>VLOOKUP(C363,DATA!$A$2:$G$243,6,FALSE)</f>
        <v>Luxury Leather Laces</v>
      </c>
      <c r="O363" s="16">
        <v>28605</v>
      </c>
    </row>
    <row r="364" spans="1:15" s="4" customFormat="1">
      <c r="A364" s="16" t="s">
        <v>6</v>
      </c>
      <c r="B364" s="18">
        <v>42927</v>
      </c>
      <c r="C364" s="18" t="s">
        <v>580</v>
      </c>
      <c r="D364" s="21">
        <v>36</v>
      </c>
      <c r="E364" s="22">
        <v>1</v>
      </c>
      <c r="F364" s="18" t="s">
        <v>414</v>
      </c>
      <c r="G364" s="29" t="str">
        <f>VLOOKUP(C364,DATA!$A$2:$G$243,2,FALSE)</f>
        <v>Gold Luxury Leather Laces - GunmetalPlated</v>
      </c>
      <c r="H364" s="30">
        <f t="shared" si="15"/>
        <v>1</v>
      </c>
      <c r="I364" s="30">
        <f>VLOOKUP(C364,DATA!$A$2:$G$243,5,FALSE)</f>
        <v>25000</v>
      </c>
      <c r="J364" s="30">
        <f t="shared" si="17"/>
        <v>25000</v>
      </c>
      <c r="K364" s="31">
        <f>VLOOKUP(C364,DATA!$A$2:$G$243,3,FALSE)</f>
        <v>19.95</v>
      </c>
      <c r="L364" s="31">
        <f>VLOOKUP(C364,DATA!$A$2:$G$243,4,FALSE)</f>
        <v>7.98</v>
      </c>
      <c r="M364" s="31">
        <f t="shared" si="16"/>
        <v>7.98</v>
      </c>
      <c r="N364" s="25" t="str">
        <f>VLOOKUP(C364,DATA!$A$2:$G$243,6,FALSE)</f>
        <v>Luxury Leather Laces</v>
      </c>
      <c r="O364" s="16">
        <v>28605</v>
      </c>
    </row>
    <row r="365" spans="1:15" s="4" customFormat="1">
      <c r="A365" s="16" t="s">
        <v>6</v>
      </c>
      <c r="B365" s="18">
        <v>42927</v>
      </c>
      <c r="C365" s="18" t="s">
        <v>580</v>
      </c>
      <c r="D365" s="21">
        <v>45</v>
      </c>
      <c r="E365" s="22">
        <v>1</v>
      </c>
      <c r="F365" s="18" t="s">
        <v>414</v>
      </c>
      <c r="G365" s="29" t="str">
        <f>VLOOKUP(C365,DATA!$A$2:$G$243,2,FALSE)</f>
        <v>Gold Luxury Leather Laces - GunmetalPlated</v>
      </c>
      <c r="H365" s="30">
        <f t="shared" si="15"/>
        <v>1</v>
      </c>
      <c r="I365" s="30">
        <f>VLOOKUP(C365,DATA!$A$2:$G$243,5,FALSE)</f>
        <v>25000</v>
      </c>
      <c r="J365" s="30">
        <f t="shared" si="17"/>
        <v>25000</v>
      </c>
      <c r="K365" s="31">
        <f>VLOOKUP(C365,DATA!$A$2:$G$243,3,FALSE)</f>
        <v>19.95</v>
      </c>
      <c r="L365" s="31">
        <f>VLOOKUP(C365,DATA!$A$2:$G$243,4,FALSE)</f>
        <v>7.98</v>
      </c>
      <c r="M365" s="31">
        <f t="shared" si="16"/>
        <v>7.98</v>
      </c>
      <c r="N365" s="25" t="str">
        <f>VLOOKUP(C365,DATA!$A$2:$G$243,6,FALSE)</f>
        <v>Luxury Leather Laces</v>
      </c>
      <c r="O365" s="16">
        <v>28605</v>
      </c>
    </row>
    <row r="366" spans="1:15" s="4" customFormat="1">
      <c r="A366" s="16" t="s">
        <v>6</v>
      </c>
      <c r="B366" s="18">
        <v>42927</v>
      </c>
      <c r="C366" s="18" t="s">
        <v>580</v>
      </c>
      <c r="D366" s="21">
        <v>54</v>
      </c>
      <c r="E366" s="22">
        <v>1</v>
      </c>
      <c r="F366" s="18" t="s">
        <v>414</v>
      </c>
      <c r="G366" s="29" t="str">
        <f>VLOOKUP(C366,DATA!$A$2:$G$243,2,FALSE)</f>
        <v>Gold Luxury Leather Laces - GunmetalPlated</v>
      </c>
      <c r="H366" s="30">
        <f t="shared" si="15"/>
        <v>1</v>
      </c>
      <c r="I366" s="30">
        <f>VLOOKUP(C366,DATA!$A$2:$G$243,5,FALSE)</f>
        <v>25000</v>
      </c>
      <c r="J366" s="30">
        <f t="shared" si="17"/>
        <v>25000</v>
      </c>
      <c r="K366" s="31">
        <f>VLOOKUP(C366,DATA!$A$2:$G$243,3,FALSE)</f>
        <v>19.95</v>
      </c>
      <c r="L366" s="31">
        <f>VLOOKUP(C366,DATA!$A$2:$G$243,4,FALSE)</f>
        <v>7.98</v>
      </c>
      <c r="M366" s="31">
        <f t="shared" si="16"/>
        <v>7.98</v>
      </c>
      <c r="N366" s="25" t="str">
        <f>VLOOKUP(C366,DATA!$A$2:$G$243,6,FALSE)</f>
        <v>Luxury Leather Laces</v>
      </c>
      <c r="O366" s="16">
        <v>28605</v>
      </c>
    </row>
    <row r="367" spans="1:15" s="4" customFormat="1">
      <c r="A367" s="16" t="s">
        <v>6</v>
      </c>
      <c r="B367" s="18">
        <v>42927</v>
      </c>
      <c r="C367" s="18" t="s">
        <v>580</v>
      </c>
      <c r="D367" s="21">
        <v>63</v>
      </c>
      <c r="E367" s="22">
        <v>1</v>
      </c>
      <c r="F367" s="18" t="s">
        <v>414</v>
      </c>
      <c r="G367" s="29" t="str">
        <f>VLOOKUP(C367,DATA!$A$2:$G$243,2,FALSE)</f>
        <v>Gold Luxury Leather Laces - GunmetalPlated</v>
      </c>
      <c r="H367" s="30">
        <f t="shared" si="15"/>
        <v>1</v>
      </c>
      <c r="I367" s="30">
        <f>VLOOKUP(C367,DATA!$A$2:$G$243,5,FALSE)</f>
        <v>25000</v>
      </c>
      <c r="J367" s="30">
        <f t="shared" si="17"/>
        <v>25000</v>
      </c>
      <c r="K367" s="31">
        <f>VLOOKUP(C367,DATA!$A$2:$G$243,3,FALSE)</f>
        <v>19.95</v>
      </c>
      <c r="L367" s="31">
        <f>VLOOKUP(C367,DATA!$A$2:$G$243,4,FALSE)</f>
        <v>7.98</v>
      </c>
      <c r="M367" s="31">
        <f t="shared" si="16"/>
        <v>7.98</v>
      </c>
      <c r="N367" s="25" t="str">
        <f>VLOOKUP(C367,DATA!$A$2:$G$243,6,FALSE)</f>
        <v>Luxury Leather Laces</v>
      </c>
      <c r="O367" s="16">
        <v>28605</v>
      </c>
    </row>
    <row r="368" spans="1:15" s="4" customFormat="1">
      <c r="A368" s="16" t="s">
        <v>6</v>
      </c>
      <c r="B368" s="18">
        <v>42927</v>
      </c>
      <c r="C368" s="18" t="s">
        <v>581</v>
      </c>
      <c r="D368" s="21">
        <v>36</v>
      </c>
      <c r="E368" s="22">
        <v>1</v>
      </c>
      <c r="F368" s="18" t="s">
        <v>414</v>
      </c>
      <c r="G368" s="29" t="str">
        <f>VLOOKUP(C368,DATA!$A$2:$G$243,2,FALSE)</f>
        <v>Gold Luxury Leather Laces - SilverPlated</v>
      </c>
      <c r="H368" s="30">
        <f t="shared" si="15"/>
        <v>1</v>
      </c>
      <c r="I368" s="30">
        <f>VLOOKUP(C368,DATA!$A$2:$G$243,5,FALSE)</f>
        <v>25000</v>
      </c>
      <c r="J368" s="30">
        <f t="shared" si="17"/>
        <v>25000</v>
      </c>
      <c r="K368" s="31">
        <f>VLOOKUP(C368,DATA!$A$2:$G$243,3,FALSE)</f>
        <v>19.95</v>
      </c>
      <c r="L368" s="31">
        <f>VLOOKUP(C368,DATA!$A$2:$G$243,4,FALSE)</f>
        <v>7.98</v>
      </c>
      <c r="M368" s="31">
        <f t="shared" si="16"/>
        <v>7.98</v>
      </c>
      <c r="N368" s="25" t="str">
        <f>VLOOKUP(C368,DATA!$A$2:$G$243,6,FALSE)</f>
        <v>Luxury Leather Laces</v>
      </c>
      <c r="O368" s="16">
        <v>28605</v>
      </c>
    </row>
    <row r="369" spans="1:15" s="4" customFormat="1">
      <c r="A369" s="16" t="s">
        <v>6</v>
      </c>
      <c r="B369" s="18">
        <v>42927</v>
      </c>
      <c r="C369" s="18" t="s">
        <v>581</v>
      </c>
      <c r="D369" s="21">
        <v>45</v>
      </c>
      <c r="E369" s="22">
        <v>1</v>
      </c>
      <c r="F369" s="18" t="s">
        <v>414</v>
      </c>
      <c r="G369" s="29" t="str">
        <f>VLOOKUP(C369,DATA!$A$2:$G$243,2,FALSE)</f>
        <v>Gold Luxury Leather Laces - SilverPlated</v>
      </c>
      <c r="H369" s="30">
        <f t="shared" si="15"/>
        <v>1</v>
      </c>
      <c r="I369" s="30">
        <f>VLOOKUP(C369,DATA!$A$2:$G$243,5,FALSE)</f>
        <v>25000</v>
      </c>
      <c r="J369" s="30">
        <f t="shared" si="17"/>
        <v>25000</v>
      </c>
      <c r="K369" s="31">
        <f>VLOOKUP(C369,DATA!$A$2:$G$243,3,FALSE)</f>
        <v>19.95</v>
      </c>
      <c r="L369" s="31">
        <f>VLOOKUP(C369,DATA!$A$2:$G$243,4,FALSE)</f>
        <v>7.98</v>
      </c>
      <c r="M369" s="31">
        <f t="shared" si="16"/>
        <v>7.98</v>
      </c>
      <c r="N369" s="25" t="str">
        <f>VLOOKUP(C369,DATA!$A$2:$G$243,6,FALSE)</f>
        <v>Luxury Leather Laces</v>
      </c>
      <c r="O369" s="16">
        <v>28605</v>
      </c>
    </row>
    <row r="370" spans="1:15" s="4" customFormat="1">
      <c r="A370" s="16" t="s">
        <v>6</v>
      </c>
      <c r="B370" s="18">
        <v>42927</v>
      </c>
      <c r="C370" s="18" t="s">
        <v>581</v>
      </c>
      <c r="D370" s="21">
        <v>54</v>
      </c>
      <c r="E370" s="22">
        <v>1</v>
      </c>
      <c r="F370" s="18" t="s">
        <v>414</v>
      </c>
      <c r="G370" s="29" t="str">
        <f>VLOOKUP(C370,DATA!$A$2:$G$243,2,FALSE)</f>
        <v>Gold Luxury Leather Laces - SilverPlated</v>
      </c>
      <c r="H370" s="30">
        <f t="shared" si="15"/>
        <v>1</v>
      </c>
      <c r="I370" s="30">
        <f>VLOOKUP(C370,DATA!$A$2:$G$243,5,FALSE)</f>
        <v>25000</v>
      </c>
      <c r="J370" s="30">
        <f t="shared" si="17"/>
        <v>25000</v>
      </c>
      <c r="K370" s="31">
        <f>VLOOKUP(C370,DATA!$A$2:$G$243,3,FALSE)</f>
        <v>19.95</v>
      </c>
      <c r="L370" s="31">
        <f>VLOOKUP(C370,DATA!$A$2:$G$243,4,FALSE)</f>
        <v>7.98</v>
      </c>
      <c r="M370" s="31">
        <f t="shared" si="16"/>
        <v>7.98</v>
      </c>
      <c r="N370" s="25" t="str">
        <f>VLOOKUP(C370,DATA!$A$2:$G$243,6,FALSE)</f>
        <v>Luxury Leather Laces</v>
      </c>
      <c r="O370" s="16">
        <v>28605</v>
      </c>
    </row>
    <row r="371" spans="1:15" s="4" customFormat="1">
      <c r="A371" s="16" t="s">
        <v>6</v>
      </c>
      <c r="B371" s="18">
        <v>42927</v>
      </c>
      <c r="C371" s="18" t="s">
        <v>581</v>
      </c>
      <c r="D371" s="21">
        <v>63</v>
      </c>
      <c r="E371" s="22">
        <v>1</v>
      </c>
      <c r="F371" s="18" t="s">
        <v>414</v>
      </c>
      <c r="G371" s="29" t="str">
        <f>VLOOKUP(C371,DATA!$A$2:$G$243,2,FALSE)</f>
        <v>Gold Luxury Leather Laces - SilverPlated</v>
      </c>
      <c r="H371" s="30">
        <f t="shared" si="15"/>
        <v>1</v>
      </c>
      <c r="I371" s="30">
        <f>VLOOKUP(C371,DATA!$A$2:$G$243,5,FALSE)</f>
        <v>25000</v>
      </c>
      <c r="J371" s="30">
        <f t="shared" si="17"/>
        <v>25000</v>
      </c>
      <c r="K371" s="31">
        <f>VLOOKUP(C371,DATA!$A$2:$G$243,3,FALSE)</f>
        <v>19.95</v>
      </c>
      <c r="L371" s="31">
        <f>VLOOKUP(C371,DATA!$A$2:$G$243,4,FALSE)</f>
        <v>7.98</v>
      </c>
      <c r="M371" s="31">
        <f t="shared" si="16"/>
        <v>7.98</v>
      </c>
      <c r="N371" s="25" t="str">
        <f>VLOOKUP(C371,DATA!$A$2:$G$243,6,FALSE)</f>
        <v>Luxury Leather Laces</v>
      </c>
      <c r="O371" s="16">
        <v>28605</v>
      </c>
    </row>
    <row r="372" spans="1:15" s="4" customFormat="1">
      <c r="A372" s="16" t="s">
        <v>6</v>
      </c>
      <c r="B372" s="18">
        <v>42927</v>
      </c>
      <c r="C372" s="18" t="s">
        <v>582</v>
      </c>
      <c r="D372" s="21">
        <v>36</v>
      </c>
      <c r="E372" s="22">
        <v>1</v>
      </c>
      <c r="F372" s="18" t="s">
        <v>414</v>
      </c>
      <c r="G372" s="29" t="str">
        <f>VLOOKUP(C372,DATA!$A$2:$G$243,2,FALSE)</f>
        <v>Red Luxury Leather Laces - GoldPlated</v>
      </c>
      <c r="H372" s="30">
        <f t="shared" si="15"/>
        <v>1</v>
      </c>
      <c r="I372" s="30">
        <f>VLOOKUP(C372,DATA!$A$2:$G$243,5,FALSE)</f>
        <v>25000</v>
      </c>
      <c r="J372" s="30">
        <f t="shared" si="17"/>
        <v>25000</v>
      </c>
      <c r="K372" s="31">
        <f>VLOOKUP(C372,DATA!$A$2:$G$243,3,FALSE)</f>
        <v>19.95</v>
      </c>
      <c r="L372" s="31">
        <f>VLOOKUP(C372,DATA!$A$2:$G$243,4,FALSE)</f>
        <v>7.98</v>
      </c>
      <c r="M372" s="31">
        <f t="shared" si="16"/>
        <v>7.98</v>
      </c>
      <c r="N372" s="25" t="str">
        <f>VLOOKUP(C372,DATA!$A$2:$G$243,6,FALSE)</f>
        <v>Luxury Leather Laces</v>
      </c>
      <c r="O372" s="16">
        <v>28605</v>
      </c>
    </row>
    <row r="373" spans="1:15" s="4" customFormat="1">
      <c r="A373" s="16" t="s">
        <v>6</v>
      </c>
      <c r="B373" s="18">
        <v>42927</v>
      </c>
      <c r="C373" s="18" t="s">
        <v>582</v>
      </c>
      <c r="D373" s="21">
        <v>45</v>
      </c>
      <c r="E373" s="22">
        <v>1</v>
      </c>
      <c r="F373" s="18" t="s">
        <v>414</v>
      </c>
      <c r="G373" s="29" t="str">
        <f>VLOOKUP(C373,DATA!$A$2:$G$243,2,FALSE)</f>
        <v>Red Luxury Leather Laces - GoldPlated</v>
      </c>
      <c r="H373" s="30">
        <f t="shared" si="15"/>
        <v>1</v>
      </c>
      <c r="I373" s="30">
        <f>VLOOKUP(C373,DATA!$A$2:$G$243,5,FALSE)</f>
        <v>25000</v>
      </c>
      <c r="J373" s="30">
        <f t="shared" si="17"/>
        <v>25000</v>
      </c>
      <c r="K373" s="31">
        <f>VLOOKUP(C373,DATA!$A$2:$G$243,3,FALSE)</f>
        <v>19.95</v>
      </c>
      <c r="L373" s="31">
        <f>VLOOKUP(C373,DATA!$A$2:$G$243,4,FALSE)</f>
        <v>7.98</v>
      </c>
      <c r="M373" s="31">
        <f t="shared" si="16"/>
        <v>7.98</v>
      </c>
      <c r="N373" s="25" t="str">
        <f>VLOOKUP(C373,DATA!$A$2:$G$243,6,FALSE)</f>
        <v>Luxury Leather Laces</v>
      </c>
      <c r="O373" s="16">
        <v>28605</v>
      </c>
    </row>
    <row r="374" spans="1:15" s="4" customFormat="1">
      <c r="A374" s="16" t="s">
        <v>6</v>
      </c>
      <c r="B374" s="18">
        <v>42927</v>
      </c>
      <c r="C374" s="18" t="s">
        <v>582</v>
      </c>
      <c r="D374" s="21">
        <v>54</v>
      </c>
      <c r="E374" s="22">
        <v>1</v>
      </c>
      <c r="F374" s="18" t="s">
        <v>414</v>
      </c>
      <c r="G374" s="29" t="str">
        <f>VLOOKUP(C374,DATA!$A$2:$G$243,2,FALSE)</f>
        <v>Red Luxury Leather Laces - GoldPlated</v>
      </c>
      <c r="H374" s="30">
        <f t="shared" si="15"/>
        <v>1</v>
      </c>
      <c r="I374" s="30">
        <f>VLOOKUP(C374,DATA!$A$2:$G$243,5,FALSE)</f>
        <v>25000</v>
      </c>
      <c r="J374" s="30">
        <f t="shared" si="17"/>
        <v>25000</v>
      </c>
      <c r="K374" s="31">
        <f>VLOOKUP(C374,DATA!$A$2:$G$243,3,FALSE)</f>
        <v>19.95</v>
      </c>
      <c r="L374" s="31">
        <f>VLOOKUP(C374,DATA!$A$2:$G$243,4,FALSE)</f>
        <v>7.98</v>
      </c>
      <c r="M374" s="31">
        <f t="shared" si="16"/>
        <v>7.98</v>
      </c>
      <c r="N374" s="25" t="str">
        <f>VLOOKUP(C374,DATA!$A$2:$G$243,6,FALSE)</f>
        <v>Luxury Leather Laces</v>
      </c>
      <c r="O374" s="16">
        <v>28605</v>
      </c>
    </row>
    <row r="375" spans="1:15" s="4" customFormat="1">
      <c r="A375" s="16" t="s">
        <v>6</v>
      </c>
      <c r="B375" s="18">
        <v>42927</v>
      </c>
      <c r="C375" s="18" t="s">
        <v>582</v>
      </c>
      <c r="D375" s="21">
        <v>63</v>
      </c>
      <c r="E375" s="22">
        <v>1</v>
      </c>
      <c r="F375" s="18" t="s">
        <v>414</v>
      </c>
      <c r="G375" s="29" t="str">
        <f>VLOOKUP(C375,DATA!$A$2:$G$243,2,FALSE)</f>
        <v>Red Luxury Leather Laces - GoldPlated</v>
      </c>
      <c r="H375" s="30">
        <f t="shared" si="15"/>
        <v>1</v>
      </c>
      <c r="I375" s="30">
        <f>VLOOKUP(C375,DATA!$A$2:$G$243,5,FALSE)</f>
        <v>25000</v>
      </c>
      <c r="J375" s="30">
        <f t="shared" si="17"/>
        <v>25000</v>
      </c>
      <c r="K375" s="31">
        <f>VLOOKUP(C375,DATA!$A$2:$G$243,3,FALSE)</f>
        <v>19.95</v>
      </c>
      <c r="L375" s="31">
        <f>VLOOKUP(C375,DATA!$A$2:$G$243,4,FALSE)</f>
        <v>7.98</v>
      </c>
      <c r="M375" s="31">
        <f t="shared" si="16"/>
        <v>7.98</v>
      </c>
      <c r="N375" s="25" t="str">
        <f>VLOOKUP(C375,DATA!$A$2:$G$243,6,FALSE)</f>
        <v>Luxury Leather Laces</v>
      </c>
      <c r="O375" s="16">
        <v>28605</v>
      </c>
    </row>
    <row r="376" spans="1:15" s="4" customFormat="1">
      <c r="A376" s="16" t="s">
        <v>6</v>
      </c>
      <c r="B376" s="18">
        <v>42927</v>
      </c>
      <c r="C376" s="18" t="s">
        <v>583</v>
      </c>
      <c r="D376" s="21">
        <v>36</v>
      </c>
      <c r="E376" s="22">
        <v>1</v>
      </c>
      <c r="F376" s="18" t="s">
        <v>414</v>
      </c>
      <c r="G376" s="29" t="str">
        <f>VLOOKUP(C376,DATA!$A$2:$G$243,2,FALSE)</f>
        <v>Red Luxury Leather Laces - GunmetalPlated</v>
      </c>
      <c r="H376" s="30">
        <f t="shared" si="15"/>
        <v>1</v>
      </c>
      <c r="I376" s="30">
        <f>VLOOKUP(C376,DATA!$A$2:$G$243,5,FALSE)</f>
        <v>25000</v>
      </c>
      <c r="J376" s="30">
        <f t="shared" si="17"/>
        <v>25000</v>
      </c>
      <c r="K376" s="31">
        <f>VLOOKUP(C376,DATA!$A$2:$G$243,3,FALSE)</f>
        <v>19.95</v>
      </c>
      <c r="L376" s="31">
        <f>VLOOKUP(C376,DATA!$A$2:$G$243,4,FALSE)</f>
        <v>7.98</v>
      </c>
      <c r="M376" s="31">
        <f t="shared" si="16"/>
        <v>7.98</v>
      </c>
      <c r="N376" s="25" t="str">
        <f>VLOOKUP(C376,DATA!$A$2:$G$243,6,FALSE)</f>
        <v>Luxury Leather Laces</v>
      </c>
      <c r="O376" s="16">
        <v>28605</v>
      </c>
    </row>
    <row r="377" spans="1:15" s="4" customFormat="1">
      <c r="A377" s="16" t="s">
        <v>6</v>
      </c>
      <c r="B377" s="18">
        <v>42927</v>
      </c>
      <c r="C377" s="18" t="s">
        <v>583</v>
      </c>
      <c r="D377" s="21">
        <v>45</v>
      </c>
      <c r="E377" s="22">
        <v>1</v>
      </c>
      <c r="F377" s="18" t="s">
        <v>414</v>
      </c>
      <c r="G377" s="29" t="str">
        <f>VLOOKUP(C377,DATA!$A$2:$G$243,2,FALSE)</f>
        <v>Red Luxury Leather Laces - GunmetalPlated</v>
      </c>
      <c r="H377" s="30">
        <f t="shared" si="15"/>
        <v>1</v>
      </c>
      <c r="I377" s="30">
        <f>VLOOKUP(C377,DATA!$A$2:$G$243,5,FALSE)</f>
        <v>25000</v>
      </c>
      <c r="J377" s="30">
        <f t="shared" si="17"/>
        <v>25000</v>
      </c>
      <c r="K377" s="31">
        <f>VLOOKUP(C377,DATA!$A$2:$G$243,3,FALSE)</f>
        <v>19.95</v>
      </c>
      <c r="L377" s="31">
        <f>VLOOKUP(C377,DATA!$A$2:$G$243,4,FALSE)</f>
        <v>7.98</v>
      </c>
      <c r="M377" s="31">
        <f t="shared" si="16"/>
        <v>7.98</v>
      </c>
      <c r="N377" s="25" t="str">
        <f>VLOOKUP(C377,DATA!$A$2:$G$243,6,FALSE)</f>
        <v>Luxury Leather Laces</v>
      </c>
      <c r="O377" s="16">
        <v>28605</v>
      </c>
    </row>
    <row r="378" spans="1:15" s="4" customFormat="1">
      <c r="A378" s="16" t="s">
        <v>6</v>
      </c>
      <c r="B378" s="18">
        <v>42927</v>
      </c>
      <c r="C378" s="18" t="s">
        <v>583</v>
      </c>
      <c r="D378" s="21">
        <v>54</v>
      </c>
      <c r="E378" s="22">
        <v>1</v>
      </c>
      <c r="F378" s="18" t="s">
        <v>414</v>
      </c>
      <c r="G378" s="29" t="str">
        <f>VLOOKUP(C378,DATA!$A$2:$G$243,2,FALSE)</f>
        <v>Red Luxury Leather Laces - GunmetalPlated</v>
      </c>
      <c r="H378" s="30">
        <f t="shared" si="15"/>
        <v>1</v>
      </c>
      <c r="I378" s="30">
        <f>VLOOKUP(C378,DATA!$A$2:$G$243,5,FALSE)</f>
        <v>25000</v>
      </c>
      <c r="J378" s="30">
        <f t="shared" si="17"/>
        <v>25000</v>
      </c>
      <c r="K378" s="31">
        <f>VLOOKUP(C378,DATA!$A$2:$G$243,3,FALSE)</f>
        <v>19.95</v>
      </c>
      <c r="L378" s="31">
        <f>VLOOKUP(C378,DATA!$A$2:$G$243,4,FALSE)</f>
        <v>7.98</v>
      </c>
      <c r="M378" s="31">
        <f t="shared" si="16"/>
        <v>7.98</v>
      </c>
      <c r="N378" s="25" t="str">
        <f>VLOOKUP(C378,DATA!$A$2:$G$243,6,FALSE)</f>
        <v>Luxury Leather Laces</v>
      </c>
      <c r="O378" s="16">
        <v>28605</v>
      </c>
    </row>
    <row r="379" spans="1:15" s="4" customFormat="1">
      <c r="A379" s="16" t="s">
        <v>6</v>
      </c>
      <c r="B379" s="18">
        <v>42927</v>
      </c>
      <c r="C379" s="18" t="s">
        <v>583</v>
      </c>
      <c r="D379" s="21">
        <v>63</v>
      </c>
      <c r="E379" s="22">
        <v>1</v>
      </c>
      <c r="F379" s="18" t="s">
        <v>414</v>
      </c>
      <c r="G379" s="29" t="str">
        <f>VLOOKUP(C379,DATA!$A$2:$G$243,2,FALSE)</f>
        <v>Red Luxury Leather Laces - GunmetalPlated</v>
      </c>
      <c r="H379" s="30">
        <f t="shared" si="15"/>
        <v>1</v>
      </c>
      <c r="I379" s="30">
        <f>VLOOKUP(C379,DATA!$A$2:$G$243,5,FALSE)</f>
        <v>25000</v>
      </c>
      <c r="J379" s="30">
        <f t="shared" si="17"/>
        <v>25000</v>
      </c>
      <c r="K379" s="31">
        <f>VLOOKUP(C379,DATA!$A$2:$G$243,3,FALSE)</f>
        <v>19.95</v>
      </c>
      <c r="L379" s="31">
        <f>VLOOKUP(C379,DATA!$A$2:$G$243,4,FALSE)</f>
        <v>7.98</v>
      </c>
      <c r="M379" s="31">
        <f t="shared" si="16"/>
        <v>7.98</v>
      </c>
      <c r="N379" s="25" t="str">
        <f>VLOOKUP(C379,DATA!$A$2:$G$243,6,FALSE)</f>
        <v>Luxury Leather Laces</v>
      </c>
      <c r="O379" s="16">
        <v>28605</v>
      </c>
    </row>
    <row r="380" spans="1:15" s="4" customFormat="1">
      <c r="A380" s="16" t="s">
        <v>6</v>
      </c>
      <c r="B380" s="18">
        <v>42927</v>
      </c>
      <c r="C380" s="18" t="s">
        <v>584</v>
      </c>
      <c r="D380" s="21">
        <v>36</v>
      </c>
      <c r="E380" s="22">
        <v>1</v>
      </c>
      <c r="F380" s="18" t="s">
        <v>414</v>
      </c>
      <c r="G380" s="29" t="str">
        <f>VLOOKUP(C380,DATA!$A$2:$G$243,2,FALSE)</f>
        <v>Red Luxury Leather Laces - SilverPlated</v>
      </c>
      <c r="H380" s="30">
        <f t="shared" si="15"/>
        <v>1</v>
      </c>
      <c r="I380" s="30">
        <f>VLOOKUP(C380,DATA!$A$2:$G$243,5,FALSE)</f>
        <v>25000</v>
      </c>
      <c r="J380" s="30">
        <f t="shared" si="17"/>
        <v>25000</v>
      </c>
      <c r="K380" s="31">
        <f>VLOOKUP(C380,DATA!$A$2:$G$243,3,FALSE)</f>
        <v>19.95</v>
      </c>
      <c r="L380" s="31">
        <f>VLOOKUP(C380,DATA!$A$2:$G$243,4,FALSE)</f>
        <v>7.98</v>
      </c>
      <c r="M380" s="31">
        <f t="shared" si="16"/>
        <v>7.98</v>
      </c>
      <c r="N380" s="25" t="str">
        <f>VLOOKUP(C380,DATA!$A$2:$G$243,6,FALSE)</f>
        <v>Luxury Leather Laces</v>
      </c>
      <c r="O380" s="16">
        <v>28605</v>
      </c>
    </row>
    <row r="381" spans="1:15" s="4" customFormat="1">
      <c r="A381" s="16" t="s">
        <v>6</v>
      </c>
      <c r="B381" s="18">
        <v>42927</v>
      </c>
      <c r="C381" s="18" t="s">
        <v>584</v>
      </c>
      <c r="D381" s="21">
        <v>45</v>
      </c>
      <c r="E381" s="22">
        <v>1</v>
      </c>
      <c r="F381" s="18" t="s">
        <v>414</v>
      </c>
      <c r="G381" s="29" t="str">
        <f>VLOOKUP(C381,DATA!$A$2:$G$243,2,FALSE)</f>
        <v>Red Luxury Leather Laces - SilverPlated</v>
      </c>
      <c r="H381" s="30">
        <f t="shared" si="15"/>
        <v>1</v>
      </c>
      <c r="I381" s="30">
        <f>VLOOKUP(C381,DATA!$A$2:$G$243,5,FALSE)</f>
        <v>25000</v>
      </c>
      <c r="J381" s="30">
        <f t="shared" si="17"/>
        <v>25000</v>
      </c>
      <c r="K381" s="31">
        <f>VLOOKUP(C381,DATA!$A$2:$G$243,3,FALSE)</f>
        <v>19.95</v>
      </c>
      <c r="L381" s="31">
        <f>VLOOKUP(C381,DATA!$A$2:$G$243,4,FALSE)</f>
        <v>7.98</v>
      </c>
      <c r="M381" s="31">
        <f t="shared" si="16"/>
        <v>7.98</v>
      </c>
      <c r="N381" s="25" t="str">
        <f>VLOOKUP(C381,DATA!$A$2:$G$243,6,FALSE)</f>
        <v>Luxury Leather Laces</v>
      </c>
      <c r="O381" s="16">
        <v>28605</v>
      </c>
    </row>
    <row r="382" spans="1:15" s="4" customFormat="1">
      <c r="A382" s="16" t="s">
        <v>6</v>
      </c>
      <c r="B382" s="18">
        <v>42927</v>
      </c>
      <c r="C382" s="18" t="s">
        <v>584</v>
      </c>
      <c r="D382" s="21">
        <v>54</v>
      </c>
      <c r="E382" s="22">
        <v>1</v>
      </c>
      <c r="F382" s="18" t="s">
        <v>414</v>
      </c>
      <c r="G382" s="29" t="str">
        <f>VLOOKUP(C382,DATA!$A$2:$G$243,2,FALSE)</f>
        <v>Red Luxury Leather Laces - SilverPlated</v>
      </c>
      <c r="H382" s="30">
        <f t="shared" si="15"/>
        <v>1</v>
      </c>
      <c r="I382" s="30">
        <f>VLOOKUP(C382,DATA!$A$2:$G$243,5,FALSE)</f>
        <v>25000</v>
      </c>
      <c r="J382" s="30">
        <f t="shared" si="17"/>
        <v>25000</v>
      </c>
      <c r="K382" s="31">
        <f>VLOOKUP(C382,DATA!$A$2:$G$243,3,FALSE)</f>
        <v>19.95</v>
      </c>
      <c r="L382" s="31">
        <f>VLOOKUP(C382,DATA!$A$2:$G$243,4,FALSE)</f>
        <v>7.98</v>
      </c>
      <c r="M382" s="31">
        <f t="shared" si="16"/>
        <v>7.98</v>
      </c>
      <c r="N382" s="25" t="str">
        <f>VLOOKUP(C382,DATA!$A$2:$G$243,6,FALSE)</f>
        <v>Luxury Leather Laces</v>
      </c>
      <c r="O382" s="16">
        <v>28605</v>
      </c>
    </row>
    <row r="383" spans="1:15" s="4" customFormat="1">
      <c r="A383" s="16" t="s">
        <v>6</v>
      </c>
      <c r="B383" s="18">
        <v>42927</v>
      </c>
      <c r="C383" s="18" t="s">
        <v>584</v>
      </c>
      <c r="D383" s="21">
        <v>63</v>
      </c>
      <c r="E383" s="22">
        <v>1</v>
      </c>
      <c r="F383" s="18" t="s">
        <v>414</v>
      </c>
      <c r="G383" s="29" t="str">
        <f>VLOOKUP(C383,DATA!$A$2:$G$243,2,FALSE)</f>
        <v>Red Luxury Leather Laces - SilverPlated</v>
      </c>
      <c r="H383" s="30">
        <f t="shared" si="15"/>
        <v>1</v>
      </c>
      <c r="I383" s="30">
        <f>VLOOKUP(C383,DATA!$A$2:$G$243,5,FALSE)</f>
        <v>25000</v>
      </c>
      <c r="J383" s="30">
        <f t="shared" si="17"/>
        <v>25000</v>
      </c>
      <c r="K383" s="31">
        <f>VLOOKUP(C383,DATA!$A$2:$G$243,3,FALSE)</f>
        <v>19.95</v>
      </c>
      <c r="L383" s="31">
        <f>VLOOKUP(C383,DATA!$A$2:$G$243,4,FALSE)</f>
        <v>7.98</v>
      </c>
      <c r="M383" s="31">
        <f t="shared" si="16"/>
        <v>7.98</v>
      </c>
      <c r="N383" s="25" t="str">
        <f>VLOOKUP(C383,DATA!$A$2:$G$243,6,FALSE)</f>
        <v>Luxury Leather Laces</v>
      </c>
      <c r="O383" s="16">
        <v>28605</v>
      </c>
    </row>
    <row r="384" spans="1:15" s="4" customFormat="1">
      <c r="A384" s="16" t="s">
        <v>6</v>
      </c>
      <c r="B384" s="18">
        <v>42927</v>
      </c>
      <c r="C384" s="18" t="s">
        <v>585</v>
      </c>
      <c r="D384" s="21">
        <v>36</v>
      </c>
      <c r="E384" s="22">
        <v>1</v>
      </c>
      <c r="F384" s="18" t="s">
        <v>414</v>
      </c>
      <c r="G384" s="29" t="str">
        <f>VLOOKUP(C384,DATA!$A$2:$G$243,2,FALSE)</f>
        <v>Royal Blue Luxury Leather Laces - GoldPlated</v>
      </c>
      <c r="H384" s="30">
        <f t="shared" si="15"/>
        <v>1</v>
      </c>
      <c r="I384" s="30">
        <f>VLOOKUP(C384,DATA!$A$2:$G$243,5,FALSE)</f>
        <v>25000</v>
      </c>
      <c r="J384" s="30">
        <f t="shared" si="17"/>
        <v>25000</v>
      </c>
      <c r="K384" s="31">
        <f>VLOOKUP(C384,DATA!$A$2:$G$243,3,FALSE)</f>
        <v>19.95</v>
      </c>
      <c r="L384" s="31">
        <f>VLOOKUP(C384,DATA!$A$2:$G$243,4,FALSE)</f>
        <v>7.98</v>
      </c>
      <c r="M384" s="31">
        <f t="shared" si="16"/>
        <v>7.98</v>
      </c>
      <c r="N384" s="25" t="str">
        <f>VLOOKUP(C384,DATA!$A$2:$G$243,6,FALSE)</f>
        <v>Luxury Leather Laces</v>
      </c>
      <c r="O384" s="16">
        <v>28605</v>
      </c>
    </row>
    <row r="385" spans="1:15" s="4" customFormat="1">
      <c r="A385" s="16" t="s">
        <v>6</v>
      </c>
      <c r="B385" s="18">
        <v>42927</v>
      </c>
      <c r="C385" s="18" t="s">
        <v>585</v>
      </c>
      <c r="D385" s="21">
        <v>45</v>
      </c>
      <c r="E385" s="22">
        <v>1</v>
      </c>
      <c r="F385" s="18" t="s">
        <v>414</v>
      </c>
      <c r="G385" s="29" t="str">
        <f>VLOOKUP(C385,DATA!$A$2:$G$243,2,FALSE)</f>
        <v>Royal Blue Luxury Leather Laces - GoldPlated</v>
      </c>
      <c r="H385" s="30">
        <f t="shared" si="15"/>
        <v>1</v>
      </c>
      <c r="I385" s="30">
        <f>VLOOKUP(C385,DATA!$A$2:$G$243,5,FALSE)</f>
        <v>25000</v>
      </c>
      <c r="J385" s="30">
        <f t="shared" si="17"/>
        <v>25000</v>
      </c>
      <c r="K385" s="31">
        <f>VLOOKUP(C385,DATA!$A$2:$G$243,3,FALSE)</f>
        <v>19.95</v>
      </c>
      <c r="L385" s="31">
        <f>VLOOKUP(C385,DATA!$A$2:$G$243,4,FALSE)</f>
        <v>7.98</v>
      </c>
      <c r="M385" s="31">
        <f t="shared" si="16"/>
        <v>7.98</v>
      </c>
      <c r="N385" s="25" t="str">
        <f>VLOOKUP(C385,DATA!$A$2:$G$243,6,FALSE)</f>
        <v>Luxury Leather Laces</v>
      </c>
      <c r="O385" s="16">
        <v>28605</v>
      </c>
    </row>
    <row r="386" spans="1:15" s="4" customFormat="1">
      <c r="A386" s="16" t="s">
        <v>6</v>
      </c>
      <c r="B386" s="18">
        <v>42927</v>
      </c>
      <c r="C386" s="18" t="s">
        <v>585</v>
      </c>
      <c r="D386" s="21">
        <v>54</v>
      </c>
      <c r="E386" s="22">
        <v>1</v>
      </c>
      <c r="F386" s="18" t="s">
        <v>414</v>
      </c>
      <c r="G386" s="29" t="str">
        <f>VLOOKUP(C386,DATA!$A$2:$G$243,2,FALSE)</f>
        <v>Royal Blue Luxury Leather Laces - GoldPlated</v>
      </c>
      <c r="H386" s="30">
        <f t="shared" ref="H386:H449" si="18">IF(F386="입",E386,-1*E386)</f>
        <v>1</v>
      </c>
      <c r="I386" s="30">
        <f>VLOOKUP(C386,DATA!$A$2:$G$243,5,FALSE)</f>
        <v>25000</v>
      </c>
      <c r="J386" s="30">
        <f t="shared" si="17"/>
        <v>25000</v>
      </c>
      <c r="K386" s="31">
        <f>VLOOKUP(C386,DATA!$A$2:$G$243,3,FALSE)</f>
        <v>19.95</v>
      </c>
      <c r="L386" s="31">
        <f>VLOOKUP(C386,DATA!$A$2:$G$243,4,FALSE)</f>
        <v>7.98</v>
      </c>
      <c r="M386" s="31">
        <f t="shared" ref="M386:M449" si="19">L386*E386</f>
        <v>7.98</v>
      </c>
      <c r="N386" s="25" t="str">
        <f>VLOOKUP(C386,DATA!$A$2:$G$243,6,FALSE)</f>
        <v>Luxury Leather Laces</v>
      </c>
      <c r="O386" s="16">
        <v>28605</v>
      </c>
    </row>
    <row r="387" spans="1:15" s="4" customFormat="1">
      <c r="A387" s="16" t="s">
        <v>6</v>
      </c>
      <c r="B387" s="18">
        <v>42927</v>
      </c>
      <c r="C387" s="18" t="s">
        <v>585</v>
      </c>
      <c r="D387" s="21">
        <v>63</v>
      </c>
      <c r="E387" s="22">
        <v>1</v>
      </c>
      <c r="F387" s="18" t="s">
        <v>414</v>
      </c>
      <c r="G387" s="29" t="str">
        <f>VLOOKUP(C387,DATA!$A$2:$G$243,2,FALSE)</f>
        <v>Royal Blue Luxury Leather Laces - GoldPlated</v>
      </c>
      <c r="H387" s="30">
        <f t="shared" si="18"/>
        <v>1</v>
      </c>
      <c r="I387" s="30">
        <f>VLOOKUP(C387,DATA!$A$2:$G$243,5,FALSE)</f>
        <v>25000</v>
      </c>
      <c r="J387" s="30">
        <f t="shared" ref="J387:J450" si="20">I387*E387</f>
        <v>25000</v>
      </c>
      <c r="K387" s="31">
        <f>VLOOKUP(C387,DATA!$A$2:$G$243,3,FALSE)</f>
        <v>19.95</v>
      </c>
      <c r="L387" s="31">
        <f>VLOOKUP(C387,DATA!$A$2:$G$243,4,FALSE)</f>
        <v>7.98</v>
      </c>
      <c r="M387" s="31">
        <f t="shared" si="19"/>
        <v>7.98</v>
      </c>
      <c r="N387" s="25" t="str">
        <f>VLOOKUP(C387,DATA!$A$2:$G$243,6,FALSE)</f>
        <v>Luxury Leather Laces</v>
      </c>
      <c r="O387" s="16">
        <v>28605</v>
      </c>
    </row>
    <row r="388" spans="1:15" s="4" customFormat="1">
      <c r="A388" s="16" t="s">
        <v>6</v>
      </c>
      <c r="B388" s="18">
        <v>42927</v>
      </c>
      <c r="C388" s="18" t="s">
        <v>586</v>
      </c>
      <c r="D388" s="21">
        <v>36</v>
      </c>
      <c r="E388" s="22">
        <v>1</v>
      </c>
      <c r="F388" s="18" t="s">
        <v>414</v>
      </c>
      <c r="G388" s="29" t="str">
        <f>VLOOKUP(C388,DATA!$A$2:$G$243,2,FALSE)</f>
        <v>Royal Blue Luxury Leather Laces - GunmetalPlated</v>
      </c>
      <c r="H388" s="30">
        <f t="shared" si="18"/>
        <v>1</v>
      </c>
      <c r="I388" s="30">
        <f>VLOOKUP(C388,DATA!$A$2:$G$243,5,FALSE)</f>
        <v>25000</v>
      </c>
      <c r="J388" s="30">
        <f t="shared" si="20"/>
        <v>25000</v>
      </c>
      <c r="K388" s="31">
        <f>VLOOKUP(C388,DATA!$A$2:$G$243,3,FALSE)</f>
        <v>19.95</v>
      </c>
      <c r="L388" s="31">
        <f>VLOOKUP(C388,DATA!$A$2:$G$243,4,FALSE)</f>
        <v>7.98</v>
      </c>
      <c r="M388" s="31">
        <f t="shared" si="19"/>
        <v>7.98</v>
      </c>
      <c r="N388" s="25" t="str">
        <f>VLOOKUP(C388,DATA!$A$2:$G$243,6,FALSE)</f>
        <v>Luxury Leather Laces</v>
      </c>
      <c r="O388" s="16">
        <v>28605</v>
      </c>
    </row>
    <row r="389" spans="1:15" s="4" customFormat="1">
      <c r="A389" s="16" t="s">
        <v>6</v>
      </c>
      <c r="B389" s="18">
        <v>42927</v>
      </c>
      <c r="C389" s="18" t="s">
        <v>586</v>
      </c>
      <c r="D389" s="21">
        <v>45</v>
      </c>
      <c r="E389" s="22">
        <v>1</v>
      </c>
      <c r="F389" s="18" t="s">
        <v>414</v>
      </c>
      <c r="G389" s="29" t="str">
        <f>VLOOKUP(C389,DATA!$A$2:$G$243,2,FALSE)</f>
        <v>Royal Blue Luxury Leather Laces - GunmetalPlated</v>
      </c>
      <c r="H389" s="30">
        <f t="shared" si="18"/>
        <v>1</v>
      </c>
      <c r="I389" s="30">
        <f>VLOOKUP(C389,DATA!$A$2:$G$243,5,FALSE)</f>
        <v>25000</v>
      </c>
      <c r="J389" s="30">
        <f t="shared" si="20"/>
        <v>25000</v>
      </c>
      <c r="K389" s="31">
        <f>VLOOKUP(C389,DATA!$A$2:$G$243,3,FALSE)</f>
        <v>19.95</v>
      </c>
      <c r="L389" s="31">
        <f>VLOOKUP(C389,DATA!$A$2:$G$243,4,FALSE)</f>
        <v>7.98</v>
      </c>
      <c r="M389" s="31">
        <f t="shared" si="19"/>
        <v>7.98</v>
      </c>
      <c r="N389" s="25" t="str">
        <f>VLOOKUP(C389,DATA!$A$2:$G$243,6,FALSE)</f>
        <v>Luxury Leather Laces</v>
      </c>
      <c r="O389" s="16">
        <v>28605</v>
      </c>
    </row>
    <row r="390" spans="1:15" s="4" customFormat="1">
      <c r="A390" s="16" t="s">
        <v>6</v>
      </c>
      <c r="B390" s="18">
        <v>42927</v>
      </c>
      <c r="C390" s="18" t="s">
        <v>586</v>
      </c>
      <c r="D390" s="21">
        <v>54</v>
      </c>
      <c r="E390" s="22">
        <v>1</v>
      </c>
      <c r="F390" s="18" t="s">
        <v>414</v>
      </c>
      <c r="G390" s="29" t="str">
        <f>VLOOKUP(C390,DATA!$A$2:$G$243,2,FALSE)</f>
        <v>Royal Blue Luxury Leather Laces - GunmetalPlated</v>
      </c>
      <c r="H390" s="30">
        <f t="shared" si="18"/>
        <v>1</v>
      </c>
      <c r="I390" s="30">
        <f>VLOOKUP(C390,DATA!$A$2:$G$243,5,FALSE)</f>
        <v>25000</v>
      </c>
      <c r="J390" s="30">
        <f t="shared" si="20"/>
        <v>25000</v>
      </c>
      <c r="K390" s="31">
        <f>VLOOKUP(C390,DATA!$A$2:$G$243,3,FALSE)</f>
        <v>19.95</v>
      </c>
      <c r="L390" s="31">
        <f>VLOOKUP(C390,DATA!$A$2:$G$243,4,FALSE)</f>
        <v>7.98</v>
      </c>
      <c r="M390" s="31">
        <f t="shared" si="19"/>
        <v>7.98</v>
      </c>
      <c r="N390" s="25" t="str">
        <f>VLOOKUP(C390,DATA!$A$2:$G$243,6,FALSE)</f>
        <v>Luxury Leather Laces</v>
      </c>
      <c r="O390" s="16">
        <v>28605</v>
      </c>
    </row>
    <row r="391" spans="1:15" s="4" customFormat="1">
      <c r="A391" s="16" t="s">
        <v>6</v>
      </c>
      <c r="B391" s="18">
        <v>42927</v>
      </c>
      <c r="C391" s="18" t="s">
        <v>586</v>
      </c>
      <c r="D391" s="21">
        <v>63</v>
      </c>
      <c r="E391" s="22">
        <v>1</v>
      </c>
      <c r="F391" s="18" t="s">
        <v>414</v>
      </c>
      <c r="G391" s="29" t="str">
        <f>VLOOKUP(C391,DATA!$A$2:$G$243,2,FALSE)</f>
        <v>Royal Blue Luxury Leather Laces - GunmetalPlated</v>
      </c>
      <c r="H391" s="30">
        <f t="shared" si="18"/>
        <v>1</v>
      </c>
      <c r="I391" s="30">
        <f>VLOOKUP(C391,DATA!$A$2:$G$243,5,FALSE)</f>
        <v>25000</v>
      </c>
      <c r="J391" s="30">
        <f t="shared" si="20"/>
        <v>25000</v>
      </c>
      <c r="K391" s="31">
        <f>VLOOKUP(C391,DATA!$A$2:$G$243,3,FALSE)</f>
        <v>19.95</v>
      </c>
      <c r="L391" s="31">
        <f>VLOOKUP(C391,DATA!$A$2:$G$243,4,FALSE)</f>
        <v>7.98</v>
      </c>
      <c r="M391" s="31">
        <f t="shared" si="19"/>
        <v>7.98</v>
      </c>
      <c r="N391" s="25" t="str">
        <f>VLOOKUP(C391,DATA!$A$2:$G$243,6,FALSE)</f>
        <v>Luxury Leather Laces</v>
      </c>
      <c r="O391" s="16">
        <v>28605</v>
      </c>
    </row>
    <row r="392" spans="1:15" s="4" customFormat="1">
      <c r="A392" s="16" t="s">
        <v>6</v>
      </c>
      <c r="B392" s="18">
        <v>42927</v>
      </c>
      <c r="C392" s="18" t="s">
        <v>587</v>
      </c>
      <c r="D392" s="21">
        <v>36</v>
      </c>
      <c r="E392" s="22">
        <v>1</v>
      </c>
      <c r="F392" s="18" t="s">
        <v>414</v>
      </c>
      <c r="G392" s="29" t="str">
        <f>VLOOKUP(C392,DATA!$A$2:$G$243,2,FALSE)</f>
        <v>Royal Blue Luxury Leather Laces - SilverPlated</v>
      </c>
      <c r="H392" s="30">
        <f t="shared" si="18"/>
        <v>1</v>
      </c>
      <c r="I392" s="30">
        <f>VLOOKUP(C392,DATA!$A$2:$G$243,5,FALSE)</f>
        <v>25000</v>
      </c>
      <c r="J392" s="30">
        <f t="shared" si="20"/>
        <v>25000</v>
      </c>
      <c r="K392" s="31">
        <f>VLOOKUP(C392,DATA!$A$2:$G$243,3,FALSE)</f>
        <v>19.95</v>
      </c>
      <c r="L392" s="31">
        <f>VLOOKUP(C392,DATA!$A$2:$G$243,4,FALSE)</f>
        <v>7.98</v>
      </c>
      <c r="M392" s="31">
        <f t="shared" si="19"/>
        <v>7.98</v>
      </c>
      <c r="N392" s="25" t="str">
        <f>VLOOKUP(C392,DATA!$A$2:$G$243,6,FALSE)</f>
        <v>Luxury Leather Laces</v>
      </c>
      <c r="O392" s="16">
        <v>28605</v>
      </c>
    </row>
    <row r="393" spans="1:15" s="4" customFormat="1">
      <c r="A393" s="16" t="s">
        <v>6</v>
      </c>
      <c r="B393" s="18">
        <v>42927</v>
      </c>
      <c r="C393" s="18" t="s">
        <v>587</v>
      </c>
      <c r="D393" s="21">
        <v>45</v>
      </c>
      <c r="E393" s="22">
        <v>1</v>
      </c>
      <c r="F393" s="18" t="s">
        <v>414</v>
      </c>
      <c r="G393" s="29" t="str">
        <f>VLOOKUP(C393,DATA!$A$2:$G$243,2,FALSE)</f>
        <v>Royal Blue Luxury Leather Laces - SilverPlated</v>
      </c>
      <c r="H393" s="30">
        <f t="shared" si="18"/>
        <v>1</v>
      </c>
      <c r="I393" s="30">
        <f>VLOOKUP(C393,DATA!$A$2:$G$243,5,FALSE)</f>
        <v>25000</v>
      </c>
      <c r="J393" s="30">
        <f t="shared" si="20"/>
        <v>25000</v>
      </c>
      <c r="K393" s="31">
        <f>VLOOKUP(C393,DATA!$A$2:$G$243,3,FALSE)</f>
        <v>19.95</v>
      </c>
      <c r="L393" s="31">
        <f>VLOOKUP(C393,DATA!$A$2:$G$243,4,FALSE)</f>
        <v>7.98</v>
      </c>
      <c r="M393" s="31">
        <f t="shared" si="19"/>
        <v>7.98</v>
      </c>
      <c r="N393" s="25" t="str">
        <f>VLOOKUP(C393,DATA!$A$2:$G$243,6,FALSE)</f>
        <v>Luxury Leather Laces</v>
      </c>
      <c r="O393" s="16">
        <v>28605</v>
      </c>
    </row>
    <row r="394" spans="1:15" s="4" customFormat="1">
      <c r="A394" s="16" t="s">
        <v>6</v>
      </c>
      <c r="B394" s="18">
        <v>42927</v>
      </c>
      <c r="C394" s="18" t="s">
        <v>587</v>
      </c>
      <c r="D394" s="21">
        <v>54</v>
      </c>
      <c r="E394" s="22">
        <v>1</v>
      </c>
      <c r="F394" s="18" t="s">
        <v>414</v>
      </c>
      <c r="G394" s="29" t="str">
        <f>VLOOKUP(C394,DATA!$A$2:$G$243,2,FALSE)</f>
        <v>Royal Blue Luxury Leather Laces - SilverPlated</v>
      </c>
      <c r="H394" s="30">
        <f t="shared" si="18"/>
        <v>1</v>
      </c>
      <c r="I394" s="30">
        <f>VLOOKUP(C394,DATA!$A$2:$G$243,5,FALSE)</f>
        <v>25000</v>
      </c>
      <c r="J394" s="30">
        <f t="shared" si="20"/>
        <v>25000</v>
      </c>
      <c r="K394" s="31">
        <f>VLOOKUP(C394,DATA!$A$2:$G$243,3,FALSE)</f>
        <v>19.95</v>
      </c>
      <c r="L394" s="31">
        <f>VLOOKUP(C394,DATA!$A$2:$G$243,4,FALSE)</f>
        <v>7.98</v>
      </c>
      <c r="M394" s="31">
        <f t="shared" si="19"/>
        <v>7.98</v>
      </c>
      <c r="N394" s="25" t="str">
        <f>VLOOKUP(C394,DATA!$A$2:$G$243,6,FALSE)</f>
        <v>Luxury Leather Laces</v>
      </c>
      <c r="O394" s="16">
        <v>28605</v>
      </c>
    </row>
    <row r="395" spans="1:15" s="4" customFormat="1">
      <c r="A395" s="16" t="s">
        <v>6</v>
      </c>
      <c r="B395" s="18">
        <v>42927</v>
      </c>
      <c r="C395" s="18" t="s">
        <v>587</v>
      </c>
      <c r="D395" s="21">
        <v>63</v>
      </c>
      <c r="E395" s="22">
        <v>1</v>
      </c>
      <c r="F395" s="18" t="s">
        <v>414</v>
      </c>
      <c r="G395" s="29" t="str">
        <f>VLOOKUP(C395,DATA!$A$2:$G$243,2,FALSE)</f>
        <v>Royal Blue Luxury Leather Laces - SilverPlated</v>
      </c>
      <c r="H395" s="30">
        <f t="shared" si="18"/>
        <v>1</v>
      </c>
      <c r="I395" s="30">
        <f>VLOOKUP(C395,DATA!$A$2:$G$243,5,FALSE)</f>
        <v>25000</v>
      </c>
      <c r="J395" s="30">
        <f t="shared" si="20"/>
        <v>25000</v>
      </c>
      <c r="K395" s="31">
        <f>VLOOKUP(C395,DATA!$A$2:$G$243,3,FALSE)</f>
        <v>19.95</v>
      </c>
      <c r="L395" s="31">
        <f>VLOOKUP(C395,DATA!$A$2:$G$243,4,FALSE)</f>
        <v>7.98</v>
      </c>
      <c r="M395" s="31">
        <f t="shared" si="19"/>
        <v>7.98</v>
      </c>
      <c r="N395" s="25" t="str">
        <f>VLOOKUP(C395,DATA!$A$2:$G$243,6,FALSE)</f>
        <v>Luxury Leather Laces</v>
      </c>
      <c r="O395" s="16">
        <v>28605</v>
      </c>
    </row>
    <row r="396" spans="1:15" s="4" customFormat="1">
      <c r="A396" s="16" t="s">
        <v>6</v>
      </c>
      <c r="B396" s="18">
        <v>42927</v>
      </c>
      <c r="C396" s="18" t="s">
        <v>433</v>
      </c>
      <c r="D396" s="19">
        <v>36</v>
      </c>
      <c r="E396" s="22">
        <v>2</v>
      </c>
      <c r="F396" s="18" t="s">
        <v>414</v>
      </c>
      <c r="G396" s="29" t="str">
        <f>VLOOKUP(C396,DATA!$A$2:$G$243,2,FALSE)</f>
        <v>Black/Red Multi - ColorRopeLaces</v>
      </c>
      <c r="H396" s="30">
        <f t="shared" si="18"/>
        <v>2</v>
      </c>
      <c r="I396" s="30">
        <f>VLOOKUP(C396,DATA!$A$2:$G$243,5,FALSE)</f>
        <v>7000</v>
      </c>
      <c r="J396" s="30">
        <f t="shared" si="20"/>
        <v>14000</v>
      </c>
      <c r="K396" s="31">
        <f>VLOOKUP(C396,DATA!$A$2:$G$243,3,FALSE)</f>
        <v>5.95</v>
      </c>
      <c r="L396" s="31">
        <f>VLOOKUP(C396,DATA!$A$2:$G$243,4,FALSE)</f>
        <v>2.3800000000000003</v>
      </c>
      <c r="M396" s="31">
        <f t="shared" si="19"/>
        <v>4.7600000000000007</v>
      </c>
      <c r="N396" s="25" t="str">
        <f>VLOOKUP(C396,DATA!$A$2:$G$243,6,FALSE)</f>
        <v>Multi-Color Rope Laces</v>
      </c>
      <c r="O396" s="16">
        <v>28605</v>
      </c>
    </row>
    <row r="397" spans="1:15" s="4" customFormat="1">
      <c r="A397" s="16" t="s">
        <v>6</v>
      </c>
      <c r="B397" s="18">
        <v>42927</v>
      </c>
      <c r="C397" s="18" t="s">
        <v>433</v>
      </c>
      <c r="D397" s="21">
        <v>45</v>
      </c>
      <c r="E397" s="22">
        <v>2</v>
      </c>
      <c r="F397" s="18" t="s">
        <v>414</v>
      </c>
      <c r="G397" s="29" t="str">
        <f>VLOOKUP(C397,DATA!$A$2:$G$243,2,FALSE)</f>
        <v>Black/Red Multi - ColorRopeLaces</v>
      </c>
      <c r="H397" s="30">
        <f t="shared" si="18"/>
        <v>2</v>
      </c>
      <c r="I397" s="30">
        <f>VLOOKUP(C397,DATA!$A$2:$G$243,5,FALSE)</f>
        <v>7000</v>
      </c>
      <c r="J397" s="30">
        <f t="shared" si="20"/>
        <v>14000</v>
      </c>
      <c r="K397" s="31">
        <f>VLOOKUP(C397,DATA!$A$2:$G$243,3,FALSE)</f>
        <v>5.95</v>
      </c>
      <c r="L397" s="31">
        <f>VLOOKUP(C397,DATA!$A$2:$G$243,4,FALSE)</f>
        <v>2.3800000000000003</v>
      </c>
      <c r="M397" s="31">
        <f t="shared" si="19"/>
        <v>4.7600000000000007</v>
      </c>
      <c r="N397" s="25" t="str">
        <f>VLOOKUP(C397,DATA!$A$2:$G$243,6,FALSE)</f>
        <v>Multi-Color Rope Laces</v>
      </c>
      <c r="O397" s="16">
        <v>28605</v>
      </c>
    </row>
    <row r="398" spans="1:15" s="4" customFormat="1">
      <c r="A398" s="16" t="s">
        <v>6</v>
      </c>
      <c r="B398" s="18">
        <v>42927</v>
      </c>
      <c r="C398" s="18" t="s">
        <v>588</v>
      </c>
      <c r="D398" s="21">
        <v>36</v>
      </c>
      <c r="E398" s="22">
        <v>2</v>
      </c>
      <c r="F398" s="18" t="s">
        <v>414</v>
      </c>
      <c r="G398" s="29" t="str">
        <f>VLOOKUP(C398,DATA!$A$2:$G$243,2,FALSE)</f>
        <v>Black/White Multi - ColorRopeLaces</v>
      </c>
      <c r="H398" s="30">
        <f t="shared" si="18"/>
        <v>2</v>
      </c>
      <c r="I398" s="30">
        <f>VLOOKUP(C398,DATA!$A$2:$G$243,5,FALSE)</f>
        <v>7000</v>
      </c>
      <c r="J398" s="30">
        <f t="shared" si="20"/>
        <v>14000</v>
      </c>
      <c r="K398" s="31">
        <f>VLOOKUP(C398,DATA!$A$2:$G$243,3,FALSE)</f>
        <v>5.95</v>
      </c>
      <c r="L398" s="31">
        <f>VLOOKUP(C398,DATA!$A$2:$G$243,4,FALSE)</f>
        <v>2.3800000000000003</v>
      </c>
      <c r="M398" s="31">
        <f t="shared" si="19"/>
        <v>4.7600000000000007</v>
      </c>
      <c r="N398" s="25" t="str">
        <f>VLOOKUP(C398,DATA!$A$2:$G$243,6,FALSE)</f>
        <v>Multi-Color Rope Laces</v>
      </c>
      <c r="O398" s="16">
        <v>28605</v>
      </c>
    </row>
    <row r="399" spans="1:15" s="4" customFormat="1">
      <c r="A399" s="16" t="s">
        <v>6</v>
      </c>
      <c r="B399" s="18">
        <v>42927</v>
      </c>
      <c r="C399" s="18" t="s">
        <v>588</v>
      </c>
      <c r="D399" s="21">
        <v>45</v>
      </c>
      <c r="E399" s="22">
        <v>2</v>
      </c>
      <c r="F399" s="18" t="s">
        <v>414</v>
      </c>
      <c r="G399" s="29" t="str">
        <f>VLOOKUP(C399,DATA!$A$2:$G$243,2,FALSE)</f>
        <v>Black/White Multi - ColorRopeLaces</v>
      </c>
      <c r="H399" s="30">
        <f t="shared" si="18"/>
        <v>2</v>
      </c>
      <c r="I399" s="30">
        <f>VLOOKUP(C399,DATA!$A$2:$G$243,5,FALSE)</f>
        <v>7000</v>
      </c>
      <c r="J399" s="30">
        <f t="shared" si="20"/>
        <v>14000</v>
      </c>
      <c r="K399" s="31">
        <f>VLOOKUP(C399,DATA!$A$2:$G$243,3,FALSE)</f>
        <v>5.95</v>
      </c>
      <c r="L399" s="31">
        <f>VLOOKUP(C399,DATA!$A$2:$G$243,4,FALSE)</f>
        <v>2.3800000000000003</v>
      </c>
      <c r="M399" s="31">
        <f t="shared" si="19"/>
        <v>4.7600000000000007</v>
      </c>
      <c r="N399" s="25" t="str">
        <f>VLOOKUP(C399,DATA!$A$2:$G$243,6,FALSE)</f>
        <v>Multi-Color Rope Laces</v>
      </c>
      <c r="O399" s="16">
        <v>28605</v>
      </c>
    </row>
    <row r="400" spans="1:15" s="4" customFormat="1">
      <c r="A400" s="16" t="s">
        <v>6</v>
      </c>
      <c r="B400" s="18">
        <v>42927</v>
      </c>
      <c r="C400" s="18" t="s">
        <v>589</v>
      </c>
      <c r="D400" s="21">
        <v>36</v>
      </c>
      <c r="E400" s="22">
        <v>2</v>
      </c>
      <c r="F400" s="18" t="s">
        <v>414</v>
      </c>
      <c r="G400" s="29" t="str">
        <f>VLOOKUP(C400,DATA!$A$2:$G$243,2,FALSE)</f>
        <v>Blue Multi - ColorRopeLaces</v>
      </c>
      <c r="H400" s="30">
        <f t="shared" si="18"/>
        <v>2</v>
      </c>
      <c r="I400" s="30">
        <f>VLOOKUP(C400,DATA!$A$2:$G$243,5,FALSE)</f>
        <v>7000</v>
      </c>
      <c r="J400" s="30">
        <f t="shared" si="20"/>
        <v>14000</v>
      </c>
      <c r="K400" s="31">
        <f>VLOOKUP(C400,DATA!$A$2:$G$243,3,FALSE)</f>
        <v>5.95</v>
      </c>
      <c r="L400" s="31">
        <f>VLOOKUP(C400,DATA!$A$2:$G$243,4,FALSE)</f>
        <v>2.3800000000000003</v>
      </c>
      <c r="M400" s="31">
        <f t="shared" si="19"/>
        <v>4.7600000000000007</v>
      </c>
      <c r="N400" s="25" t="str">
        <f>VLOOKUP(C400,DATA!$A$2:$G$243,6,FALSE)</f>
        <v>Multi-Color Rope Laces</v>
      </c>
      <c r="O400" s="16">
        <v>28605</v>
      </c>
    </row>
    <row r="401" spans="1:15" s="4" customFormat="1">
      <c r="A401" s="16" t="s">
        <v>6</v>
      </c>
      <c r="B401" s="18">
        <v>42927</v>
      </c>
      <c r="C401" s="18" t="s">
        <v>589</v>
      </c>
      <c r="D401" s="21">
        <v>45</v>
      </c>
      <c r="E401" s="22">
        <v>2</v>
      </c>
      <c r="F401" s="18" t="s">
        <v>414</v>
      </c>
      <c r="G401" s="29" t="str">
        <f>VLOOKUP(C401,DATA!$A$2:$G$243,2,FALSE)</f>
        <v>Blue Multi - ColorRopeLaces</v>
      </c>
      <c r="H401" s="30">
        <f t="shared" si="18"/>
        <v>2</v>
      </c>
      <c r="I401" s="30">
        <f>VLOOKUP(C401,DATA!$A$2:$G$243,5,FALSE)</f>
        <v>7000</v>
      </c>
      <c r="J401" s="30">
        <f t="shared" si="20"/>
        <v>14000</v>
      </c>
      <c r="K401" s="31">
        <f>VLOOKUP(C401,DATA!$A$2:$G$243,3,FALSE)</f>
        <v>5.95</v>
      </c>
      <c r="L401" s="31">
        <f>VLOOKUP(C401,DATA!$A$2:$G$243,4,FALSE)</f>
        <v>2.3800000000000003</v>
      </c>
      <c r="M401" s="31">
        <f t="shared" si="19"/>
        <v>4.7600000000000007</v>
      </c>
      <c r="N401" s="25" t="str">
        <f>VLOOKUP(C401,DATA!$A$2:$G$243,6,FALSE)</f>
        <v>Multi-Color Rope Laces</v>
      </c>
      <c r="O401" s="16">
        <v>28605</v>
      </c>
    </row>
    <row r="402" spans="1:15" s="4" customFormat="1">
      <c r="A402" s="16" t="s">
        <v>6</v>
      </c>
      <c r="B402" s="18">
        <v>42927</v>
      </c>
      <c r="C402" s="18" t="s">
        <v>590</v>
      </c>
      <c r="D402" s="21">
        <v>36</v>
      </c>
      <c r="E402" s="22">
        <v>2</v>
      </c>
      <c r="F402" s="18" t="s">
        <v>414</v>
      </c>
      <c r="G402" s="29" t="str">
        <f>VLOOKUP(C402,DATA!$A$2:$G$243,2,FALSE)</f>
        <v>Green Multi - ColorRopeLaces</v>
      </c>
      <c r="H402" s="30">
        <f t="shared" si="18"/>
        <v>2</v>
      </c>
      <c r="I402" s="30">
        <f>VLOOKUP(C402,DATA!$A$2:$G$243,5,FALSE)</f>
        <v>7000</v>
      </c>
      <c r="J402" s="30">
        <f t="shared" si="20"/>
        <v>14000</v>
      </c>
      <c r="K402" s="31">
        <f>VLOOKUP(C402,DATA!$A$2:$G$243,3,FALSE)</f>
        <v>5.95</v>
      </c>
      <c r="L402" s="31">
        <f>VLOOKUP(C402,DATA!$A$2:$G$243,4,FALSE)</f>
        <v>2.3800000000000003</v>
      </c>
      <c r="M402" s="31">
        <f t="shared" si="19"/>
        <v>4.7600000000000007</v>
      </c>
      <c r="N402" s="25" t="str">
        <f>VLOOKUP(C402,DATA!$A$2:$G$243,6,FALSE)</f>
        <v>Multi-Color Rope Laces</v>
      </c>
      <c r="O402" s="16">
        <v>28605</v>
      </c>
    </row>
    <row r="403" spans="1:15" s="4" customFormat="1">
      <c r="A403" s="16" t="s">
        <v>6</v>
      </c>
      <c r="B403" s="18">
        <v>42927</v>
      </c>
      <c r="C403" s="18" t="s">
        <v>590</v>
      </c>
      <c r="D403" s="21">
        <v>45</v>
      </c>
      <c r="E403" s="22">
        <v>2</v>
      </c>
      <c r="F403" s="18" t="s">
        <v>414</v>
      </c>
      <c r="G403" s="29" t="str">
        <f>VLOOKUP(C403,DATA!$A$2:$G$243,2,FALSE)</f>
        <v>Green Multi - ColorRopeLaces</v>
      </c>
      <c r="H403" s="30">
        <f t="shared" si="18"/>
        <v>2</v>
      </c>
      <c r="I403" s="30">
        <f>VLOOKUP(C403,DATA!$A$2:$G$243,5,FALSE)</f>
        <v>7000</v>
      </c>
      <c r="J403" s="30">
        <f t="shared" si="20"/>
        <v>14000</v>
      </c>
      <c r="K403" s="31">
        <f>VLOOKUP(C403,DATA!$A$2:$G$243,3,FALSE)</f>
        <v>5.95</v>
      </c>
      <c r="L403" s="31">
        <f>VLOOKUP(C403,DATA!$A$2:$G$243,4,FALSE)</f>
        <v>2.3800000000000003</v>
      </c>
      <c r="M403" s="31">
        <f t="shared" si="19"/>
        <v>4.7600000000000007</v>
      </c>
      <c r="N403" s="25" t="str">
        <f>VLOOKUP(C403,DATA!$A$2:$G$243,6,FALSE)</f>
        <v>Multi-Color Rope Laces</v>
      </c>
      <c r="O403" s="16">
        <v>28605</v>
      </c>
    </row>
    <row r="404" spans="1:15" s="4" customFormat="1">
      <c r="A404" s="16" t="s">
        <v>6</v>
      </c>
      <c r="B404" s="18">
        <v>42927</v>
      </c>
      <c r="C404" s="18" t="s">
        <v>591</v>
      </c>
      <c r="D404" s="21">
        <v>36</v>
      </c>
      <c r="E404" s="22">
        <v>2</v>
      </c>
      <c r="F404" s="18" t="s">
        <v>414</v>
      </c>
      <c r="G404" s="29" t="str">
        <f>VLOOKUP(C404,DATA!$A$2:$G$243,2,FALSE)</f>
        <v>Orange Multi - ColorRopeLaces</v>
      </c>
      <c r="H404" s="30">
        <f t="shared" si="18"/>
        <v>2</v>
      </c>
      <c r="I404" s="30">
        <f>VLOOKUP(C404,DATA!$A$2:$G$243,5,FALSE)</f>
        <v>7000</v>
      </c>
      <c r="J404" s="30">
        <f t="shared" si="20"/>
        <v>14000</v>
      </c>
      <c r="K404" s="31">
        <f>VLOOKUP(C404,DATA!$A$2:$G$243,3,FALSE)</f>
        <v>5.95</v>
      </c>
      <c r="L404" s="31">
        <f>VLOOKUP(C404,DATA!$A$2:$G$243,4,FALSE)</f>
        <v>2.3800000000000003</v>
      </c>
      <c r="M404" s="31">
        <f t="shared" si="19"/>
        <v>4.7600000000000007</v>
      </c>
      <c r="N404" s="25" t="str">
        <f>VLOOKUP(C404,DATA!$A$2:$G$243,6,FALSE)</f>
        <v>Multi-Color Rope Laces</v>
      </c>
      <c r="O404" s="16">
        <v>28605</v>
      </c>
    </row>
    <row r="405" spans="1:15" s="4" customFormat="1">
      <c r="A405" s="16" t="s">
        <v>6</v>
      </c>
      <c r="B405" s="18">
        <v>42927</v>
      </c>
      <c r="C405" s="18" t="s">
        <v>591</v>
      </c>
      <c r="D405" s="21">
        <v>45</v>
      </c>
      <c r="E405" s="22">
        <v>2</v>
      </c>
      <c r="F405" s="18" t="s">
        <v>414</v>
      </c>
      <c r="G405" s="29" t="str">
        <f>VLOOKUP(C405,DATA!$A$2:$G$243,2,FALSE)</f>
        <v>Orange Multi - ColorRopeLaces</v>
      </c>
      <c r="H405" s="30">
        <f t="shared" si="18"/>
        <v>2</v>
      </c>
      <c r="I405" s="30">
        <f>VLOOKUP(C405,DATA!$A$2:$G$243,5,FALSE)</f>
        <v>7000</v>
      </c>
      <c r="J405" s="30">
        <f t="shared" si="20"/>
        <v>14000</v>
      </c>
      <c r="K405" s="31">
        <f>VLOOKUP(C405,DATA!$A$2:$G$243,3,FALSE)</f>
        <v>5.95</v>
      </c>
      <c r="L405" s="31">
        <f>VLOOKUP(C405,DATA!$A$2:$G$243,4,FALSE)</f>
        <v>2.3800000000000003</v>
      </c>
      <c r="M405" s="31">
        <f t="shared" si="19"/>
        <v>4.7600000000000007</v>
      </c>
      <c r="N405" s="25" t="str">
        <f>VLOOKUP(C405,DATA!$A$2:$G$243,6,FALSE)</f>
        <v>Multi-Color Rope Laces</v>
      </c>
      <c r="O405" s="16">
        <v>28605</v>
      </c>
    </row>
    <row r="406" spans="1:15" s="4" customFormat="1">
      <c r="A406" s="16" t="s">
        <v>6</v>
      </c>
      <c r="B406" s="18">
        <v>42927</v>
      </c>
      <c r="C406" s="18" t="s">
        <v>592</v>
      </c>
      <c r="D406" s="21">
        <v>36</v>
      </c>
      <c r="E406" s="22">
        <v>2</v>
      </c>
      <c r="F406" s="18" t="s">
        <v>414</v>
      </c>
      <c r="G406" s="29" t="str">
        <f>VLOOKUP(C406,DATA!$A$2:$G$243,2,FALSE)</f>
        <v>Pink Multi - ColorRopeLaces</v>
      </c>
      <c r="H406" s="30">
        <f t="shared" si="18"/>
        <v>2</v>
      </c>
      <c r="I406" s="30">
        <f>VLOOKUP(C406,DATA!$A$2:$G$243,5,FALSE)</f>
        <v>7000</v>
      </c>
      <c r="J406" s="30">
        <f t="shared" si="20"/>
        <v>14000</v>
      </c>
      <c r="K406" s="31">
        <f>VLOOKUP(C406,DATA!$A$2:$G$243,3,FALSE)</f>
        <v>5.95</v>
      </c>
      <c r="L406" s="31">
        <f>VLOOKUP(C406,DATA!$A$2:$G$243,4,FALSE)</f>
        <v>2.3800000000000003</v>
      </c>
      <c r="M406" s="31">
        <f t="shared" si="19"/>
        <v>4.7600000000000007</v>
      </c>
      <c r="N406" s="25" t="str">
        <f>VLOOKUP(C406,DATA!$A$2:$G$243,6,FALSE)</f>
        <v>Multi-Color Rope Laces</v>
      </c>
      <c r="O406" s="16">
        <v>28605</v>
      </c>
    </row>
    <row r="407" spans="1:15" s="4" customFormat="1">
      <c r="A407" s="16" t="s">
        <v>6</v>
      </c>
      <c r="B407" s="18">
        <v>42927</v>
      </c>
      <c r="C407" s="18" t="s">
        <v>592</v>
      </c>
      <c r="D407" s="21">
        <v>45</v>
      </c>
      <c r="E407" s="22">
        <v>2</v>
      </c>
      <c r="F407" s="18" t="s">
        <v>414</v>
      </c>
      <c r="G407" s="29" t="str">
        <f>VLOOKUP(C407,DATA!$A$2:$G$243,2,FALSE)</f>
        <v>Pink Multi - ColorRopeLaces</v>
      </c>
      <c r="H407" s="30">
        <f t="shared" si="18"/>
        <v>2</v>
      </c>
      <c r="I407" s="30">
        <f>VLOOKUP(C407,DATA!$A$2:$G$243,5,FALSE)</f>
        <v>7000</v>
      </c>
      <c r="J407" s="30">
        <f t="shared" si="20"/>
        <v>14000</v>
      </c>
      <c r="K407" s="31">
        <f>VLOOKUP(C407,DATA!$A$2:$G$243,3,FALSE)</f>
        <v>5.95</v>
      </c>
      <c r="L407" s="31">
        <f>VLOOKUP(C407,DATA!$A$2:$G$243,4,FALSE)</f>
        <v>2.3800000000000003</v>
      </c>
      <c r="M407" s="31">
        <f t="shared" si="19"/>
        <v>4.7600000000000007</v>
      </c>
      <c r="N407" s="25" t="str">
        <f>VLOOKUP(C407,DATA!$A$2:$G$243,6,FALSE)</f>
        <v>Multi-Color Rope Laces</v>
      </c>
      <c r="O407" s="16">
        <v>28605</v>
      </c>
    </row>
    <row r="408" spans="1:15" s="4" customFormat="1">
      <c r="A408" s="16" t="s">
        <v>6</v>
      </c>
      <c r="B408" s="18">
        <v>42927</v>
      </c>
      <c r="C408" s="18" t="s">
        <v>593</v>
      </c>
      <c r="D408" s="21">
        <v>36</v>
      </c>
      <c r="E408" s="22">
        <v>2</v>
      </c>
      <c r="F408" s="18" t="s">
        <v>414</v>
      </c>
      <c r="G408" s="29" t="str">
        <f>VLOOKUP(C408,DATA!$A$2:$G$243,2,FALSE)</f>
        <v>Volt Multi - ColorRopeLaces</v>
      </c>
      <c r="H408" s="30">
        <f t="shared" si="18"/>
        <v>2</v>
      </c>
      <c r="I408" s="30">
        <f>VLOOKUP(C408,DATA!$A$2:$G$243,5,FALSE)</f>
        <v>7000</v>
      </c>
      <c r="J408" s="30">
        <f t="shared" si="20"/>
        <v>14000</v>
      </c>
      <c r="K408" s="31">
        <f>VLOOKUP(C408,DATA!$A$2:$G$243,3,FALSE)</f>
        <v>5.95</v>
      </c>
      <c r="L408" s="31">
        <f>VLOOKUP(C408,DATA!$A$2:$G$243,4,FALSE)</f>
        <v>2.3800000000000003</v>
      </c>
      <c r="M408" s="31">
        <f t="shared" si="19"/>
        <v>4.7600000000000007</v>
      </c>
      <c r="N408" s="25" t="str">
        <f>VLOOKUP(C408,DATA!$A$2:$G$243,6,FALSE)</f>
        <v>Multi-Color Rope Laces</v>
      </c>
      <c r="O408" s="16">
        <v>28605</v>
      </c>
    </row>
    <row r="409" spans="1:15" s="4" customFormat="1">
      <c r="A409" s="16" t="s">
        <v>6</v>
      </c>
      <c r="B409" s="18">
        <v>42927</v>
      </c>
      <c r="C409" s="18" t="s">
        <v>593</v>
      </c>
      <c r="D409" s="21">
        <v>45</v>
      </c>
      <c r="E409" s="22">
        <v>2</v>
      </c>
      <c r="F409" s="18" t="s">
        <v>414</v>
      </c>
      <c r="G409" s="29" t="str">
        <f>VLOOKUP(C409,DATA!$A$2:$G$243,2,FALSE)</f>
        <v>Volt Multi - ColorRopeLaces</v>
      </c>
      <c r="H409" s="30">
        <f t="shared" si="18"/>
        <v>2</v>
      </c>
      <c r="I409" s="30">
        <f>VLOOKUP(C409,DATA!$A$2:$G$243,5,FALSE)</f>
        <v>7000</v>
      </c>
      <c r="J409" s="30">
        <f t="shared" si="20"/>
        <v>14000</v>
      </c>
      <c r="K409" s="31">
        <f>VLOOKUP(C409,DATA!$A$2:$G$243,3,FALSE)</f>
        <v>5.95</v>
      </c>
      <c r="L409" s="31">
        <f>VLOOKUP(C409,DATA!$A$2:$G$243,4,FALSE)</f>
        <v>2.3800000000000003</v>
      </c>
      <c r="M409" s="31">
        <f t="shared" si="19"/>
        <v>4.7600000000000007</v>
      </c>
      <c r="N409" s="25" t="str">
        <f>VLOOKUP(C409,DATA!$A$2:$G$243,6,FALSE)</f>
        <v>Multi-Color Rope Laces</v>
      </c>
      <c r="O409" s="16">
        <v>28605</v>
      </c>
    </row>
    <row r="410" spans="1:15" s="4" customFormat="1">
      <c r="A410" s="16" t="s">
        <v>6</v>
      </c>
      <c r="B410" s="18">
        <v>42927</v>
      </c>
      <c r="C410" s="18" t="s">
        <v>435</v>
      </c>
      <c r="D410" s="19">
        <v>54</v>
      </c>
      <c r="E410" s="22">
        <v>3</v>
      </c>
      <c r="F410" s="18" t="s">
        <v>414</v>
      </c>
      <c r="G410" s="29" t="str">
        <f>VLOOKUP(C410,DATA!$A$2:$G$243,2,FALSE)</f>
        <v>Black  - OvalSBLaces</v>
      </c>
      <c r="H410" s="30">
        <f t="shared" si="18"/>
        <v>3</v>
      </c>
      <c r="I410" s="30">
        <f>VLOOKUP(C410,DATA!$A$2:$G$243,5,FALSE)</f>
        <v>5000</v>
      </c>
      <c r="J410" s="30">
        <f t="shared" si="20"/>
        <v>15000</v>
      </c>
      <c r="K410" s="31">
        <f>VLOOKUP(C410,DATA!$A$2:$G$243,3,FALSE)</f>
        <v>3.95</v>
      </c>
      <c r="L410" s="31">
        <f>VLOOKUP(C410,DATA!$A$2:$G$243,4,FALSE)</f>
        <v>1.58</v>
      </c>
      <c r="M410" s="31">
        <f t="shared" si="19"/>
        <v>4.74</v>
      </c>
      <c r="N410" s="25" t="str">
        <f>VLOOKUP(C410,DATA!$A$2:$G$243,6,FALSE)</f>
        <v>Oval SB Laces</v>
      </c>
      <c r="O410" s="16">
        <v>28605</v>
      </c>
    </row>
    <row r="411" spans="1:15" s="4" customFormat="1">
      <c r="A411" s="16" t="s">
        <v>6</v>
      </c>
      <c r="B411" s="18">
        <v>42927</v>
      </c>
      <c r="C411" s="18" t="s">
        <v>594</v>
      </c>
      <c r="D411" s="21">
        <v>54</v>
      </c>
      <c r="E411" s="22">
        <v>3</v>
      </c>
      <c r="F411" s="18" t="s">
        <v>414</v>
      </c>
      <c r="G411" s="29" t="str">
        <f>VLOOKUP(C411,DATA!$A$2:$G$243,2,FALSE)</f>
        <v>Blue  - OvalSBLaces</v>
      </c>
      <c r="H411" s="30">
        <f t="shared" si="18"/>
        <v>3</v>
      </c>
      <c r="I411" s="30">
        <f>VLOOKUP(C411,DATA!$A$2:$G$243,5,FALSE)</f>
        <v>5000</v>
      </c>
      <c r="J411" s="30">
        <f t="shared" si="20"/>
        <v>15000</v>
      </c>
      <c r="K411" s="31">
        <f>VLOOKUP(C411,DATA!$A$2:$G$243,3,FALSE)</f>
        <v>3.95</v>
      </c>
      <c r="L411" s="31">
        <f>VLOOKUP(C411,DATA!$A$2:$G$243,4,FALSE)</f>
        <v>1.58</v>
      </c>
      <c r="M411" s="31">
        <f t="shared" si="19"/>
        <v>4.74</v>
      </c>
      <c r="N411" s="25" t="str">
        <f>VLOOKUP(C411,DATA!$A$2:$G$243,6,FALSE)</f>
        <v>Oval SB Laces</v>
      </c>
      <c r="O411" s="16">
        <v>28605</v>
      </c>
    </row>
    <row r="412" spans="1:15" s="4" customFormat="1">
      <c r="A412" s="16" t="s">
        <v>6</v>
      </c>
      <c r="B412" s="18">
        <v>42927</v>
      </c>
      <c r="C412" s="18" t="s">
        <v>594</v>
      </c>
      <c r="D412" s="21">
        <v>63</v>
      </c>
      <c r="E412" s="22">
        <v>3</v>
      </c>
      <c r="F412" s="18" t="s">
        <v>414</v>
      </c>
      <c r="G412" s="29" t="str">
        <f>VLOOKUP(C412,DATA!$A$2:$G$243,2,FALSE)</f>
        <v>Blue  - OvalSBLaces</v>
      </c>
      <c r="H412" s="30">
        <f t="shared" si="18"/>
        <v>3</v>
      </c>
      <c r="I412" s="30">
        <f>VLOOKUP(C412,DATA!$A$2:$G$243,5,FALSE)</f>
        <v>5000</v>
      </c>
      <c r="J412" s="30">
        <f t="shared" si="20"/>
        <v>15000</v>
      </c>
      <c r="K412" s="31">
        <f>VLOOKUP(C412,DATA!$A$2:$G$243,3,FALSE)</f>
        <v>3.95</v>
      </c>
      <c r="L412" s="31">
        <f>VLOOKUP(C412,DATA!$A$2:$G$243,4,FALSE)</f>
        <v>1.58</v>
      </c>
      <c r="M412" s="31">
        <f t="shared" si="19"/>
        <v>4.74</v>
      </c>
      <c r="N412" s="25" t="str">
        <f>VLOOKUP(C412,DATA!$A$2:$G$243,6,FALSE)</f>
        <v>Oval SB Laces</v>
      </c>
      <c r="O412" s="16">
        <v>28605</v>
      </c>
    </row>
    <row r="413" spans="1:15" s="4" customFormat="1">
      <c r="A413" s="16" t="s">
        <v>6</v>
      </c>
      <c r="B413" s="18">
        <v>42927</v>
      </c>
      <c r="C413" s="18" t="s">
        <v>595</v>
      </c>
      <c r="D413" s="21">
        <v>54</v>
      </c>
      <c r="E413" s="22">
        <v>3</v>
      </c>
      <c r="F413" s="18" t="s">
        <v>414</v>
      </c>
      <c r="G413" s="29" t="str">
        <f>VLOOKUP(C413,DATA!$A$2:$G$243,2,FALSE)</f>
        <v>Carolina Blue  - OvalSBLaces</v>
      </c>
      <c r="H413" s="30">
        <f t="shared" si="18"/>
        <v>3</v>
      </c>
      <c r="I413" s="30">
        <f>VLOOKUP(C413,DATA!$A$2:$G$243,5,FALSE)</f>
        <v>5000</v>
      </c>
      <c r="J413" s="30">
        <f t="shared" si="20"/>
        <v>15000</v>
      </c>
      <c r="K413" s="31">
        <f>VLOOKUP(C413,DATA!$A$2:$G$243,3,FALSE)</f>
        <v>3.95</v>
      </c>
      <c r="L413" s="31">
        <f>VLOOKUP(C413,DATA!$A$2:$G$243,4,FALSE)</f>
        <v>1.58</v>
      </c>
      <c r="M413" s="31">
        <f t="shared" si="19"/>
        <v>4.74</v>
      </c>
      <c r="N413" s="25" t="str">
        <f>VLOOKUP(C413,DATA!$A$2:$G$243,6,FALSE)</f>
        <v>Oval SB Laces</v>
      </c>
      <c r="O413" s="16">
        <v>28605</v>
      </c>
    </row>
    <row r="414" spans="1:15" s="4" customFormat="1">
      <c r="A414" s="16" t="s">
        <v>6</v>
      </c>
      <c r="B414" s="18">
        <v>42927</v>
      </c>
      <c r="C414" s="18" t="s">
        <v>595</v>
      </c>
      <c r="D414" s="21">
        <v>63</v>
      </c>
      <c r="E414" s="22">
        <v>3</v>
      </c>
      <c r="F414" s="18" t="s">
        <v>414</v>
      </c>
      <c r="G414" s="29" t="str">
        <f>VLOOKUP(C414,DATA!$A$2:$G$243,2,FALSE)</f>
        <v>Carolina Blue  - OvalSBLaces</v>
      </c>
      <c r="H414" s="30">
        <f t="shared" si="18"/>
        <v>3</v>
      </c>
      <c r="I414" s="30">
        <f>VLOOKUP(C414,DATA!$A$2:$G$243,5,FALSE)</f>
        <v>5000</v>
      </c>
      <c r="J414" s="30">
        <f t="shared" si="20"/>
        <v>15000</v>
      </c>
      <c r="K414" s="31">
        <f>VLOOKUP(C414,DATA!$A$2:$G$243,3,FALSE)</f>
        <v>3.95</v>
      </c>
      <c r="L414" s="31">
        <f>VLOOKUP(C414,DATA!$A$2:$G$243,4,FALSE)</f>
        <v>1.58</v>
      </c>
      <c r="M414" s="31">
        <f t="shared" si="19"/>
        <v>4.74</v>
      </c>
      <c r="N414" s="25" t="str">
        <f>VLOOKUP(C414,DATA!$A$2:$G$243,6,FALSE)</f>
        <v>Oval SB Laces</v>
      </c>
      <c r="O414" s="16">
        <v>28605</v>
      </c>
    </row>
    <row r="415" spans="1:15" s="4" customFormat="1">
      <c r="A415" s="16" t="s">
        <v>6</v>
      </c>
      <c r="B415" s="18">
        <v>42927</v>
      </c>
      <c r="C415" s="18" t="s">
        <v>596</v>
      </c>
      <c r="D415" s="21">
        <v>54</v>
      </c>
      <c r="E415" s="22">
        <v>3</v>
      </c>
      <c r="F415" s="18" t="s">
        <v>414</v>
      </c>
      <c r="G415" s="29" t="str">
        <f>VLOOKUP(C415,DATA!$A$2:$G$243,2,FALSE)</f>
        <v>Green  - OvalSBLaces</v>
      </c>
      <c r="H415" s="30">
        <f t="shared" si="18"/>
        <v>3</v>
      </c>
      <c r="I415" s="30">
        <f>VLOOKUP(C415,DATA!$A$2:$G$243,5,FALSE)</f>
        <v>5000</v>
      </c>
      <c r="J415" s="30">
        <f t="shared" si="20"/>
        <v>15000</v>
      </c>
      <c r="K415" s="31">
        <f>VLOOKUP(C415,DATA!$A$2:$G$243,3,FALSE)</f>
        <v>3.95</v>
      </c>
      <c r="L415" s="31">
        <f>VLOOKUP(C415,DATA!$A$2:$G$243,4,FALSE)</f>
        <v>1.58</v>
      </c>
      <c r="M415" s="31">
        <f t="shared" si="19"/>
        <v>4.74</v>
      </c>
      <c r="N415" s="25" t="str">
        <f>VLOOKUP(C415,DATA!$A$2:$G$243,6,FALSE)</f>
        <v>Oval SB Laces</v>
      </c>
      <c r="O415" s="16">
        <v>28605</v>
      </c>
    </row>
    <row r="416" spans="1:15" s="4" customFormat="1">
      <c r="A416" s="16" t="s">
        <v>6</v>
      </c>
      <c r="B416" s="18">
        <v>42927</v>
      </c>
      <c r="C416" s="18" t="s">
        <v>596</v>
      </c>
      <c r="D416" s="21">
        <v>63</v>
      </c>
      <c r="E416" s="22">
        <v>3</v>
      </c>
      <c r="F416" s="18" t="s">
        <v>414</v>
      </c>
      <c r="G416" s="29" t="str">
        <f>VLOOKUP(C416,DATA!$A$2:$G$243,2,FALSE)</f>
        <v>Green  - OvalSBLaces</v>
      </c>
      <c r="H416" s="30">
        <f t="shared" si="18"/>
        <v>3</v>
      </c>
      <c r="I416" s="30">
        <f>VLOOKUP(C416,DATA!$A$2:$G$243,5,FALSE)</f>
        <v>5000</v>
      </c>
      <c r="J416" s="30">
        <f t="shared" si="20"/>
        <v>15000</v>
      </c>
      <c r="K416" s="31">
        <f>VLOOKUP(C416,DATA!$A$2:$G$243,3,FALSE)</f>
        <v>3.95</v>
      </c>
      <c r="L416" s="31">
        <f>VLOOKUP(C416,DATA!$A$2:$G$243,4,FALSE)</f>
        <v>1.58</v>
      </c>
      <c r="M416" s="31">
        <f t="shared" si="19"/>
        <v>4.74</v>
      </c>
      <c r="N416" s="25" t="str">
        <f>VLOOKUP(C416,DATA!$A$2:$G$243,6,FALSE)</f>
        <v>Oval SB Laces</v>
      </c>
      <c r="O416" s="16">
        <v>28605</v>
      </c>
    </row>
    <row r="417" spans="1:15" s="4" customFormat="1">
      <c r="A417" s="16" t="s">
        <v>6</v>
      </c>
      <c r="B417" s="18">
        <v>42927</v>
      </c>
      <c r="C417" s="18" t="s">
        <v>597</v>
      </c>
      <c r="D417" s="21">
        <v>54</v>
      </c>
      <c r="E417" s="22">
        <v>3</v>
      </c>
      <c r="F417" s="18" t="s">
        <v>414</v>
      </c>
      <c r="G417" s="29" t="str">
        <f>VLOOKUP(C417,DATA!$A$2:$G$243,2,FALSE)</f>
        <v>Grey  - OvalSBLaces</v>
      </c>
      <c r="H417" s="30">
        <f t="shared" si="18"/>
        <v>3</v>
      </c>
      <c r="I417" s="30">
        <f>VLOOKUP(C417,DATA!$A$2:$G$243,5,FALSE)</f>
        <v>5000</v>
      </c>
      <c r="J417" s="30">
        <f t="shared" si="20"/>
        <v>15000</v>
      </c>
      <c r="K417" s="31">
        <f>VLOOKUP(C417,DATA!$A$2:$G$243,3,FALSE)</f>
        <v>3.95</v>
      </c>
      <c r="L417" s="31">
        <f>VLOOKUP(C417,DATA!$A$2:$G$243,4,FALSE)</f>
        <v>1.58</v>
      </c>
      <c r="M417" s="31">
        <f t="shared" si="19"/>
        <v>4.74</v>
      </c>
      <c r="N417" s="25" t="str">
        <f>VLOOKUP(C417,DATA!$A$2:$G$243,6,FALSE)</f>
        <v>Oval SB Laces</v>
      </c>
      <c r="O417" s="16">
        <v>28605</v>
      </c>
    </row>
    <row r="418" spans="1:15" s="4" customFormat="1">
      <c r="A418" s="16" t="s">
        <v>6</v>
      </c>
      <c r="B418" s="18">
        <v>42927</v>
      </c>
      <c r="C418" s="18" t="s">
        <v>597</v>
      </c>
      <c r="D418" s="21">
        <v>63</v>
      </c>
      <c r="E418" s="22">
        <v>3</v>
      </c>
      <c r="F418" s="18" t="s">
        <v>414</v>
      </c>
      <c r="G418" s="29" t="str">
        <f>VLOOKUP(C418,DATA!$A$2:$G$243,2,FALSE)</f>
        <v>Grey  - OvalSBLaces</v>
      </c>
      <c r="H418" s="30">
        <f t="shared" si="18"/>
        <v>3</v>
      </c>
      <c r="I418" s="30">
        <f>VLOOKUP(C418,DATA!$A$2:$G$243,5,FALSE)</f>
        <v>5000</v>
      </c>
      <c r="J418" s="30">
        <f t="shared" si="20"/>
        <v>15000</v>
      </c>
      <c r="K418" s="31">
        <f>VLOOKUP(C418,DATA!$A$2:$G$243,3,FALSE)</f>
        <v>3.95</v>
      </c>
      <c r="L418" s="31">
        <f>VLOOKUP(C418,DATA!$A$2:$G$243,4,FALSE)</f>
        <v>1.58</v>
      </c>
      <c r="M418" s="31">
        <f t="shared" si="19"/>
        <v>4.74</v>
      </c>
      <c r="N418" s="25" t="str">
        <f>VLOOKUP(C418,DATA!$A$2:$G$243,6,FALSE)</f>
        <v>Oval SB Laces</v>
      </c>
      <c r="O418" s="16">
        <v>28605</v>
      </c>
    </row>
    <row r="419" spans="1:15" s="4" customFormat="1">
      <c r="A419" s="16" t="s">
        <v>6</v>
      </c>
      <c r="B419" s="18">
        <v>42927</v>
      </c>
      <c r="C419" s="18" t="s">
        <v>598</v>
      </c>
      <c r="D419" s="21">
        <v>54</v>
      </c>
      <c r="E419" s="22">
        <v>3</v>
      </c>
      <c r="F419" s="18" t="s">
        <v>414</v>
      </c>
      <c r="G419" s="29" t="str">
        <f>VLOOKUP(C419,DATA!$A$2:$G$243,2,FALSE)</f>
        <v>Light Grey  - OvalSBLaces</v>
      </c>
      <c r="H419" s="30">
        <f t="shared" si="18"/>
        <v>3</v>
      </c>
      <c r="I419" s="30">
        <f>VLOOKUP(C419,DATA!$A$2:$G$243,5,FALSE)</f>
        <v>5000</v>
      </c>
      <c r="J419" s="30">
        <f t="shared" si="20"/>
        <v>15000</v>
      </c>
      <c r="K419" s="31">
        <f>VLOOKUP(C419,DATA!$A$2:$G$243,3,FALSE)</f>
        <v>3.95</v>
      </c>
      <c r="L419" s="31">
        <f>VLOOKUP(C419,DATA!$A$2:$G$243,4,FALSE)</f>
        <v>1.58</v>
      </c>
      <c r="M419" s="31">
        <f t="shared" si="19"/>
        <v>4.74</v>
      </c>
      <c r="N419" s="25" t="str">
        <f>VLOOKUP(C419,DATA!$A$2:$G$243,6,FALSE)</f>
        <v>Oval SB Laces</v>
      </c>
      <c r="O419" s="16">
        <v>28605</v>
      </c>
    </row>
    <row r="420" spans="1:15" s="4" customFormat="1">
      <c r="A420" s="16" t="s">
        <v>6</v>
      </c>
      <c r="B420" s="18">
        <v>42927</v>
      </c>
      <c r="C420" s="18" t="s">
        <v>598</v>
      </c>
      <c r="D420" s="21">
        <v>63</v>
      </c>
      <c r="E420" s="22">
        <v>3</v>
      </c>
      <c r="F420" s="18" t="s">
        <v>414</v>
      </c>
      <c r="G420" s="29" t="str">
        <f>VLOOKUP(C420,DATA!$A$2:$G$243,2,FALSE)</f>
        <v>Light Grey  - OvalSBLaces</v>
      </c>
      <c r="H420" s="30">
        <f t="shared" si="18"/>
        <v>3</v>
      </c>
      <c r="I420" s="30">
        <f>VLOOKUP(C420,DATA!$A$2:$G$243,5,FALSE)</f>
        <v>5000</v>
      </c>
      <c r="J420" s="30">
        <f t="shared" si="20"/>
        <v>15000</v>
      </c>
      <c r="K420" s="31">
        <f>VLOOKUP(C420,DATA!$A$2:$G$243,3,FALSE)</f>
        <v>3.95</v>
      </c>
      <c r="L420" s="31">
        <f>VLOOKUP(C420,DATA!$A$2:$G$243,4,FALSE)</f>
        <v>1.58</v>
      </c>
      <c r="M420" s="31">
        <f t="shared" si="19"/>
        <v>4.74</v>
      </c>
      <c r="N420" s="25" t="str">
        <f>VLOOKUP(C420,DATA!$A$2:$G$243,6,FALSE)</f>
        <v>Oval SB Laces</v>
      </c>
      <c r="O420" s="16">
        <v>28605</v>
      </c>
    </row>
    <row r="421" spans="1:15" s="4" customFormat="1">
      <c r="A421" s="16" t="s">
        <v>6</v>
      </c>
      <c r="B421" s="18">
        <v>42927</v>
      </c>
      <c r="C421" s="18" t="s">
        <v>599</v>
      </c>
      <c r="D421" s="21">
        <v>54</v>
      </c>
      <c r="E421" s="22">
        <v>3</v>
      </c>
      <c r="F421" s="18" t="s">
        <v>414</v>
      </c>
      <c r="G421" s="29" t="str">
        <f>VLOOKUP(C421,DATA!$A$2:$G$243,2,FALSE)</f>
        <v>Orange  - OvalSBLaces</v>
      </c>
      <c r="H421" s="30">
        <f t="shared" si="18"/>
        <v>3</v>
      </c>
      <c r="I421" s="30">
        <f>VLOOKUP(C421,DATA!$A$2:$G$243,5,FALSE)</f>
        <v>5000</v>
      </c>
      <c r="J421" s="30">
        <f t="shared" si="20"/>
        <v>15000</v>
      </c>
      <c r="K421" s="31">
        <f>VLOOKUP(C421,DATA!$A$2:$G$243,3,FALSE)</f>
        <v>3.95</v>
      </c>
      <c r="L421" s="31">
        <f>VLOOKUP(C421,DATA!$A$2:$G$243,4,FALSE)</f>
        <v>1.58</v>
      </c>
      <c r="M421" s="31">
        <f t="shared" si="19"/>
        <v>4.74</v>
      </c>
      <c r="N421" s="25" t="str">
        <f>VLOOKUP(C421,DATA!$A$2:$G$243,6,FALSE)</f>
        <v>Oval SB Laces</v>
      </c>
      <c r="O421" s="16">
        <v>28605</v>
      </c>
    </row>
    <row r="422" spans="1:15" s="4" customFormat="1">
      <c r="A422" s="16" t="s">
        <v>6</v>
      </c>
      <c r="B422" s="18">
        <v>42927</v>
      </c>
      <c r="C422" s="18" t="s">
        <v>599</v>
      </c>
      <c r="D422" s="21">
        <v>63</v>
      </c>
      <c r="E422" s="22">
        <v>3</v>
      </c>
      <c r="F422" s="18" t="s">
        <v>414</v>
      </c>
      <c r="G422" s="29" t="str">
        <f>VLOOKUP(C422,DATA!$A$2:$G$243,2,FALSE)</f>
        <v>Orange  - OvalSBLaces</v>
      </c>
      <c r="H422" s="30">
        <f t="shared" si="18"/>
        <v>3</v>
      </c>
      <c r="I422" s="30">
        <f>VLOOKUP(C422,DATA!$A$2:$G$243,5,FALSE)</f>
        <v>5000</v>
      </c>
      <c r="J422" s="30">
        <f t="shared" si="20"/>
        <v>15000</v>
      </c>
      <c r="K422" s="31">
        <f>VLOOKUP(C422,DATA!$A$2:$G$243,3,FALSE)</f>
        <v>3.95</v>
      </c>
      <c r="L422" s="31">
        <f>VLOOKUP(C422,DATA!$A$2:$G$243,4,FALSE)</f>
        <v>1.58</v>
      </c>
      <c r="M422" s="31">
        <f t="shared" si="19"/>
        <v>4.74</v>
      </c>
      <c r="N422" s="25" t="str">
        <f>VLOOKUP(C422,DATA!$A$2:$G$243,6,FALSE)</f>
        <v>Oval SB Laces</v>
      </c>
      <c r="O422" s="16">
        <v>28605</v>
      </c>
    </row>
    <row r="423" spans="1:15" s="4" customFormat="1">
      <c r="A423" s="16" t="s">
        <v>6</v>
      </c>
      <c r="B423" s="18">
        <v>42927</v>
      </c>
      <c r="C423" s="18" t="s">
        <v>600</v>
      </c>
      <c r="D423" s="21">
        <v>54</v>
      </c>
      <c r="E423" s="22">
        <v>3</v>
      </c>
      <c r="F423" s="18" t="s">
        <v>414</v>
      </c>
      <c r="G423" s="29" t="str">
        <f>VLOOKUP(C423,DATA!$A$2:$G$243,2,FALSE)</f>
        <v>Pink  - OvalSBLaces</v>
      </c>
      <c r="H423" s="30">
        <f t="shared" si="18"/>
        <v>3</v>
      </c>
      <c r="I423" s="30">
        <f>VLOOKUP(C423,DATA!$A$2:$G$243,5,FALSE)</f>
        <v>5000</v>
      </c>
      <c r="J423" s="30">
        <f t="shared" si="20"/>
        <v>15000</v>
      </c>
      <c r="K423" s="31">
        <f>VLOOKUP(C423,DATA!$A$2:$G$243,3,FALSE)</f>
        <v>3.95</v>
      </c>
      <c r="L423" s="31">
        <f>VLOOKUP(C423,DATA!$A$2:$G$243,4,FALSE)</f>
        <v>1.58</v>
      </c>
      <c r="M423" s="31">
        <f t="shared" si="19"/>
        <v>4.74</v>
      </c>
      <c r="N423" s="25" t="str">
        <f>VLOOKUP(C423,DATA!$A$2:$G$243,6,FALSE)</f>
        <v>Oval SB Laces</v>
      </c>
      <c r="O423" s="16">
        <v>28605</v>
      </c>
    </row>
    <row r="424" spans="1:15" s="4" customFormat="1">
      <c r="A424" s="16" t="s">
        <v>6</v>
      </c>
      <c r="B424" s="18">
        <v>42927</v>
      </c>
      <c r="C424" s="18" t="s">
        <v>600</v>
      </c>
      <c r="D424" s="21">
        <v>63</v>
      </c>
      <c r="E424" s="22">
        <v>3</v>
      </c>
      <c r="F424" s="18" t="s">
        <v>414</v>
      </c>
      <c r="G424" s="29" t="str">
        <f>VLOOKUP(C424,DATA!$A$2:$G$243,2,FALSE)</f>
        <v>Pink  - OvalSBLaces</v>
      </c>
      <c r="H424" s="30">
        <f t="shared" si="18"/>
        <v>3</v>
      </c>
      <c r="I424" s="30">
        <f>VLOOKUP(C424,DATA!$A$2:$G$243,5,FALSE)</f>
        <v>5000</v>
      </c>
      <c r="J424" s="30">
        <f t="shared" si="20"/>
        <v>15000</v>
      </c>
      <c r="K424" s="31">
        <f>VLOOKUP(C424,DATA!$A$2:$G$243,3,FALSE)</f>
        <v>3.95</v>
      </c>
      <c r="L424" s="31">
        <f>VLOOKUP(C424,DATA!$A$2:$G$243,4,FALSE)</f>
        <v>1.58</v>
      </c>
      <c r="M424" s="31">
        <f t="shared" si="19"/>
        <v>4.74</v>
      </c>
      <c r="N424" s="25" t="str">
        <f>VLOOKUP(C424,DATA!$A$2:$G$243,6,FALSE)</f>
        <v>Oval SB Laces</v>
      </c>
      <c r="O424" s="16">
        <v>28605</v>
      </c>
    </row>
    <row r="425" spans="1:15" s="4" customFormat="1">
      <c r="A425" s="16" t="s">
        <v>6</v>
      </c>
      <c r="B425" s="18">
        <v>42927</v>
      </c>
      <c r="C425" s="18" t="s">
        <v>601</v>
      </c>
      <c r="D425" s="21">
        <v>54</v>
      </c>
      <c r="E425" s="22">
        <v>3</v>
      </c>
      <c r="F425" s="18" t="s">
        <v>414</v>
      </c>
      <c r="G425" s="29" t="str">
        <f>VLOOKUP(C425,DATA!$A$2:$G$243,2,FALSE)</f>
        <v>Purple  - OvalSBLaces</v>
      </c>
      <c r="H425" s="30">
        <f t="shared" si="18"/>
        <v>3</v>
      </c>
      <c r="I425" s="30">
        <f>VLOOKUP(C425,DATA!$A$2:$G$243,5,FALSE)</f>
        <v>5000</v>
      </c>
      <c r="J425" s="30">
        <f t="shared" si="20"/>
        <v>15000</v>
      </c>
      <c r="K425" s="31">
        <f>VLOOKUP(C425,DATA!$A$2:$G$243,3,FALSE)</f>
        <v>3.95</v>
      </c>
      <c r="L425" s="31">
        <f>VLOOKUP(C425,DATA!$A$2:$G$243,4,FALSE)</f>
        <v>1.58</v>
      </c>
      <c r="M425" s="31">
        <f t="shared" si="19"/>
        <v>4.74</v>
      </c>
      <c r="N425" s="25" t="str">
        <f>VLOOKUP(C425,DATA!$A$2:$G$243,6,FALSE)</f>
        <v>Oval SB Laces</v>
      </c>
      <c r="O425" s="16">
        <v>28605</v>
      </c>
    </row>
    <row r="426" spans="1:15" s="4" customFormat="1">
      <c r="A426" s="16" t="s">
        <v>6</v>
      </c>
      <c r="B426" s="18">
        <v>42927</v>
      </c>
      <c r="C426" s="18" t="s">
        <v>601</v>
      </c>
      <c r="D426" s="21">
        <v>63</v>
      </c>
      <c r="E426" s="22">
        <v>3</v>
      </c>
      <c r="F426" s="18" t="s">
        <v>414</v>
      </c>
      <c r="G426" s="29" t="str">
        <f>VLOOKUP(C426,DATA!$A$2:$G$243,2,FALSE)</f>
        <v>Purple  - OvalSBLaces</v>
      </c>
      <c r="H426" s="30">
        <f t="shared" si="18"/>
        <v>3</v>
      </c>
      <c r="I426" s="30">
        <f>VLOOKUP(C426,DATA!$A$2:$G$243,5,FALSE)</f>
        <v>5000</v>
      </c>
      <c r="J426" s="30">
        <f t="shared" si="20"/>
        <v>15000</v>
      </c>
      <c r="K426" s="31">
        <f>VLOOKUP(C426,DATA!$A$2:$G$243,3,FALSE)</f>
        <v>3.95</v>
      </c>
      <c r="L426" s="31">
        <f>VLOOKUP(C426,DATA!$A$2:$G$243,4,FALSE)</f>
        <v>1.58</v>
      </c>
      <c r="M426" s="31">
        <f t="shared" si="19"/>
        <v>4.74</v>
      </c>
      <c r="N426" s="25" t="str">
        <f>VLOOKUP(C426,DATA!$A$2:$G$243,6,FALSE)</f>
        <v>Oval SB Laces</v>
      </c>
      <c r="O426" s="16">
        <v>28605</v>
      </c>
    </row>
    <row r="427" spans="1:15" s="4" customFormat="1">
      <c r="A427" s="16" t="s">
        <v>6</v>
      </c>
      <c r="B427" s="18">
        <v>42927</v>
      </c>
      <c r="C427" s="18" t="s">
        <v>602</v>
      </c>
      <c r="D427" s="21">
        <v>54</v>
      </c>
      <c r="E427" s="22">
        <v>3</v>
      </c>
      <c r="F427" s="18" t="s">
        <v>414</v>
      </c>
      <c r="G427" s="29" t="str">
        <f>VLOOKUP(C427,DATA!$A$2:$G$243,2,FALSE)</f>
        <v>Red  - OvalSBLaces</v>
      </c>
      <c r="H427" s="30">
        <f t="shared" si="18"/>
        <v>3</v>
      </c>
      <c r="I427" s="30">
        <f>VLOOKUP(C427,DATA!$A$2:$G$243,5,FALSE)</f>
        <v>5000</v>
      </c>
      <c r="J427" s="30">
        <f t="shared" si="20"/>
        <v>15000</v>
      </c>
      <c r="K427" s="31">
        <f>VLOOKUP(C427,DATA!$A$2:$G$243,3,FALSE)</f>
        <v>3.95</v>
      </c>
      <c r="L427" s="31">
        <f>VLOOKUP(C427,DATA!$A$2:$G$243,4,FALSE)</f>
        <v>1.58</v>
      </c>
      <c r="M427" s="31">
        <f t="shared" si="19"/>
        <v>4.74</v>
      </c>
      <c r="N427" s="25" t="str">
        <f>VLOOKUP(C427,DATA!$A$2:$G$243,6,FALSE)</f>
        <v>Oval SB Laces</v>
      </c>
      <c r="O427" s="16">
        <v>28605</v>
      </c>
    </row>
    <row r="428" spans="1:15" s="4" customFormat="1">
      <c r="A428" s="16" t="s">
        <v>6</v>
      </c>
      <c r="B428" s="18">
        <v>42927</v>
      </c>
      <c r="C428" s="18" t="s">
        <v>602</v>
      </c>
      <c r="D428" s="21">
        <v>63</v>
      </c>
      <c r="E428" s="22">
        <v>3</v>
      </c>
      <c r="F428" s="18" t="s">
        <v>414</v>
      </c>
      <c r="G428" s="29" t="str">
        <f>VLOOKUP(C428,DATA!$A$2:$G$243,2,FALSE)</f>
        <v>Red  - OvalSBLaces</v>
      </c>
      <c r="H428" s="30">
        <f t="shared" si="18"/>
        <v>3</v>
      </c>
      <c r="I428" s="30">
        <f>VLOOKUP(C428,DATA!$A$2:$G$243,5,FALSE)</f>
        <v>5000</v>
      </c>
      <c r="J428" s="30">
        <f t="shared" si="20"/>
        <v>15000</v>
      </c>
      <c r="K428" s="31">
        <f>VLOOKUP(C428,DATA!$A$2:$G$243,3,FALSE)</f>
        <v>3.95</v>
      </c>
      <c r="L428" s="31">
        <f>VLOOKUP(C428,DATA!$A$2:$G$243,4,FALSE)</f>
        <v>1.58</v>
      </c>
      <c r="M428" s="31">
        <f t="shared" si="19"/>
        <v>4.74</v>
      </c>
      <c r="N428" s="25" t="str">
        <f>VLOOKUP(C428,DATA!$A$2:$G$243,6,FALSE)</f>
        <v>Oval SB Laces</v>
      </c>
      <c r="O428" s="16">
        <v>28605</v>
      </c>
    </row>
    <row r="429" spans="1:15" s="4" customFormat="1">
      <c r="A429" s="16" t="s">
        <v>6</v>
      </c>
      <c r="B429" s="18">
        <v>42927</v>
      </c>
      <c r="C429" s="18" t="s">
        <v>603</v>
      </c>
      <c r="D429" s="21">
        <v>54</v>
      </c>
      <c r="E429" s="22">
        <v>3</v>
      </c>
      <c r="F429" s="18" t="s">
        <v>414</v>
      </c>
      <c r="G429" s="29" t="str">
        <f>VLOOKUP(C429,DATA!$A$2:$G$243,2,FALSE)</f>
        <v>Royal Blue  - OvalSBLaces</v>
      </c>
      <c r="H429" s="30">
        <f t="shared" si="18"/>
        <v>3</v>
      </c>
      <c r="I429" s="30">
        <f>VLOOKUP(C429,DATA!$A$2:$G$243,5,FALSE)</f>
        <v>5000</v>
      </c>
      <c r="J429" s="30">
        <f t="shared" si="20"/>
        <v>15000</v>
      </c>
      <c r="K429" s="31">
        <f>VLOOKUP(C429,DATA!$A$2:$G$243,3,FALSE)</f>
        <v>3.95</v>
      </c>
      <c r="L429" s="31">
        <f>VLOOKUP(C429,DATA!$A$2:$G$243,4,FALSE)</f>
        <v>1.58</v>
      </c>
      <c r="M429" s="31">
        <f t="shared" si="19"/>
        <v>4.74</v>
      </c>
      <c r="N429" s="25" t="str">
        <f>VLOOKUP(C429,DATA!$A$2:$G$243,6,FALSE)</f>
        <v>Oval SB Laces</v>
      </c>
      <c r="O429" s="16">
        <v>28605</v>
      </c>
    </row>
    <row r="430" spans="1:15" s="4" customFormat="1">
      <c r="A430" s="16" t="s">
        <v>6</v>
      </c>
      <c r="B430" s="18">
        <v>42927</v>
      </c>
      <c r="C430" s="18" t="s">
        <v>603</v>
      </c>
      <c r="D430" s="21">
        <v>63</v>
      </c>
      <c r="E430" s="22">
        <v>3</v>
      </c>
      <c r="F430" s="18" t="s">
        <v>414</v>
      </c>
      <c r="G430" s="29" t="str">
        <f>VLOOKUP(C430,DATA!$A$2:$G$243,2,FALSE)</f>
        <v>Royal Blue  - OvalSBLaces</v>
      </c>
      <c r="H430" s="30">
        <f t="shared" si="18"/>
        <v>3</v>
      </c>
      <c r="I430" s="30">
        <f>VLOOKUP(C430,DATA!$A$2:$G$243,5,FALSE)</f>
        <v>5000</v>
      </c>
      <c r="J430" s="30">
        <f t="shared" si="20"/>
        <v>15000</v>
      </c>
      <c r="K430" s="31">
        <f>VLOOKUP(C430,DATA!$A$2:$G$243,3,FALSE)</f>
        <v>3.95</v>
      </c>
      <c r="L430" s="31">
        <f>VLOOKUP(C430,DATA!$A$2:$G$243,4,FALSE)</f>
        <v>1.58</v>
      </c>
      <c r="M430" s="31">
        <f t="shared" si="19"/>
        <v>4.74</v>
      </c>
      <c r="N430" s="25" t="str">
        <f>VLOOKUP(C430,DATA!$A$2:$G$243,6,FALSE)</f>
        <v>Oval SB Laces</v>
      </c>
      <c r="O430" s="16">
        <v>28605</v>
      </c>
    </row>
    <row r="431" spans="1:15" s="4" customFormat="1">
      <c r="A431" s="16" t="s">
        <v>6</v>
      </c>
      <c r="B431" s="18">
        <v>42927</v>
      </c>
      <c r="C431" s="18" t="s">
        <v>604</v>
      </c>
      <c r="D431" s="21">
        <v>54</v>
      </c>
      <c r="E431" s="22">
        <v>3</v>
      </c>
      <c r="F431" s="18" t="s">
        <v>414</v>
      </c>
      <c r="G431" s="29" t="str">
        <f>VLOOKUP(C431,DATA!$A$2:$G$243,2,FALSE)</f>
        <v>Tiffany/Mint  - OvalSBLaces</v>
      </c>
      <c r="H431" s="30">
        <f t="shared" si="18"/>
        <v>3</v>
      </c>
      <c r="I431" s="30">
        <f>VLOOKUP(C431,DATA!$A$2:$G$243,5,FALSE)</f>
        <v>5000</v>
      </c>
      <c r="J431" s="30">
        <f t="shared" si="20"/>
        <v>15000</v>
      </c>
      <c r="K431" s="31">
        <f>VLOOKUP(C431,DATA!$A$2:$G$243,3,FALSE)</f>
        <v>3.95</v>
      </c>
      <c r="L431" s="31">
        <f>VLOOKUP(C431,DATA!$A$2:$G$243,4,FALSE)</f>
        <v>1.58</v>
      </c>
      <c r="M431" s="31">
        <f t="shared" si="19"/>
        <v>4.74</v>
      </c>
      <c r="N431" s="25" t="str">
        <f>VLOOKUP(C431,DATA!$A$2:$G$243,6,FALSE)</f>
        <v>Oval SB Laces</v>
      </c>
      <c r="O431" s="16">
        <v>28605</v>
      </c>
    </row>
    <row r="432" spans="1:15" s="4" customFormat="1">
      <c r="A432" s="16" t="s">
        <v>6</v>
      </c>
      <c r="B432" s="18">
        <v>42927</v>
      </c>
      <c r="C432" s="18" t="s">
        <v>604</v>
      </c>
      <c r="D432" s="21">
        <v>63</v>
      </c>
      <c r="E432" s="22">
        <v>3</v>
      </c>
      <c r="F432" s="18" t="s">
        <v>414</v>
      </c>
      <c r="G432" s="29" t="str">
        <f>VLOOKUP(C432,DATA!$A$2:$G$243,2,FALSE)</f>
        <v>Tiffany/Mint  - OvalSBLaces</v>
      </c>
      <c r="H432" s="30">
        <f t="shared" si="18"/>
        <v>3</v>
      </c>
      <c r="I432" s="30">
        <f>VLOOKUP(C432,DATA!$A$2:$G$243,5,FALSE)</f>
        <v>5000</v>
      </c>
      <c r="J432" s="30">
        <f t="shared" si="20"/>
        <v>15000</v>
      </c>
      <c r="K432" s="31">
        <f>VLOOKUP(C432,DATA!$A$2:$G$243,3,FALSE)</f>
        <v>3.95</v>
      </c>
      <c r="L432" s="31">
        <f>VLOOKUP(C432,DATA!$A$2:$G$243,4,FALSE)</f>
        <v>1.58</v>
      </c>
      <c r="M432" s="31">
        <f t="shared" si="19"/>
        <v>4.74</v>
      </c>
      <c r="N432" s="25" t="str">
        <f>VLOOKUP(C432,DATA!$A$2:$G$243,6,FALSE)</f>
        <v>Oval SB Laces</v>
      </c>
      <c r="O432" s="16">
        <v>28605</v>
      </c>
    </row>
    <row r="433" spans="1:15" s="4" customFormat="1">
      <c r="A433" s="16" t="s">
        <v>6</v>
      </c>
      <c r="B433" s="18">
        <v>42927</v>
      </c>
      <c r="C433" s="18" t="s">
        <v>605</v>
      </c>
      <c r="D433" s="21">
        <v>54</v>
      </c>
      <c r="E433" s="22">
        <v>3</v>
      </c>
      <c r="F433" s="18" t="s">
        <v>414</v>
      </c>
      <c r="G433" s="29" t="str">
        <f>VLOOKUP(C433,DATA!$A$2:$G$243,2,FALSE)</f>
        <v>Volt  - OvalSBLaces</v>
      </c>
      <c r="H433" s="30">
        <f t="shared" si="18"/>
        <v>3</v>
      </c>
      <c r="I433" s="30">
        <f>VLOOKUP(C433,DATA!$A$2:$G$243,5,FALSE)</f>
        <v>5000</v>
      </c>
      <c r="J433" s="30">
        <f t="shared" si="20"/>
        <v>15000</v>
      </c>
      <c r="K433" s="31">
        <f>VLOOKUP(C433,DATA!$A$2:$G$243,3,FALSE)</f>
        <v>3.95</v>
      </c>
      <c r="L433" s="31">
        <f>VLOOKUP(C433,DATA!$A$2:$G$243,4,FALSE)</f>
        <v>1.58</v>
      </c>
      <c r="M433" s="31">
        <f t="shared" si="19"/>
        <v>4.74</v>
      </c>
      <c r="N433" s="25" t="str">
        <f>VLOOKUP(C433,DATA!$A$2:$G$243,6,FALSE)</f>
        <v>Oval SB Laces</v>
      </c>
      <c r="O433" s="16">
        <v>28605</v>
      </c>
    </row>
    <row r="434" spans="1:15" s="4" customFormat="1">
      <c r="A434" s="16" t="s">
        <v>6</v>
      </c>
      <c r="B434" s="18">
        <v>42927</v>
      </c>
      <c r="C434" s="18" t="s">
        <v>605</v>
      </c>
      <c r="D434" s="21">
        <v>63</v>
      </c>
      <c r="E434" s="22">
        <v>3</v>
      </c>
      <c r="F434" s="18" t="s">
        <v>414</v>
      </c>
      <c r="G434" s="29" t="str">
        <f>VLOOKUP(C434,DATA!$A$2:$G$243,2,FALSE)</f>
        <v>Volt  - OvalSBLaces</v>
      </c>
      <c r="H434" s="30">
        <f t="shared" si="18"/>
        <v>3</v>
      </c>
      <c r="I434" s="30">
        <f>VLOOKUP(C434,DATA!$A$2:$G$243,5,FALSE)</f>
        <v>5000</v>
      </c>
      <c r="J434" s="30">
        <f t="shared" si="20"/>
        <v>15000</v>
      </c>
      <c r="K434" s="31">
        <f>VLOOKUP(C434,DATA!$A$2:$G$243,3,FALSE)</f>
        <v>3.95</v>
      </c>
      <c r="L434" s="31">
        <f>VLOOKUP(C434,DATA!$A$2:$G$243,4,FALSE)</f>
        <v>1.58</v>
      </c>
      <c r="M434" s="31">
        <f t="shared" si="19"/>
        <v>4.74</v>
      </c>
      <c r="N434" s="25" t="str">
        <f>VLOOKUP(C434,DATA!$A$2:$G$243,6,FALSE)</f>
        <v>Oval SB Laces</v>
      </c>
      <c r="O434" s="16">
        <v>28605</v>
      </c>
    </row>
    <row r="435" spans="1:15" s="4" customFormat="1">
      <c r="A435" s="16" t="s">
        <v>6</v>
      </c>
      <c r="B435" s="18">
        <v>42927</v>
      </c>
      <c r="C435" s="18" t="s">
        <v>606</v>
      </c>
      <c r="D435" s="21">
        <v>54</v>
      </c>
      <c r="E435" s="22">
        <v>3</v>
      </c>
      <c r="F435" s="18" t="s">
        <v>414</v>
      </c>
      <c r="G435" s="29" t="str">
        <f>VLOOKUP(C435,DATA!$A$2:$G$243,2,FALSE)</f>
        <v>Yellow  - OvalSBLaces</v>
      </c>
      <c r="H435" s="30">
        <f t="shared" si="18"/>
        <v>3</v>
      </c>
      <c r="I435" s="30">
        <f>VLOOKUP(C435,DATA!$A$2:$G$243,5,FALSE)</f>
        <v>5000</v>
      </c>
      <c r="J435" s="30">
        <f t="shared" si="20"/>
        <v>15000</v>
      </c>
      <c r="K435" s="31">
        <f>VLOOKUP(C435,DATA!$A$2:$G$243,3,FALSE)</f>
        <v>3.95</v>
      </c>
      <c r="L435" s="31">
        <f>VLOOKUP(C435,DATA!$A$2:$G$243,4,FALSE)</f>
        <v>1.58</v>
      </c>
      <c r="M435" s="31">
        <f t="shared" si="19"/>
        <v>4.74</v>
      </c>
      <c r="N435" s="25" t="str">
        <f>VLOOKUP(C435,DATA!$A$2:$G$243,6,FALSE)</f>
        <v>Oval SB Laces</v>
      </c>
      <c r="O435" s="16">
        <v>28605</v>
      </c>
    </row>
    <row r="436" spans="1:15" s="4" customFormat="1">
      <c r="A436" s="16" t="s">
        <v>6</v>
      </c>
      <c r="B436" s="18">
        <v>42927</v>
      </c>
      <c r="C436" s="18" t="s">
        <v>606</v>
      </c>
      <c r="D436" s="21">
        <v>63</v>
      </c>
      <c r="E436" s="22">
        <v>3</v>
      </c>
      <c r="F436" s="18" t="s">
        <v>414</v>
      </c>
      <c r="G436" s="29" t="str">
        <f>VLOOKUP(C436,DATA!$A$2:$G$243,2,FALSE)</f>
        <v>Yellow  - OvalSBLaces</v>
      </c>
      <c r="H436" s="30">
        <f t="shared" si="18"/>
        <v>3</v>
      </c>
      <c r="I436" s="30">
        <f>VLOOKUP(C436,DATA!$A$2:$G$243,5,FALSE)</f>
        <v>5000</v>
      </c>
      <c r="J436" s="30">
        <f t="shared" si="20"/>
        <v>15000</v>
      </c>
      <c r="K436" s="31">
        <f>VLOOKUP(C436,DATA!$A$2:$G$243,3,FALSE)</f>
        <v>3.95</v>
      </c>
      <c r="L436" s="31">
        <f>VLOOKUP(C436,DATA!$A$2:$G$243,4,FALSE)</f>
        <v>1.58</v>
      </c>
      <c r="M436" s="31">
        <f t="shared" si="19"/>
        <v>4.74</v>
      </c>
      <c r="N436" s="25" t="str">
        <f>VLOOKUP(C436,DATA!$A$2:$G$243,6,FALSE)</f>
        <v>Oval SB Laces</v>
      </c>
      <c r="O436" s="16">
        <v>28605</v>
      </c>
    </row>
    <row r="437" spans="1:15" s="4" customFormat="1">
      <c r="A437" s="16" t="s">
        <v>6</v>
      </c>
      <c r="B437" s="18">
        <v>42927</v>
      </c>
      <c r="C437" s="18" t="s">
        <v>437</v>
      </c>
      <c r="D437" s="19">
        <v>45</v>
      </c>
      <c r="E437" s="22">
        <v>3</v>
      </c>
      <c r="F437" s="18" t="s">
        <v>414</v>
      </c>
      <c r="G437" s="29" t="str">
        <f>VLOOKUP(C437,DATA!$A$2:$G$243,2,FALSE)</f>
        <v>Black Boot Laces</v>
      </c>
      <c r="H437" s="30">
        <f t="shared" si="18"/>
        <v>3</v>
      </c>
      <c r="I437" s="30">
        <f>VLOOKUP(C437,DATA!$A$2:$G$243,5,FALSE)</f>
        <v>7000</v>
      </c>
      <c r="J437" s="30">
        <f t="shared" si="20"/>
        <v>21000</v>
      </c>
      <c r="K437" s="31">
        <f>VLOOKUP(C437,DATA!$A$2:$G$243,3,FALSE)</f>
        <v>5.95</v>
      </c>
      <c r="L437" s="31">
        <f>VLOOKUP(C437,DATA!$A$2:$G$243,4,FALSE)</f>
        <v>2.3800000000000003</v>
      </c>
      <c r="M437" s="31">
        <f t="shared" si="19"/>
        <v>7.1400000000000006</v>
      </c>
      <c r="N437" s="25" t="str">
        <f>VLOOKUP(C437,DATA!$A$2:$G$243,6,FALSE)</f>
        <v>Boot Laces</v>
      </c>
      <c r="O437" s="16">
        <v>28605</v>
      </c>
    </row>
    <row r="438" spans="1:15" s="4" customFormat="1">
      <c r="A438" s="16" t="s">
        <v>6</v>
      </c>
      <c r="B438" s="18">
        <v>42927</v>
      </c>
      <c r="C438" s="18" t="s">
        <v>437</v>
      </c>
      <c r="D438" s="21">
        <v>54</v>
      </c>
      <c r="E438" s="22">
        <v>3</v>
      </c>
      <c r="F438" s="18" t="s">
        <v>414</v>
      </c>
      <c r="G438" s="29" t="str">
        <f>VLOOKUP(C438,DATA!$A$2:$G$243,2,FALSE)</f>
        <v>Black Boot Laces</v>
      </c>
      <c r="H438" s="30">
        <f t="shared" si="18"/>
        <v>3</v>
      </c>
      <c r="I438" s="30">
        <f>VLOOKUP(C438,DATA!$A$2:$G$243,5,FALSE)</f>
        <v>7000</v>
      </c>
      <c r="J438" s="30">
        <f t="shared" si="20"/>
        <v>21000</v>
      </c>
      <c r="K438" s="31">
        <f>VLOOKUP(C438,DATA!$A$2:$G$243,3,FALSE)</f>
        <v>5.95</v>
      </c>
      <c r="L438" s="31">
        <f>VLOOKUP(C438,DATA!$A$2:$G$243,4,FALSE)</f>
        <v>2.3800000000000003</v>
      </c>
      <c r="M438" s="31">
        <f t="shared" si="19"/>
        <v>7.1400000000000006</v>
      </c>
      <c r="N438" s="25" t="str">
        <f>VLOOKUP(C438,DATA!$A$2:$G$243,6,FALSE)</f>
        <v>Boot Laces</v>
      </c>
      <c r="O438" s="16">
        <v>28605</v>
      </c>
    </row>
    <row r="439" spans="1:15" s="4" customFormat="1">
      <c r="A439" s="16" t="s">
        <v>6</v>
      </c>
      <c r="B439" s="18">
        <v>42927</v>
      </c>
      <c r="C439" s="18" t="s">
        <v>437</v>
      </c>
      <c r="D439" s="21">
        <v>63</v>
      </c>
      <c r="E439" s="22">
        <v>3</v>
      </c>
      <c r="F439" s="18" t="s">
        <v>414</v>
      </c>
      <c r="G439" s="29" t="str">
        <f>VLOOKUP(C439,DATA!$A$2:$G$243,2,FALSE)</f>
        <v>Black Boot Laces</v>
      </c>
      <c r="H439" s="30">
        <f t="shared" si="18"/>
        <v>3</v>
      </c>
      <c r="I439" s="30">
        <f>VLOOKUP(C439,DATA!$A$2:$G$243,5,FALSE)</f>
        <v>7000</v>
      </c>
      <c r="J439" s="30">
        <f t="shared" si="20"/>
        <v>21000</v>
      </c>
      <c r="K439" s="31">
        <f>VLOOKUP(C439,DATA!$A$2:$G$243,3,FALSE)</f>
        <v>5.95</v>
      </c>
      <c r="L439" s="31">
        <f>VLOOKUP(C439,DATA!$A$2:$G$243,4,FALSE)</f>
        <v>2.3800000000000003</v>
      </c>
      <c r="M439" s="31">
        <f t="shared" si="19"/>
        <v>7.1400000000000006</v>
      </c>
      <c r="N439" s="25" t="str">
        <f>VLOOKUP(C439,DATA!$A$2:$G$243,6,FALSE)</f>
        <v>Boot Laces</v>
      </c>
      <c r="O439" s="16">
        <v>28605</v>
      </c>
    </row>
    <row r="440" spans="1:15" s="4" customFormat="1">
      <c r="A440" s="16" t="s">
        <v>6</v>
      </c>
      <c r="B440" s="18">
        <v>42927</v>
      </c>
      <c r="C440" s="18" t="s">
        <v>437</v>
      </c>
      <c r="D440" s="21">
        <v>72</v>
      </c>
      <c r="E440" s="22">
        <v>1</v>
      </c>
      <c r="F440" s="18" t="s">
        <v>414</v>
      </c>
      <c r="G440" s="29" t="str">
        <f>VLOOKUP(C440,DATA!$A$2:$G$243,2,FALSE)</f>
        <v>Black Boot Laces</v>
      </c>
      <c r="H440" s="30">
        <f t="shared" si="18"/>
        <v>1</v>
      </c>
      <c r="I440" s="30">
        <f>VLOOKUP(C440,DATA!$A$2:$G$243,5,FALSE)</f>
        <v>7000</v>
      </c>
      <c r="J440" s="30">
        <f t="shared" si="20"/>
        <v>7000</v>
      </c>
      <c r="K440" s="31">
        <f>VLOOKUP(C440,DATA!$A$2:$G$243,3,FALSE)</f>
        <v>5.95</v>
      </c>
      <c r="L440" s="31">
        <f>VLOOKUP(C440,DATA!$A$2:$G$243,4,FALSE)</f>
        <v>2.3800000000000003</v>
      </c>
      <c r="M440" s="31">
        <f t="shared" si="19"/>
        <v>2.3800000000000003</v>
      </c>
      <c r="N440" s="25" t="str">
        <f>VLOOKUP(C440,DATA!$A$2:$G$243,6,FALSE)</f>
        <v>Boot Laces</v>
      </c>
      <c r="O440" s="16">
        <v>28605</v>
      </c>
    </row>
    <row r="441" spans="1:15" s="4" customFormat="1">
      <c r="A441" s="16" t="s">
        <v>6</v>
      </c>
      <c r="B441" s="18">
        <v>42927</v>
      </c>
      <c r="C441" s="18" t="s">
        <v>607</v>
      </c>
      <c r="D441" s="21">
        <v>45</v>
      </c>
      <c r="E441" s="22">
        <v>3</v>
      </c>
      <c r="F441" s="18" t="s">
        <v>414</v>
      </c>
      <c r="G441" s="29" t="str">
        <f>VLOOKUP(C441,DATA!$A$2:$G$243,2,FALSE)</f>
        <v>Black/Brown Boot Laces</v>
      </c>
      <c r="H441" s="30">
        <f t="shared" si="18"/>
        <v>3</v>
      </c>
      <c r="I441" s="30">
        <f>VLOOKUP(C441,DATA!$A$2:$G$243,5,FALSE)</f>
        <v>7000</v>
      </c>
      <c r="J441" s="30">
        <f t="shared" si="20"/>
        <v>21000</v>
      </c>
      <c r="K441" s="31">
        <f>VLOOKUP(C441,DATA!$A$2:$G$243,3,FALSE)</f>
        <v>5.95</v>
      </c>
      <c r="L441" s="31">
        <f>VLOOKUP(C441,DATA!$A$2:$G$243,4,FALSE)</f>
        <v>2.3800000000000003</v>
      </c>
      <c r="M441" s="31">
        <f t="shared" si="19"/>
        <v>7.1400000000000006</v>
      </c>
      <c r="N441" s="25" t="str">
        <f>VLOOKUP(C441,DATA!$A$2:$G$243,6,FALSE)</f>
        <v>Boot Laces</v>
      </c>
      <c r="O441" s="16">
        <v>28605</v>
      </c>
    </row>
    <row r="442" spans="1:15" s="4" customFormat="1">
      <c r="A442" s="16" t="s">
        <v>6</v>
      </c>
      <c r="B442" s="18">
        <v>42927</v>
      </c>
      <c r="C442" s="18" t="s">
        <v>607</v>
      </c>
      <c r="D442" s="21">
        <v>54</v>
      </c>
      <c r="E442" s="22">
        <v>3</v>
      </c>
      <c r="F442" s="18" t="s">
        <v>414</v>
      </c>
      <c r="G442" s="29" t="str">
        <f>VLOOKUP(C442,DATA!$A$2:$G$243,2,FALSE)</f>
        <v>Black/Brown Boot Laces</v>
      </c>
      <c r="H442" s="30">
        <f t="shared" si="18"/>
        <v>3</v>
      </c>
      <c r="I442" s="30">
        <f>VLOOKUP(C442,DATA!$A$2:$G$243,5,FALSE)</f>
        <v>7000</v>
      </c>
      <c r="J442" s="30">
        <f t="shared" si="20"/>
        <v>21000</v>
      </c>
      <c r="K442" s="31">
        <f>VLOOKUP(C442,DATA!$A$2:$G$243,3,FALSE)</f>
        <v>5.95</v>
      </c>
      <c r="L442" s="31">
        <f>VLOOKUP(C442,DATA!$A$2:$G$243,4,FALSE)</f>
        <v>2.3800000000000003</v>
      </c>
      <c r="M442" s="31">
        <f t="shared" si="19"/>
        <v>7.1400000000000006</v>
      </c>
      <c r="N442" s="25" t="str">
        <f>VLOOKUP(C442,DATA!$A$2:$G$243,6,FALSE)</f>
        <v>Boot Laces</v>
      </c>
      <c r="O442" s="16">
        <v>28605</v>
      </c>
    </row>
    <row r="443" spans="1:15" s="4" customFormat="1">
      <c r="A443" s="16" t="s">
        <v>6</v>
      </c>
      <c r="B443" s="18">
        <v>42927</v>
      </c>
      <c r="C443" s="18" t="s">
        <v>607</v>
      </c>
      <c r="D443" s="21">
        <v>63</v>
      </c>
      <c r="E443" s="22">
        <v>3</v>
      </c>
      <c r="F443" s="18" t="s">
        <v>414</v>
      </c>
      <c r="G443" s="29" t="str">
        <f>VLOOKUP(C443,DATA!$A$2:$G$243,2,FALSE)</f>
        <v>Black/Brown Boot Laces</v>
      </c>
      <c r="H443" s="30">
        <f t="shared" si="18"/>
        <v>3</v>
      </c>
      <c r="I443" s="30">
        <f>VLOOKUP(C443,DATA!$A$2:$G$243,5,FALSE)</f>
        <v>7000</v>
      </c>
      <c r="J443" s="30">
        <f t="shared" si="20"/>
        <v>21000</v>
      </c>
      <c r="K443" s="31">
        <f>VLOOKUP(C443,DATA!$A$2:$G$243,3,FALSE)</f>
        <v>5.95</v>
      </c>
      <c r="L443" s="31">
        <f>VLOOKUP(C443,DATA!$A$2:$G$243,4,FALSE)</f>
        <v>2.3800000000000003</v>
      </c>
      <c r="M443" s="31">
        <f t="shared" si="19"/>
        <v>7.1400000000000006</v>
      </c>
      <c r="N443" s="25" t="str">
        <f>VLOOKUP(C443,DATA!$A$2:$G$243,6,FALSE)</f>
        <v>Boot Laces</v>
      </c>
      <c r="O443" s="16">
        <v>28605</v>
      </c>
    </row>
    <row r="444" spans="1:15" s="4" customFormat="1">
      <c r="A444" s="16" t="s">
        <v>6</v>
      </c>
      <c r="B444" s="18">
        <v>42927</v>
      </c>
      <c r="C444" s="18" t="s">
        <v>607</v>
      </c>
      <c r="D444" s="21">
        <v>72</v>
      </c>
      <c r="E444" s="22">
        <v>1</v>
      </c>
      <c r="F444" s="18" t="s">
        <v>414</v>
      </c>
      <c r="G444" s="29" t="str">
        <f>VLOOKUP(C444,DATA!$A$2:$G$243,2,FALSE)</f>
        <v>Black/Brown Boot Laces</v>
      </c>
      <c r="H444" s="30">
        <f t="shared" si="18"/>
        <v>1</v>
      </c>
      <c r="I444" s="30">
        <f>VLOOKUP(C444,DATA!$A$2:$G$243,5,FALSE)</f>
        <v>7000</v>
      </c>
      <c r="J444" s="30">
        <f t="shared" si="20"/>
        <v>7000</v>
      </c>
      <c r="K444" s="31">
        <f>VLOOKUP(C444,DATA!$A$2:$G$243,3,FALSE)</f>
        <v>5.95</v>
      </c>
      <c r="L444" s="31">
        <f>VLOOKUP(C444,DATA!$A$2:$G$243,4,FALSE)</f>
        <v>2.3800000000000003</v>
      </c>
      <c r="M444" s="31">
        <f t="shared" si="19"/>
        <v>2.3800000000000003</v>
      </c>
      <c r="N444" s="25" t="str">
        <f>VLOOKUP(C444,DATA!$A$2:$G$243,6,FALSE)</f>
        <v>Boot Laces</v>
      </c>
      <c r="O444" s="16">
        <v>28605</v>
      </c>
    </row>
    <row r="445" spans="1:15" s="4" customFormat="1">
      <c r="A445" s="16" t="s">
        <v>6</v>
      </c>
      <c r="B445" s="18">
        <v>42927</v>
      </c>
      <c r="C445" s="18" t="s">
        <v>608</v>
      </c>
      <c r="D445" s="21">
        <v>45</v>
      </c>
      <c r="E445" s="22">
        <v>3</v>
      </c>
      <c r="F445" s="18" t="s">
        <v>414</v>
      </c>
      <c r="G445" s="29" t="str">
        <f>VLOOKUP(C445,DATA!$A$2:$G$243,2,FALSE)</f>
        <v>Black/Grey Boot Laces</v>
      </c>
      <c r="H445" s="30">
        <f t="shared" si="18"/>
        <v>3</v>
      </c>
      <c r="I445" s="30">
        <f>VLOOKUP(C445,DATA!$A$2:$G$243,5,FALSE)</f>
        <v>7000</v>
      </c>
      <c r="J445" s="30">
        <f t="shared" si="20"/>
        <v>21000</v>
      </c>
      <c r="K445" s="31">
        <f>VLOOKUP(C445,DATA!$A$2:$G$243,3,FALSE)</f>
        <v>5.95</v>
      </c>
      <c r="L445" s="31">
        <f>VLOOKUP(C445,DATA!$A$2:$G$243,4,FALSE)</f>
        <v>2.3800000000000003</v>
      </c>
      <c r="M445" s="31">
        <f t="shared" si="19"/>
        <v>7.1400000000000006</v>
      </c>
      <c r="N445" s="25" t="str">
        <f>VLOOKUP(C445,DATA!$A$2:$G$243,6,FALSE)</f>
        <v>Boot Laces</v>
      </c>
      <c r="O445" s="16">
        <v>28605</v>
      </c>
    </row>
    <row r="446" spans="1:15" s="4" customFormat="1">
      <c r="A446" s="16" t="s">
        <v>6</v>
      </c>
      <c r="B446" s="18">
        <v>42927</v>
      </c>
      <c r="C446" s="18" t="s">
        <v>608</v>
      </c>
      <c r="D446" s="21">
        <v>54</v>
      </c>
      <c r="E446" s="22">
        <v>3</v>
      </c>
      <c r="F446" s="18" t="s">
        <v>414</v>
      </c>
      <c r="G446" s="29" t="str">
        <f>VLOOKUP(C446,DATA!$A$2:$G$243,2,FALSE)</f>
        <v>Black/Grey Boot Laces</v>
      </c>
      <c r="H446" s="30">
        <f t="shared" si="18"/>
        <v>3</v>
      </c>
      <c r="I446" s="30">
        <f>VLOOKUP(C446,DATA!$A$2:$G$243,5,FALSE)</f>
        <v>7000</v>
      </c>
      <c r="J446" s="30">
        <f t="shared" si="20"/>
        <v>21000</v>
      </c>
      <c r="K446" s="31">
        <f>VLOOKUP(C446,DATA!$A$2:$G$243,3,FALSE)</f>
        <v>5.95</v>
      </c>
      <c r="L446" s="31">
        <f>VLOOKUP(C446,DATA!$A$2:$G$243,4,FALSE)</f>
        <v>2.3800000000000003</v>
      </c>
      <c r="M446" s="31">
        <f t="shared" si="19"/>
        <v>7.1400000000000006</v>
      </c>
      <c r="N446" s="25" t="str">
        <f>VLOOKUP(C446,DATA!$A$2:$G$243,6,FALSE)</f>
        <v>Boot Laces</v>
      </c>
      <c r="O446" s="16">
        <v>28605</v>
      </c>
    </row>
    <row r="447" spans="1:15" s="4" customFormat="1">
      <c r="A447" s="16" t="s">
        <v>6</v>
      </c>
      <c r="B447" s="18">
        <v>42927</v>
      </c>
      <c r="C447" s="18" t="s">
        <v>608</v>
      </c>
      <c r="D447" s="21">
        <v>63</v>
      </c>
      <c r="E447" s="22">
        <v>3</v>
      </c>
      <c r="F447" s="18" t="s">
        <v>414</v>
      </c>
      <c r="G447" s="29" t="str">
        <f>VLOOKUP(C447,DATA!$A$2:$G$243,2,FALSE)</f>
        <v>Black/Grey Boot Laces</v>
      </c>
      <c r="H447" s="30">
        <f t="shared" si="18"/>
        <v>3</v>
      </c>
      <c r="I447" s="30">
        <f>VLOOKUP(C447,DATA!$A$2:$G$243,5,FALSE)</f>
        <v>7000</v>
      </c>
      <c r="J447" s="30">
        <f t="shared" si="20"/>
        <v>21000</v>
      </c>
      <c r="K447" s="31">
        <f>VLOOKUP(C447,DATA!$A$2:$G$243,3,FALSE)</f>
        <v>5.95</v>
      </c>
      <c r="L447" s="31">
        <f>VLOOKUP(C447,DATA!$A$2:$G$243,4,FALSE)</f>
        <v>2.3800000000000003</v>
      </c>
      <c r="M447" s="31">
        <f t="shared" si="19"/>
        <v>7.1400000000000006</v>
      </c>
      <c r="N447" s="25" t="str">
        <f>VLOOKUP(C447,DATA!$A$2:$G$243,6,FALSE)</f>
        <v>Boot Laces</v>
      </c>
      <c r="O447" s="16">
        <v>28605</v>
      </c>
    </row>
    <row r="448" spans="1:15" s="4" customFormat="1">
      <c r="A448" s="16" t="s">
        <v>6</v>
      </c>
      <c r="B448" s="18">
        <v>42927</v>
      </c>
      <c r="C448" s="18" t="s">
        <v>608</v>
      </c>
      <c r="D448" s="21">
        <v>72</v>
      </c>
      <c r="E448" s="22">
        <v>1</v>
      </c>
      <c r="F448" s="18" t="s">
        <v>414</v>
      </c>
      <c r="G448" s="29" t="str">
        <f>VLOOKUP(C448,DATA!$A$2:$G$243,2,FALSE)</f>
        <v>Black/Grey Boot Laces</v>
      </c>
      <c r="H448" s="30">
        <f t="shared" si="18"/>
        <v>1</v>
      </c>
      <c r="I448" s="30">
        <f>VLOOKUP(C448,DATA!$A$2:$G$243,5,FALSE)</f>
        <v>7000</v>
      </c>
      <c r="J448" s="30">
        <f t="shared" si="20"/>
        <v>7000</v>
      </c>
      <c r="K448" s="31">
        <f>VLOOKUP(C448,DATA!$A$2:$G$243,3,FALSE)</f>
        <v>5.95</v>
      </c>
      <c r="L448" s="31">
        <f>VLOOKUP(C448,DATA!$A$2:$G$243,4,FALSE)</f>
        <v>2.3800000000000003</v>
      </c>
      <c r="M448" s="31">
        <f t="shared" si="19"/>
        <v>2.3800000000000003</v>
      </c>
      <c r="N448" s="25" t="str">
        <f>VLOOKUP(C448,DATA!$A$2:$G$243,6,FALSE)</f>
        <v>Boot Laces</v>
      </c>
      <c r="O448" s="16">
        <v>28605</v>
      </c>
    </row>
    <row r="449" spans="1:15" s="4" customFormat="1">
      <c r="A449" s="16" t="s">
        <v>6</v>
      </c>
      <c r="B449" s="18">
        <v>42927</v>
      </c>
      <c r="C449" s="18" t="s">
        <v>609</v>
      </c>
      <c r="D449" s="21">
        <v>45</v>
      </c>
      <c r="E449" s="22">
        <v>3</v>
      </c>
      <c r="F449" s="18" t="s">
        <v>414</v>
      </c>
      <c r="G449" s="29" t="str">
        <f>VLOOKUP(C449,DATA!$A$2:$G$243,2,FALSE)</f>
        <v>Black/Hunter Green Boot Laces</v>
      </c>
      <c r="H449" s="30">
        <f t="shared" si="18"/>
        <v>3</v>
      </c>
      <c r="I449" s="30">
        <f>VLOOKUP(C449,DATA!$A$2:$G$243,5,FALSE)</f>
        <v>7000</v>
      </c>
      <c r="J449" s="30">
        <f t="shared" si="20"/>
        <v>21000</v>
      </c>
      <c r="K449" s="31">
        <f>VLOOKUP(C449,DATA!$A$2:$G$243,3,FALSE)</f>
        <v>5.95</v>
      </c>
      <c r="L449" s="31">
        <f>VLOOKUP(C449,DATA!$A$2:$G$243,4,FALSE)</f>
        <v>2.3800000000000003</v>
      </c>
      <c r="M449" s="31">
        <f t="shared" si="19"/>
        <v>7.1400000000000006</v>
      </c>
      <c r="N449" s="25" t="str">
        <f>VLOOKUP(C449,DATA!$A$2:$G$243,6,FALSE)</f>
        <v>Boot Laces</v>
      </c>
      <c r="O449" s="16">
        <v>28605</v>
      </c>
    </row>
    <row r="450" spans="1:15" s="4" customFormat="1">
      <c r="A450" s="16" t="s">
        <v>6</v>
      </c>
      <c r="B450" s="18">
        <v>42927</v>
      </c>
      <c r="C450" s="18" t="s">
        <v>609</v>
      </c>
      <c r="D450" s="21">
        <v>54</v>
      </c>
      <c r="E450" s="22">
        <v>3</v>
      </c>
      <c r="F450" s="18" t="s">
        <v>414</v>
      </c>
      <c r="G450" s="29" t="str">
        <f>VLOOKUP(C450,DATA!$A$2:$G$243,2,FALSE)</f>
        <v>Black/Hunter Green Boot Laces</v>
      </c>
      <c r="H450" s="30">
        <f t="shared" ref="H450:H490" si="21">IF(F450="입",E450,-1*E450)</f>
        <v>3</v>
      </c>
      <c r="I450" s="30">
        <f>VLOOKUP(C450,DATA!$A$2:$G$243,5,FALSE)</f>
        <v>7000</v>
      </c>
      <c r="J450" s="30">
        <f t="shared" si="20"/>
        <v>21000</v>
      </c>
      <c r="K450" s="31">
        <f>VLOOKUP(C450,DATA!$A$2:$G$243,3,FALSE)</f>
        <v>5.95</v>
      </c>
      <c r="L450" s="31">
        <f>VLOOKUP(C450,DATA!$A$2:$G$243,4,FALSE)</f>
        <v>2.3800000000000003</v>
      </c>
      <c r="M450" s="31">
        <f t="shared" ref="M450:M490" si="22">L450*E450</f>
        <v>7.1400000000000006</v>
      </c>
      <c r="N450" s="25" t="str">
        <f>VLOOKUP(C450,DATA!$A$2:$G$243,6,FALSE)</f>
        <v>Boot Laces</v>
      </c>
      <c r="O450" s="16">
        <v>28605</v>
      </c>
    </row>
    <row r="451" spans="1:15" s="4" customFormat="1">
      <c r="A451" s="16" t="s">
        <v>6</v>
      </c>
      <c r="B451" s="18">
        <v>42927</v>
      </c>
      <c r="C451" s="18" t="s">
        <v>609</v>
      </c>
      <c r="D451" s="21">
        <v>63</v>
      </c>
      <c r="E451" s="22">
        <v>3</v>
      </c>
      <c r="F451" s="18" t="s">
        <v>414</v>
      </c>
      <c r="G451" s="29" t="str">
        <f>VLOOKUP(C451,DATA!$A$2:$G$243,2,FALSE)</f>
        <v>Black/Hunter Green Boot Laces</v>
      </c>
      <c r="H451" s="30">
        <f t="shared" si="21"/>
        <v>3</v>
      </c>
      <c r="I451" s="30">
        <f>VLOOKUP(C451,DATA!$A$2:$G$243,5,FALSE)</f>
        <v>7000</v>
      </c>
      <c r="J451" s="30">
        <f t="shared" ref="J451:J490" si="23">I451*E451</f>
        <v>21000</v>
      </c>
      <c r="K451" s="31">
        <f>VLOOKUP(C451,DATA!$A$2:$G$243,3,FALSE)</f>
        <v>5.95</v>
      </c>
      <c r="L451" s="31">
        <f>VLOOKUP(C451,DATA!$A$2:$G$243,4,FALSE)</f>
        <v>2.3800000000000003</v>
      </c>
      <c r="M451" s="31">
        <f t="shared" si="22"/>
        <v>7.1400000000000006</v>
      </c>
      <c r="N451" s="25" t="str">
        <f>VLOOKUP(C451,DATA!$A$2:$G$243,6,FALSE)</f>
        <v>Boot Laces</v>
      </c>
      <c r="O451" s="16">
        <v>28605</v>
      </c>
    </row>
    <row r="452" spans="1:15" s="4" customFormat="1">
      <c r="A452" s="16" t="s">
        <v>6</v>
      </c>
      <c r="B452" s="18">
        <v>42927</v>
      </c>
      <c r="C452" s="18" t="s">
        <v>609</v>
      </c>
      <c r="D452" s="21">
        <v>72</v>
      </c>
      <c r="E452" s="22">
        <v>1</v>
      </c>
      <c r="F452" s="18" t="s">
        <v>414</v>
      </c>
      <c r="G452" s="29" t="str">
        <f>VLOOKUP(C452,DATA!$A$2:$G$243,2,FALSE)</f>
        <v>Black/Hunter Green Boot Laces</v>
      </c>
      <c r="H452" s="30">
        <f t="shared" si="21"/>
        <v>1</v>
      </c>
      <c r="I452" s="30">
        <f>VLOOKUP(C452,DATA!$A$2:$G$243,5,FALSE)</f>
        <v>7000</v>
      </c>
      <c r="J452" s="30">
        <f t="shared" si="23"/>
        <v>7000</v>
      </c>
      <c r="K452" s="31">
        <f>VLOOKUP(C452,DATA!$A$2:$G$243,3,FALSE)</f>
        <v>5.95</v>
      </c>
      <c r="L452" s="31">
        <f>VLOOKUP(C452,DATA!$A$2:$G$243,4,FALSE)</f>
        <v>2.3800000000000003</v>
      </c>
      <c r="M452" s="31">
        <f t="shared" si="22"/>
        <v>2.3800000000000003</v>
      </c>
      <c r="N452" s="25" t="str">
        <f>VLOOKUP(C452,DATA!$A$2:$G$243,6,FALSE)</f>
        <v>Boot Laces</v>
      </c>
      <c r="O452" s="16">
        <v>28605</v>
      </c>
    </row>
    <row r="453" spans="1:15" s="4" customFormat="1">
      <c r="A453" s="16" t="s">
        <v>6</v>
      </c>
      <c r="B453" s="18">
        <v>42927</v>
      </c>
      <c r="C453" s="18" t="s">
        <v>610</v>
      </c>
      <c r="D453" s="21">
        <v>45</v>
      </c>
      <c r="E453" s="22">
        <v>3</v>
      </c>
      <c r="F453" s="18" t="s">
        <v>414</v>
      </c>
      <c r="G453" s="29" t="str">
        <f>VLOOKUP(C453,DATA!$A$2:$G$243,2,FALSE)</f>
        <v>Black/Tan Boot Laces</v>
      </c>
      <c r="H453" s="30">
        <f t="shared" si="21"/>
        <v>3</v>
      </c>
      <c r="I453" s="30">
        <f>VLOOKUP(C453,DATA!$A$2:$G$243,5,FALSE)</f>
        <v>7000</v>
      </c>
      <c r="J453" s="30">
        <f t="shared" si="23"/>
        <v>21000</v>
      </c>
      <c r="K453" s="31">
        <f>VLOOKUP(C453,DATA!$A$2:$G$243,3,FALSE)</f>
        <v>5.95</v>
      </c>
      <c r="L453" s="31">
        <f>VLOOKUP(C453,DATA!$A$2:$G$243,4,FALSE)</f>
        <v>2.3800000000000003</v>
      </c>
      <c r="M453" s="31">
        <f t="shared" si="22"/>
        <v>7.1400000000000006</v>
      </c>
      <c r="N453" s="25" t="str">
        <f>VLOOKUP(C453,DATA!$A$2:$G$243,6,FALSE)</f>
        <v>Boot Laces</v>
      </c>
      <c r="O453" s="16">
        <v>28605</v>
      </c>
    </row>
    <row r="454" spans="1:15" s="4" customFormat="1">
      <c r="A454" s="16" t="s">
        <v>6</v>
      </c>
      <c r="B454" s="18">
        <v>42927</v>
      </c>
      <c r="C454" s="18" t="s">
        <v>610</v>
      </c>
      <c r="D454" s="21">
        <v>54</v>
      </c>
      <c r="E454" s="22">
        <v>3</v>
      </c>
      <c r="F454" s="18" t="s">
        <v>414</v>
      </c>
      <c r="G454" s="29" t="str">
        <f>VLOOKUP(C454,DATA!$A$2:$G$243,2,FALSE)</f>
        <v>Black/Tan Boot Laces</v>
      </c>
      <c r="H454" s="30">
        <f t="shared" si="21"/>
        <v>3</v>
      </c>
      <c r="I454" s="30">
        <f>VLOOKUP(C454,DATA!$A$2:$G$243,5,FALSE)</f>
        <v>7000</v>
      </c>
      <c r="J454" s="30">
        <f t="shared" si="23"/>
        <v>21000</v>
      </c>
      <c r="K454" s="31">
        <f>VLOOKUP(C454,DATA!$A$2:$G$243,3,FALSE)</f>
        <v>5.95</v>
      </c>
      <c r="L454" s="31">
        <f>VLOOKUP(C454,DATA!$A$2:$G$243,4,FALSE)</f>
        <v>2.3800000000000003</v>
      </c>
      <c r="M454" s="31">
        <f t="shared" si="22"/>
        <v>7.1400000000000006</v>
      </c>
      <c r="N454" s="25" t="str">
        <f>VLOOKUP(C454,DATA!$A$2:$G$243,6,FALSE)</f>
        <v>Boot Laces</v>
      </c>
      <c r="O454" s="16">
        <v>28605</v>
      </c>
    </row>
    <row r="455" spans="1:15" s="4" customFormat="1">
      <c r="A455" s="16" t="s">
        <v>6</v>
      </c>
      <c r="B455" s="18">
        <v>42927</v>
      </c>
      <c r="C455" s="18" t="s">
        <v>610</v>
      </c>
      <c r="D455" s="21">
        <v>63</v>
      </c>
      <c r="E455" s="22">
        <v>3</v>
      </c>
      <c r="F455" s="18" t="s">
        <v>414</v>
      </c>
      <c r="G455" s="29" t="str">
        <f>VLOOKUP(C455,DATA!$A$2:$G$243,2,FALSE)</f>
        <v>Black/Tan Boot Laces</v>
      </c>
      <c r="H455" s="30">
        <f t="shared" si="21"/>
        <v>3</v>
      </c>
      <c r="I455" s="30">
        <f>VLOOKUP(C455,DATA!$A$2:$G$243,5,FALSE)</f>
        <v>7000</v>
      </c>
      <c r="J455" s="30">
        <f t="shared" si="23"/>
        <v>21000</v>
      </c>
      <c r="K455" s="31">
        <f>VLOOKUP(C455,DATA!$A$2:$G$243,3,FALSE)</f>
        <v>5.95</v>
      </c>
      <c r="L455" s="31">
        <f>VLOOKUP(C455,DATA!$A$2:$G$243,4,FALSE)</f>
        <v>2.3800000000000003</v>
      </c>
      <c r="M455" s="31">
        <f t="shared" si="22"/>
        <v>7.1400000000000006</v>
      </c>
      <c r="N455" s="25" t="str">
        <f>VLOOKUP(C455,DATA!$A$2:$G$243,6,FALSE)</f>
        <v>Boot Laces</v>
      </c>
      <c r="O455" s="16">
        <v>28605</v>
      </c>
    </row>
    <row r="456" spans="1:15" s="4" customFormat="1">
      <c r="A456" s="16" t="s">
        <v>6</v>
      </c>
      <c r="B456" s="18">
        <v>42927</v>
      </c>
      <c r="C456" s="18" t="s">
        <v>610</v>
      </c>
      <c r="D456" s="21">
        <v>72</v>
      </c>
      <c r="E456" s="22">
        <v>1</v>
      </c>
      <c r="F456" s="18" t="s">
        <v>414</v>
      </c>
      <c r="G456" s="29" t="str">
        <f>VLOOKUP(C456,DATA!$A$2:$G$243,2,FALSE)</f>
        <v>Black/Tan Boot Laces</v>
      </c>
      <c r="H456" s="30">
        <f t="shared" si="21"/>
        <v>1</v>
      </c>
      <c r="I456" s="30">
        <f>VLOOKUP(C456,DATA!$A$2:$G$243,5,FALSE)</f>
        <v>7000</v>
      </c>
      <c r="J456" s="30">
        <f t="shared" si="23"/>
        <v>7000</v>
      </c>
      <c r="K456" s="31">
        <f>VLOOKUP(C456,DATA!$A$2:$G$243,3,FALSE)</f>
        <v>5.95</v>
      </c>
      <c r="L456" s="31">
        <f>VLOOKUP(C456,DATA!$A$2:$G$243,4,FALSE)</f>
        <v>2.3800000000000003</v>
      </c>
      <c r="M456" s="31">
        <f t="shared" si="22"/>
        <v>2.3800000000000003</v>
      </c>
      <c r="N456" s="25" t="str">
        <f>VLOOKUP(C456,DATA!$A$2:$G$243,6,FALSE)</f>
        <v>Boot Laces</v>
      </c>
      <c r="O456" s="16">
        <v>28605</v>
      </c>
    </row>
    <row r="457" spans="1:15" s="4" customFormat="1">
      <c r="A457" s="16" t="s">
        <v>6</v>
      </c>
      <c r="B457" s="18">
        <v>42927</v>
      </c>
      <c r="C457" s="18" t="s">
        <v>611</v>
      </c>
      <c r="D457" s="21">
        <v>45</v>
      </c>
      <c r="E457" s="22">
        <v>3</v>
      </c>
      <c r="F457" s="18" t="s">
        <v>414</v>
      </c>
      <c r="G457" s="29" t="str">
        <f>VLOOKUP(C457,DATA!$A$2:$G$243,2,FALSE)</f>
        <v>Brown Boot Laces</v>
      </c>
      <c r="H457" s="30">
        <f t="shared" si="21"/>
        <v>3</v>
      </c>
      <c r="I457" s="30">
        <f>VLOOKUP(C457,DATA!$A$2:$G$243,5,FALSE)</f>
        <v>7000</v>
      </c>
      <c r="J457" s="30">
        <f t="shared" si="23"/>
        <v>21000</v>
      </c>
      <c r="K457" s="31">
        <f>VLOOKUP(C457,DATA!$A$2:$G$243,3,FALSE)</f>
        <v>5.95</v>
      </c>
      <c r="L457" s="31">
        <f>VLOOKUP(C457,DATA!$A$2:$G$243,4,FALSE)</f>
        <v>2.3800000000000003</v>
      </c>
      <c r="M457" s="31">
        <f t="shared" si="22"/>
        <v>7.1400000000000006</v>
      </c>
      <c r="N457" s="25" t="str">
        <f>VLOOKUP(C457,DATA!$A$2:$G$243,6,FALSE)</f>
        <v>Boot Laces</v>
      </c>
      <c r="O457" s="16">
        <v>28605</v>
      </c>
    </row>
    <row r="458" spans="1:15" s="4" customFormat="1">
      <c r="A458" s="16" t="s">
        <v>6</v>
      </c>
      <c r="B458" s="18">
        <v>42927</v>
      </c>
      <c r="C458" s="18" t="s">
        <v>611</v>
      </c>
      <c r="D458" s="21">
        <v>54</v>
      </c>
      <c r="E458" s="22">
        <v>3</v>
      </c>
      <c r="F458" s="18" t="s">
        <v>414</v>
      </c>
      <c r="G458" s="29" t="str">
        <f>VLOOKUP(C458,DATA!$A$2:$G$243,2,FALSE)</f>
        <v>Brown Boot Laces</v>
      </c>
      <c r="H458" s="30">
        <f t="shared" si="21"/>
        <v>3</v>
      </c>
      <c r="I458" s="30">
        <f>VLOOKUP(C458,DATA!$A$2:$G$243,5,FALSE)</f>
        <v>7000</v>
      </c>
      <c r="J458" s="30">
        <f t="shared" si="23"/>
        <v>21000</v>
      </c>
      <c r="K458" s="31">
        <f>VLOOKUP(C458,DATA!$A$2:$G$243,3,FALSE)</f>
        <v>5.95</v>
      </c>
      <c r="L458" s="31">
        <f>VLOOKUP(C458,DATA!$A$2:$G$243,4,FALSE)</f>
        <v>2.3800000000000003</v>
      </c>
      <c r="M458" s="31">
        <f t="shared" si="22"/>
        <v>7.1400000000000006</v>
      </c>
      <c r="N458" s="25" t="str">
        <f>VLOOKUP(C458,DATA!$A$2:$G$243,6,FALSE)</f>
        <v>Boot Laces</v>
      </c>
      <c r="O458" s="16">
        <v>28605</v>
      </c>
    </row>
    <row r="459" spans="1:15" s="4" customFormat="1">
      <c r="A459" s="16" t="s">
        <v>6</v>
      </c>
      <c r="B459" s="18">
        <v>42927</v>
      </c>
      <c r="C459" s="18" t="s">
        <v>611</v>
      </c>
      <c r="D459" s="21">
        <v>63</v>
      </c>
      <c r="E459" s="22">
        <v>3</v>
      </c>
      <c r="F459" s="18" t="s">
        <v>414</v>
      </c>
      <c r="G459" s="29" t="str">
        <f>VLOOKUP(C459,DATA!$A$2:$G$243,2,FALSE)</f>
        <v>Brown Boot Laces</v>
      </c>
      <c r="H459" s="30">
        <f t="shared" si="21"/>
        <v>3</v>
      </c>
      <c r="I459" s="30">
        <f>VLOOKUP(C459,DATA!$A$2:$G$243,5,FALSE)</f>
        <v>7000</v>
      </c>
      <c r="J459" s="30">
        <f t="shared" si="23"/>
        <v>21000</v>
      </c>
      <c r="K459" s="31">
        <f>VLOOKUP(C459,DATA!$A$2:$G$243,3,FALSE)</f>
        <v>5.95</v>
      </c>
      <c r="L459" s="31">
        <f>VLOOKUP(C459,DATA!$A$2:$G$243,4,FALSE)</f>
        <v>2.3800000000000003</v>
      </c>
      <c r="M459" s="31">
        <f t="shared" si="22"/>
        <v>7.1400000000000006</v>
      </c>
      <c r="N459" s="25" t="str">
        <f>VLOOKUP(C459,DATA!$A$2:$G$243,6,FALSE)</f>
        <v>Boot Laces</v>
      </c>
      <c r="O459" s="16">
        <v>28605</v>
      </c>
    </row>
    <row r="460" spans="1:15" s="4" customFormat="1">
      <c r="A460" s="16" t="s">
        <v>6</v>
      </c>
      <c r="B460" s="18">
        <v>42927</v>
      </c>
      <c r="C460" s="18" t="s">
        <v>611</v>
      </c>
      <c r="D460" s="21">
        <v>72</v>
      </c>
      <c r="E460" s="22">
        <v>1</v>
      </c>
      <c r="F460" s="18" t="s">
        <v>414</v>
      </c>
      <c r="G460" s="29" t="str">
        <f>VLOOKUP(C460,DATA!$A$2:$G$243,2,FALSE)</f>
        <v>Brown Boot Laces</v>
      </c>
      <c r="H460" s="30">
        <f t="shared" si="21"/>
        <v>1</v>
      </c>
      <c r="I460" s="30">
        <f>VLOOKUP(C460,DATA!$A$2:$G$243,5,FALSE)</f>
        <v>7000</v>
      </c>
      <c r="J460" s="30">
        <f t="shared" si="23"/>
        <v>7000</v>
      </c>
      <c r="K460" s="31">
        <f>VLOOKUP(C460,DATA!$A$2:$G$243,3,FALSE)</f>
        <v>5.95</v>
      </c>
      <c r="L460" s="31">
        <f>VLOOKUP(C460,DATA!$A$2:$G$243,4,FALSE)</f>
        <v>2.3800000000000003</v>
      </c>
      <c r="M460" s="31">
        <f t="shared" si="22"/>
        <v>2.3800000000000003</v>
      </c>
      <c r="N460" s="25" t="str">
        <f>VLOOKUP(C460,DATA!$A$2:$G$243,6,FALSE)</f>
        <v>Boot Laces</v>
      </c>
      <c r="O460" s="16">
        <v>28605</v>
      </c>
    </row>
    <row r="461" spans="1:15" s="4" customFormat="1">
      <c r="A461" s="16" t="s">
        <v>6</v>
      </c>
      <c r="B461" s="18">
        <v>42927</v>
      </c>
      <c r="C461" s="18" t="s">
        <v>612</v>
      </c>
      <c r="D461" s="21">
        <v>45</v>
      </c>
      <c r="E461" s="22">
        <v>3</v>
      </c>
      <c r="F461" s="18" t="s">
        <v>414</v>
      </c>
      <c r="G461" s="29" t="str">
        <f>VLOOKUP(C461,DATA!$A$2:$G$243,2,FALSE)</f>
        <v>Brown/Beige Boot Laces</v>
      </c>
      <c r="H461" s="30">
        <f t="shared" si="21"/>
        <v>3</v>
      </c>
      <c r="I461" s="30">
        <f>VLOOKUP(C461,DATA!$A$2:$G$243,5,FALSE)</f>
        <v>7000</v>
      </c>
      <c r="J461" s="30">
        <f t="shared" si="23"/>
        <v>21000</v>
      </c>
      <c r="K461" s="31">
        <f>VLOOKUP(C461,DATA!$A$2:$G$243,3,FALSE)</f>
        <v>5.95</v>
      </c>
      <c r="L461" s="31">
        <f>VLOOKUP(C461,DATA!$A$2:$G$243,4,FALSE)</f>
        <v>2.3800000000000003</v>
      </c>
      <c r="M461" s="31">
        <f t="shared" si="22"/>
        <v>7.1400000000000006</v>
      </c>
      <c r="N461" s="25" t="str">
        <f>VLOOKUP(C461,DATA!$A$2:$G$243,6,FALSE)</f>
        <v>Boot Laces</v>
      </c>
      <c r="O461" s="16">
        <v>28605</v>
      </c>
    </row>
    <row r="462" spans="1:15" s="4" customFormat="1">
      <c r="A462" s="16" t="s">
        <v>6</v>
      </c>
      <c r="B462" s="18">
        <v>42927</v>
      </c>
      <c r="C462" s="18" t="s">
        <v>612</v>
      </c>
      <c r="D462" s="21">
        <v>54</v>
      </c>
      <c r="E462" s="22">
        <v>3</v>
      </c>
      <c r="F462" s="18" t="s">
        <v>414</v>
      </c>
      <c r="G462" s="29" t="str">
        <f>VLOOKUP(C462,DATA!$A$2:$G$243,2,FALSE)</f>
        <v>Brown/Beige Boot Laces</v>
      </c>
      <c r="H462" s="30">
        <f t="shared" si="21"/>
        <v>3</v>
      </c>
      <c r="I462" s="30">
        <f>VLOOKUP(C462,DATA!$A$2:$G$243,5,FALSE)</f>
        <v>7000</v>
      </c>
      <c r="J462" s="30">
        <f t="shared" si="23"/>
        <v>21000</v>
      </c>
      <c r="K462" s="31">
        <f>VLOOKUP(C462,DATA!$A$2:$G$243,3,FALSE)</f>
        <v>5.95</v>
      </c>
      <c r="L462" s="31">
        <f>VLOOKUP(C462,DATA!$A$2:$G$243,4,FALSE)</f>
        <v>2.3800000000000003</v>
      </c>
      <c r="M462" s="31">
        <f t="shared" si="22"/>
        <v>7.1400000000000006</v>
      </c>
      <c r="N462" s="25" t="str">
        <f>VLOOKUP(C462,DATA!$A$2:$G$243,6,FALSE)</f>
        <v>Boot Laces</v>
      </c>
      <c r="O462" s="16">
        <v>28605</v>
      </c>
    </row>
    <row r="463" spans="1:15" s="4" customFormat="1">
      <c r="A463" s="16" t="s">
        <v>6</v>
      </c>
      <c r="B463" s="18">
        <v>42927</v>
      </c>
      <c r="C463" s="18" t="s">
        <v>612</v>
      </c>
      <c r="D463" s="21">
        <v>63</v>
      </c>
      <c r="E463" s="22">
        <v>3</v>
      </c>
      <c r="F463" s="18" t="s">
        <v>414</v>
      </c>
      <c r="G463" s="29" t="str">
        <f>VLOOKUP(C463,DATA!$A$2:$G$243,2,FALSE)</f>
        <v>Brown/Beige Boot Laces</v>
      </c>
      <c r="H463" s="30">
        <f t="shared" si="21"/>
        <v>3</v>
      </c>
      <c r="I463" s="30">
        <f>VLOOKUP(C463,DATA!$A$2:$G$243,5,FALSE)</f>
        <v>7000</v>
      </c>
      <c r="J463" s="30">
        <f t="shared" si="23"/>
        <v>21000</v>
      </c>
      <c r="K463" s="31">
        <f>VLOOKUP(C463,DATA!$A$2:$G$243,3,FALSE)</f>
        <v>5.95</v>
      </c>
      <c r="L463" s="31">
        <f>VLOOKUP(C463,DATA!$A$2:$G$243,4,FALSE)</f>
        <v>2.3800000000000003</v>
      </c>
      <c r="M463" s="31">
        <f t="shared" si="22"/>
        <v>7.1400000000000006</v>
      </c>
      <c r="N463" s="25" t="str">
        <f>VLOOKUP(C463,DATA!$A$2:$G$243,6,FALSE)</f>
        <v>Boot Laces</v>
      </c>
      <c r="O463" s="16">
        <v>28605</v>
      </c>
    </row>
    <row r="464" spans="1:15" s="4" customFormat="1">
      <c r="A464" s="16" t="s">
        <v>6</v>
      </c>
      <c r="B464" s="18">
        <v>42927</v>
      </c>
      <c r="C464" s="18" t="s">
        <v>612</v>
      </c>
      <c r="D464" s="21">
        <v>72</v>
      </c>
      <c r="E464" s="22">
        <v>1</v>
      </c>
      <c r="F464" s="18" t="s">
        <v>414</v>
      </c>
      <c r="G464" s="29" t="str">
        <f>VLOOKUP(C464,DATA!$A$2:$G$243,2,FALSE)</f>
        <v>Brown/Beige Boot Laces</v>
      </c>
      <c r="H464" s="30">
        <f t="shared" si="21"/>
        <v>1</v>
      </c>
      <c r="I464" s="30">
        <f>VLOOKUP(C464,DATA!$A$2:$G$243,5,FALSE)</f>
        <v>7000</v>
      </c>
      <c r="J464" s="30">
        <f t="shared" si="23"/>
        <v>7000</v>
      </c>
      <c r="K464" s="31">
        <f>VLOOKUP(C464,DATA!$A$2:$G$243,3,FALSE)</f>
        <v>5.95</v>
      </c>
      <c r="L464" s="31">
        <f>VLOOKUP(C464,DATA!$A$2:$G$243,4,FALSE)</f>
        <v>2.3800000000000003</v>
      </c>
      <c r="M464" s="31">
        <f t="shared" si="22"/>
        <v>2.3800000000000003</v>
      </c>
      <c r="N464" s="25" t="str">
        <f>VLOOKUP(C464,DATA!$A$2:$G$243,6,FALSE)</f>
        <v>Boot Laces</v>
      </c>
      <c r="O464" s="16">
        <v>28605</v>
      </c>
    </row>
    <row r="465" spans="1:15" s="4" customFormat="1">
      <c r="A465" s="16" t="s">
        <v>6</v>
      </c>
      <c r="B465" s="18">
        <v>42927</v>
      </c>
      <c r="C465" s="18" t="s">
        <v>613</v>
      </c>
      <c r="D465" s="21">
        <v>45</v>
      </c>
      <c r="E465" s="22">
        <v>3</v>
      </c>
      <c r="F465" s="18" t="s">
        <v>414</v>
      </c>
      <c r="G465" s="29" t="str">
        <f>VLOOKUP(C465,DATA!$A$2:$G$243,2,FALSE)</f>
        <v>Rawhide Boot Laces</v>
      </c>
      <c r="H465" s="30">
        <f t="shared" si="21"/>
        <v>3</v>
      </c>
      <c r="I465" s="30">
        <f>VLOOKUP(C465,DATA!$A$2:$G$243,5,FALSE)</f>
        <v>7000</v>
      </c>
      <c r="J465" s="30">
        <f t="shared" si="23"/>
        <v>21000</v>
      </c>
      <c r="K465" s="31">
        <f>VLOOKUP(C465,DATA!$A$2:$G$243,3,FALSE)</f>
        <v>5.95</v>
      </c>
      <c r="L465" s="31">
        <f>VLOOKUP(C465,DATA!$A$2:$G$243,4,FALSE)</f>
        <v>2.3800000000000003</v>
      </c>
      <c r="M465" s="31">
        <f t="shared" si="22"/>
        <v>7.1400000000000006</v>
      </c>
      <c r="N465" s="25" t="str">
        <f>VLOOKUP(C465,DATA!$A$2:$G$243,6,FALSE)</f>
        <v>Boot Laces</v>
      </c>
      <c r="O465" s="16">
        <v>28605</v>
      </c>
    </row>
    <row r="466" spans="1:15" s="4" customFormat="1">
      <c r="A466" s="16" t="s">
        <v>6</v>
      </c>
      <c r="B466" s="18">
        <v>42927</v>
      </c>
      <c r="C466" s="18" t="s">
        <v>613</v>
      </c>
      <c r="D466" s="21">
        <v>54</v>
      </c>
      <c r="E466" s="22">
        <v>3</v>
      </c>
      <c r="F466" s="18" t="s">
        <v>414</v>
      </c>
      <c r="G466" s="29" t="str">
        <f>VLOOKUP(C466,DATA!$A$2:$G$243,2,FALSE)</f>
        <v>Rawhide Boot Laces</v>
      </c>
      <c r="H466" s="30">
        <f t="shared" si="21"/>
        <v>3</v>
      </c>
      <c r="I466" s="30">
        <f>VLOOKUP(C466,DATA!$A$2:$G$243,5,FALSE)</f>
        <v>7000</v>
      </c>
      <c r="J466" s="30">
        <f t="shared" si="23"/>
        <v>21000</v>
      </c>
      <c r="K466" s="31">
        <f>VLOOKUP(C466,DATA!$A$2:$G$243,3,FALSE)</f>
        <v>5.95</v>
      </c>
      <c r="L466" s="31">
        <f>VLOOKUP(C466,DATA!$A$2:$G$243,4,FALSE)</f>
        <v>2.3800000000000003</v>
      </c>
      <c r="M466" s="31">
        <f t="shared" si="22"/>
        <v>7.1400000000000006</v>
      </c>
      <c r="N466" s="25" t="str">
        <f>VLOOKUP(C466,DATA!$A$2:$G$243,6,FALSE)</f>
        <v>Boot Laces</v>
      </c>
      <c r="O466" s="16">
        <v>28605</v>
      </c>
    </row>
    <row r="467" spans="1:15" s="4" customFormat="1">
      <c r="A467" s="16" t="s">
        <v>6</v>
      </c>
      <c r="B467" s="18">
        <v>42927</v>
      </c>
      <c r="C467" s="18" t="s">
        <v>613</v>
      </c>
      <c r="D467" s="21">
        <v>63</v>
      </c>
      <c r="E467" s="22">
        <v>3</v>
      </c>
      <c r="F467" s="18" t="s">
        <v>414</v>
      </c>
      <c r="G467" s="29" t="str">
        <f>VLOOKUP(C467,DATA!$A$2:$G$243,2,FALSE)</f>
        <v>Rawhide Boot Laces</v>
      </c>
      <c r="H467" s="30">
        <f t="shared" si="21"/>
        <v>3</v>
      </c>
      <c r="I467" s="30">
        <f>VLOOKUP(C467,DATA!$A$2:$G$243,5,FALSE)</f>
        <v>7000</v>
      </c>
      <c r="J467" s="30">
        <f t="shared" si="23"/>
        <v>21000</v>
      </c>
      <c r="K467" s="31">
        <f>VLOOKUP(C467,DATA!$A$2:$G$243,3,FALSE)</f>
        <v>5.95</v>
      </c>
      <c r="L467" s="31">
        <f>VLOOKUP(C467,DATA!$A$2:$G$243,4,FALSE)</f>
        <v>2.3800000000000003</v>
      </c>
      <c r="M467" s="31">
        <f t="shared" si="22"/>
        <v>7.1400000000000006</v>
      </c>
      <c r="N467" s="25" t="str">
        <f>VLOOKUP(C467,DATA!$A$2:$G$243,6,FALSE)</f>
        <v>Boot Laces</v>
      </c>
      <c r="O467" s="16">
        <v>28605</v>
      </c>
    </row>
    <row r="468" spans="1:15" s="4" customFormat="1">
      <c r="A468" s="16" t="s">
        <v>6</v>
      </c>
      <c r="B468" s="18">
        <v>42927</v>
      </c>
      <c r="C468" s="18" t="s">
        <v>613</v>
      </c>
      <c r="D468" s="21">
        <v>72</v>
      </c>
      <c r="E468" s="22">
        <v>1</v>
      </c>
      <c r="F468" s="18" t="s">
        <v>414</v>
      </c>
      <c r="G468" s="29" t="str">
        <f>VLOOKUP(C468,DATA!$A$2:$G$243,2,FALSE)</f>
        <v>Rawhide Boot Laces</v>
      </c>
      <c r="H468" s="30">
        <f t="shared" si="21"/>
        <v>1</v>
      </c>
      <c r="I468" s="30">
        <f>VLOOKUP(C468,DATA!$A$2:$G$243,5,FALSE)</f>
        <v>7000</v>
      </c>
      <c r="J468" s="30">
        <f t="shared" si="23"/>
        <v>7000</v>
      </c>
      <c r="K468" s="31">
        <f>VLOOKUP(C468,DATA!$A$2:$G$243,3,FALSE)</f>
        <v>5.95</v>
      </c>
      <c r="L468" s="31">
        <f>VLOOKUP(C468,DATA!$A$2:$G$243,4,FALSE)</f>
        <v>2.3800000000000003</v>
      </c>
      <c r="M468" s="31">
        <f t="shared" si="22"/>
        <v>2.3800000000000003</v>
      </c>
      <c r="N468" s="25" t="str">
        <f>VLOOKUP(C468,DATA!$A$2:$G$243,6,FALSE)</f>
        <v>Boot Laces</v>
      </c>
      <c r="O468" s="16">
        <v>28605</v>
      </c>
    </row>
    <row r="469" spans="1:15" s="4" customFormat="1">
      <c r="A469" s="16" t="s">
        <v>6</v>
      </c>
      <c r="B469" s="18">
        <v>42927</v>
      </c>
      <c r="C469" s="18" t="s">
        <v>439</v>
      </c>
      <c r="D469" s="19">
        <v>45</v>
      </c>
      <c r="E469" s="22">
        <v>3</v>
      </c>
      <c r="F469" s="18" t="s">
        <v>414</v>
      </c>
      <c r="G469" s="29" t="str">
        <f>VLOOKUP(C469,DATA!$A$2:$G$243,2,FALSE)</f>
        <v>Black  - ThinOvalLaces</v>
      </c>
      <c r="H469" s="30">
        <f t="shared" si="21"/>
        <v>3</v>
      </c>
      <c r="I469" s="30">
        <f>VLOOKUP(C469,DATA!$A$2:$G$243,5,FALSE)</f>
        <v>6000</v>
      </c>
      <c r="J469" s="30">
        <f t="shared" si="23"/>
        <v>18000</v>
      </c>
      <c r="K469" s="31">
        <f>VLOOKUP(C469,DATA!$A$2:$G$243,3,FALSE)</f>
        <v>4.95</v>
      </c>
      <c r="L469" s="31">
        <f>VLOOKUP(C469,DATA!$A$2:$G$243,4,FALSE)</f>
        <v>1.9800000000000002</v>
      </c>
      <c r="M469" s="31">
        <f t="shared" si="22"/>
        <v>5.94</v>
      </c>
      <c r="N469" s="25" t="str">
        <f>VLOOKUP(C469,DATA!$A$2:$G$243,6,FALSE)</f>
        <v>Thin Oval Laces</v>
      </c>
      <c r="O469" s="16">
        <v>28605</v>
      </c>
    </row>
    <row r="470" spans="1:15" s="4" customFormat="1">
      <c r="A470" s="16" t="s">
        <v>6</v>
      </c>
      <c r="B470" s="18">
        <v>42927</v>
      </c>
      <c r="C470" s="18" t="s">
        <v>439</v>
      </c>
      <c r="D470" s="21">
        <v>54</v>
      </c>
      <c r="E470" s="22">
        <v>3</v>
      </c>
      <c r="F470" s="18" t="s">
        <v>414</v>
      </c>
      <c r="G470" s="29" t="str">
        <f>VLOOKUP(C470,DATA!$A$2:$G$243,2,FALSE)</f>
        <v>Black  - ThinOvalLaces</v>
      </c>
      <c r="H470" s="30">
        <f t="shared" si="21"/>
        <v>3</v>
      </c>
      <c r="I470" s="30">
        <f>VLOOKUP(C470,DATA!$A$2:$G$243,5,FALSE)</f>
        <v>6000</v>
      </c>
      <c r="J470" s="30">
        <f t="shared" si="23"/>
        <v>18000</v>
      </c>
      <c r="K470" s="31">
        <f>VLOOKUP(C470,DATA!$A$2:$G$243,3,FALSE)</f>
        <v>4.95</v>
      </c>
      <c r="L470" s="31">
        <f>VLOOKUP(C470,DATA!$A$2:$G$243,4,FALSE)</f>
        <v>1.9800000000000002</v>
      </c>
      <c r="M470" s="31">
        <f t="shared" si="22"/>
        <v>5.94</v>
      </c>
      <c r="N470" s="25" t="str">
        <f>VLOOKUP(C470,DATA!$A$2:$G$243,6,FALSE)</f>
        <v>Thin Oval Laces</v>
      </c>
      <c r="O470" s="16">
        <v>28605</v>
      </c>
    </row>
    <row r="471" spans="1:15" s="4" customFormat="1">
      <c r="A471" s="16" t="s">
        <v>6</v>
      </c>
      <c r="B471" s="18">
        <v>42927</v>
      </c>
      <c r="C471" s="18" t="s">
        <v>614</v>
      </c>
      <c r="D471" s="21">
        <v>45</v>
      </c>
      <c r="E471" s="22">
        <v>3</v>
      </c>
      <c r="F471" s="18" t="s">
        <v>414</v>
      </c>
      <c r="G471" s="29" t="str">
        <f>VLOOKUP(C471,DATA!$A$2:$G$243,2,FALSE)</f>
        <v>Black/Red  - ThinOvalLaces</v>
      </c>
      <c r="H471" s="30">
        <f t="shared" si="21"/>
        <v>3</v>
      </c>
      <c r="I471" s="30">
        <f>VLOOKUP(C471,DATA!$A$2:$G$243,5,FALSE)</f>
        <v>6000</v>
      </c>
      <c r="J471" s="30">
        <f t="shared" si="23"/>
        <v>18000</v>
      </c>
      <c r="K471" s="31">
        <f>VLOOKUP(C471,DATA!$A$2:$G$243,3,FALSE)</f>
        <v>4.95</v>
      </c>
      <c r="L471" s="31">
        <f>VLOOKUP(C471,DATA!$A$2:$G$243,4,FALSE)</f>
        <v>1.9800000000000002</v>
      </c>
      <c r="M471" s="31">
        <f t="shared" si="22"/>
        <v>5.94</v>
      </c>
      <c r="N471" s="25" t="str">
        <f>VLOOKUP(C471,DATA!$A$2:$G$243,6,FALSE)</f>
        <v>Thin Oval Laces</v>
      </c>
      <c r="O471" s="16">
        <v>28605</v>
      </c>
    </row>
    <row r="472" spans="1:15" s="4" customFormat="1">
      <c r="A472" s="16" t="s">
        <v>6</v>
      </c>
      <c r="B472" s="18">
        <v>42927</v>
      </c>
      <c r="C472" s="18" t="s">
        <v>614</v>
      </c>
      <c r="D472" s="21">
        <v>54</v>
      </c>
      <c r="E472" s="22">
        <v>3</v>
      </c>
      <c r="F472" s="18" t="s">
        <v>414</v>
      </c>
      <c r="G472" s="29" t="str">
        <f>VLOOKUP(C472,DATA!$A$2:$G$243,2,FALSE)</f>
        <v>Black/Red  - ThinOvalLaces</v>
      </c>
      <c r="H472" s="30">
        <f t="shared" si="21"/>
        <v>3</v>
      </c>
      <c r="I472" s="30">
        <f>VLOOKUP(C472,DATA!$A$2:$G$243,5,FALSE)</f>
        <v>6000</v>
      </c>
      <c r="J472" s="30">
        <f t="shared" si="23"/>
        <v>18000</v>
      </c>
      <c r="K472" s="31">
        <f>VLOOKUP(C472,DATA!$A$2:$G$243,3,FALSE)</f>
        <v>4.95</v>
      </c>
      <c r="L472" s="31">
        <f>VLOOKUP(C472,DATA!$A$2:$G$243,4,FALSE)</f>
        <v>1.9800000000000002</v>
      </c>
      <c r="M472" s="31">
        <f t="shared" si="22"/>
        <v>5.94</v>
      </c>
      <c r="N472" s="25" t="str">
        <f>VLOOKUP(C472,DATA!$A$2:$G$243,6,FALSE)</f>
        <v>Thin Oval Laces</v>
      </c>
      <c r="O472" s="16">
        <v>28605</v>
      </c>
    </row>
    <row r="473" spans="1:15" s="4" customFormat="1">
      <c r="A473" s="16" t="s">
        <v>6</v>
      </c>
      <c r="B473" s="18">
        <v>42927</v>
      </c>
      <c r="C473" s="18" t="s">
        <v>615</v>
      </c>
      <c r="D473" s="21">
        <v>45</v>
      </c>
      <c r="E473" s="22">
        <v>3</v>
      </c>
      <c r="F473" s="18" t="s">
        <v>414</v>
      </c>
      <c r="G473" s="29" t="str">
        <f>VLOOKUP(C473,DATA!$A$2:$G$243,2,FALSE)</f>
        <v>Flaming Orange  - ThinOvalLaces</v>
      </c>
      <c r="H473" s="30">
        <f t="shared" si="21"/>
        <v>3</v>
      </c>
      <c r="I473" s="30">
        <f>VLOOKUP(C473,DATA!$A$2:$G$243,5,FALSE)</f>
        <v>6000</v>
      </c>
      <c r="J473" s="30">
        <f t="shared" si="23"/>
        <v>18000</v>
      </c>
      <c r="K473" s="31">
        <f>VLOOKUP(C473,DATA!$A$2:$G$243,3,FALSE)</f>
        <v>4.95</v>
      </c>
      <c r="L473" s="31">
        <f>VLOOKUP(C473,DATA!$A$2:$G$243,4,FALSE)</f>
        <v>1.9800000000000002</v>
      </c>
      <c r="M473" s="31">
        <f t="shared" si="22"/>
        <v>5.94</v>
      </c>
      <c r="N473" s="25" t="str">
        <f>VLOOKUP(C473,DATA!$A$2:$G$243,6,FALSE)</f>
        <v>Thin Oval Laces</v>
      </c>
      <c r="O473" s="16">
        <v>28605</v>
      </c>
    </row>
    <row r="474" spans="1:15" s="4" customFormat="1">
      <c r="A474" s="16" t="s">
        <v>6</v>
      </c>
      <c r="B474" s="18">
        <v>42927</v>
      </c>
      <c r="C474" s="18" t="s">
        <v>615</v>
      </c>
      <c r="D474" s="21">
        <v>54</v>
      </c>
      <c r="E474" s="22">
        <v>3</v>
      </c>
      <c r="F474" s="18" t="s">
        <v>414</v>
      </c>
      <c r="G474" s="29" t="str">
        <f>VLOOKUP(C474,DATA!$A$2:$G$243,2,FALSE)</f>
        <v>Flaming Orange  - ThinOvalLaces</v>
      </c>
      <c r="H474" s="30">
        <f t="shared" si="21"/>
        <v>3</v>
      </c>
      <c r="I474" s="30">
        <f>VLOOKUP(C474,DATA!$A$2:$G$243,5,FALSE)</f>
        <v>6000</v>
      </c>
      <c r="J474" s="30">
        <f t="shared" si="23"/>
        <v>18000</v>
      </c>
      <c r="K474" s="31">
        <f>VLOOKUP(C474,DATA!$A$2:$G$243,3,FALSE)</f>
        <v>4.95</v>
      </c>
      <c r="L474" s="31">
        <f>VLOOKUP(C474,DATA!$A$2:$G$243,4,FALSE)</f>
        <v>1.9800000000000002</v>
      </c>
      <c r="M474" s="31">
        <f t="shared" si="22"/>
        <v>5.94</v>
      </c>
      <c r="N474" s="25" t="str">
        <f>VLOOKUP(C474,DATA!$A$2:$G$243,6,FALSE)</f>
        <v>Thin Oval Laces</v>
      </c>
      <c r="O474" s="16">
        <v>28605</v>
      </c>
    </row>
    <row r="475" spans="1:15" s="4" customFormat="1">
      <c r="A475" s="16" t="s">
        <v>6</v>
      </c>
      <c r="B475" s="18">
        <v>42927</v>
      </c>
      <c r="C475" s="18" t="s">
        <v>616</v>
      </c>
      <c r="D475" s="21">
        <v>45</v>
      </c>
      <c r="E475" s="22">
        <v>3</v>
      </c>
      <c r="F475" s="18" t="s">
        <v>414</v>
      </c>
      <c r="G475" s="29" t="str">
        <f>VLOOKUP(C475,DATA!$A$2:$G$243,2,FALSE)</f>
        <v>Kelly Green  - ThinOvalLaces</v>
      </c>
      <c r="H475" s="30">
        <f t="shared" si="21"/>
        <v>3</v>
      </c>
      <c r="I475" s="30">
        <f>VLOOKUP(C475,DATA!$A$2:$G$243,5,FALSE)</f>
        <v>6000</v>
      </c>
      <c r="J475" s="30">
        <f t="shared" si="23"/>
        <v>18000</v>
      </c>
      <c r="K475" s="31">
        <f>VLOOKUP(C475,DATA!$A$2:$G$243,3,FALSE)</f>
        <v>4.95</v>
      </c>
      <c r="L475" s="31">
        <f>VLOOKUP(C475,DATA!$A$2:$G$243,4,FALSE)</f>
        <v>1.9800000000000002</v>
      </c>
      <c r="M475" s="31">
        <f t="shared" si="22"/>
        <v>5.94</v>
      </c>
      <c r="N475" s="25" t="str">
        <f>VLOOKUP(C475,DATA!$A$2:$G$243,6,FALSE)</f>
        <v>Thin Oval Laces</v>
      </c>
      <c r="O475" s="16">
        <v>28605</v>
      </c>
    </row>
    <row r="476" spans="1:15" s="4" customFormat="1">
      <c r="A476" s="16" t="s">
        <v>6</v>
      </c>
      <c r="B476" s="18">
        <v>42927</v>
      </c>
      <c r="C476" s="18" t="s">
        <v>616</v>
      </c>
      <c r="D476" s="21">
        <v>54</v>
      </c>
      <c r="E476" s="22">
        <v>3</v>
      </c>
      <c r="F476" s="18" t="s">
        <v>414</v>
      </c>
      <c r="G476" s="29" t="str">
        <f>VLOOKUP(C476,DATA!$A$2:$G$243,2,FALSE)</f>
        <v>Kelly Green  - ThinOvalLaces</v>
      </c>
      <c r="H476" s="30">
        <f t="shared" si="21"/>
        <v>3</v>
      </c>
      <c r="I476" s="30">
        <f>VLOOKUP(C476,DATA!$A$2:$G$243,5,FALSE)</f>
        <v>6000</v>
      </c>
      <c r="J476" s="30">
        <f t="shared" si="23"/>
        <v>18000</v>
      </c>
      <c r="K476" s="31">
        <f>VLOOKUP(C476,DATA!$A$2:$G$243,3,FALSE)</f>
        <v>4.95</v>
      </c>
      <c r="L476" s="31">
        <f>VLOOKUP(C476,DATA!$A$2:$G$243,4,FALSE)</f>
        <v>1.9800000000000002</v>
      </c>
      <c r="M476" s="31">
        <f t="shared" si="22"/>
        <v>5.94</v>
      </c>
      <c r="N476" s="25" t="str">
        <f>VLOOKUP(C476,DATA!$A$2:$G$243,6,FALSE)</f>
        <v>Thin Oval Laces</v>
      </c>
      <c r="O476" s="16">
        <v>28605</v>
      </c>
    </row>
    <row r="477" spans="1:15" s="4" customFormat="1">
      <c r="A477" s="16" t="s">
        <v>6</v>
      </c>
      <c r="B477" s="18">
        <v>42927</v>
      </c>
      <c r="C477" s="18" t="s">
        <v>617</v>
      </c>
      <c r="D477" s="21">
        <v>45</v>
      </c>
      <c r="E477" s="22">
        <v>3</v>
      </c>
      <c r="F477" s="18" t="s">
        <v>414</v>
      </c>
      <c r="G477" s="29" t="str">
        <f>VLOOKUP(C477,DATA!$A$2:$G$243,2,FALSE)</f>
        <v>Light Grey  - ThinOvalLaces</v>
      </c>
      <c r="H477" s="30">
        <f t="shared" si="21"/>
        <v>3</v>
      </c>
      <c r="I477" s="30">
        <f>VLOOKUP(C477,DATA!$A$2:$G$243,5,FALSE)</f>
        <v>6000</v>
      </c>
      <c r="J477" s="30">
        <f t="shared" si="23"/>
        <v>18000</v>
      </c>
      <c r="K477" s="31">
        <f>VLOOKUP(C477,DATA!$A$2:$G$243,3,FALSE)</f>
        <v>4.95</v>
      </c>
      <c r="L477" s="31">
        <f>VLOOKUP(C477,DATA!$A$2:$G$243,4,FALSE)</f>
        <v>1.9800000000000002</v>
      </c>
      <c r="M477" s="31">
        <f t="shared" si="22"/>
        <v>5.94</v>
      </c>
      <c r="N477" s="25" t="str">
        <f>VLOOKUP(C477,DATA!$A$2:$G$243,6,FALSE)</f>
        <v>Thin Oval Laces</v>
      </c>
      <c r="O477" s="16">
        <v>28605</v>
      </c>
    </row>
    <row r="478" spans="1:15" s="4" customFormat="1">
      <c r="A478" s="16" t="s">
        <v>6</v>
      </c>
      <c r="B478" s="18">
        <v>42927</v>
      </c>
      <c r="C478" s="18" t="s">
        <v>617</v>
      </c>
      <c r="D478" s="21">
        <v>54</v>
      </c>
      <c r="E478" s="22">
        <v>3</v>
      </c>
      <c r="F478" s="18" t="s">
        <v>414</v>
      </c>
      <c r="G478" s="29" t="str">
        <f>VLOOKUP(C478,DATA!$A$2:$G$243,2,FALSE)</f>
        <v>Light Grey  - ThinOvalLaces</v>
      </c>
      <c r="H478" s="30">
        <f t="shared" si="21"/>
        <v>3</v>
      </c>
      <c r="I478" s="30">
        <f>VLOOKUP(C478,DATA!$A$2:$G$243,5,FALSE)</f>
        <v>6000</v>
      </c>
      <c r="J478" s="30">
        <f t="shared" si="23"/>
        <v>18000</v>
      </c>
      <c r="K478" s="31">
        <f>VLOOKUP(C478,DATA!$A$2:$G$243,3,FALSE)</f>
        <v>4.95</v>
      </c>
      <c r="L478" s="31">
        <f>VLOOKUP(C478,DATA!$A$2:$G$243,4,FALSE)</f>
        <v>1.9800000000000002</v>
      </c>
      <c r="M478" s="31">
        <f t="shared" si="22"/>
        <v>5.94</v>
      </c>
      <c r="N478" s="25" t="str">
        <f>VLOOKUP(C478,DATA!$A$2:$G$243,6,FALSE)</f>
        <v>Thin Oval Laces</v>
      </c>
      <c r="O478" s="16">
        <v>28605</v>
      </c>
    </row>
    <row r="479" spans="1:15" s="4" customFormat="1">
      <c r="A479" s="16" t="s">
        <v>6</v>
      </c>
      <c r="B479" s="18">
        <v>42927</v>
      </c>
      <c r="C479" s="18" t="s">
        <v>618</v>
      </c>
      <c r="D479" s="21">
        <v>45</v>
      </c>
      <c r="E479" s="22">
        <v>3</v>
      </c>
      <c r="F479" s="18" t="s">
        <v>414</v>
      </c>
      <c r="G479" s="29" t="str">
        <f>VLOOKUP(C479,DATA!$A$2:$G$243,2,FALSE)</f>
        <v>Navy Blue  - ThinOvalLaces</v>
      </c>
      <c r="H479" s="30">
        <f t="shared" si="21"/>
        <v>3</v>
      </c>
      <c r="I479" s="30">
        <f>VLOOKUP(C479,DATA!$A$2:$G$243,5,FALSE)</f>
        <v>6000</v>
      </c>
      <c r="J479" s="30">
        <f t="shared" si="23"/>
        <v>18000</v>
      </c>
      <c r="K479" s="31">
        <f>VLOOKUP(C479,DATA!$A$2:$G$243,3,FALSE)</f>
        <v>4.95</v>
      </c>
      <c r="L479" s="31">
        <f>VLOOKUP(C479,DATA!$A$2:$G$243,4,FALSE)</f>
        <v>1.9800000000000002</v>
      </c>
      <c r="M479" s="31">
        <f t="shared" si="22"/>
        <v>5.94</v>
      </c>
      <c r="N479" s="25" t="str">
        <f>VLOOKUP(C479,DATA!$A$2:$G$243,6,FALSE)</f>
        <v>Thin Oval Laces</v>
      </c>
      <c r="O479" s="16">
        <v>28605</v>
      </c>
    </row>
    <row r="480" spans="1:15" s="4" customFormat="1">
      <c r="A480" s="16" t="s">
        <v>6</v>
      </c>
      <c r="B480" s="18">
        <v>42927</v>
      </c>
      <c r="C480" s="18" t="s">
        <v>618</v>
      </c>
      <c r="D480" s="21">
        <v>54</v>
      </c>
      <c r="E480" s="22">
        <v>3</v>
      </c>
      <c r="F480" s="18" t="s">
        <v>414</v>
      </c>
      <c r="G480" s="29" t="str">
        <f>VLOOKUP(C480,DATA!$A$2:$G$243,2,FALSE)</f>
        <v>Navy Blue  - ThinOvalLaces</v>
      </c>
      <c r="H480" s="30">
        <f t="shared" si="21"/>
        <v>3</v>
      </c>
      <c r="I480" s="30">
        <f>VLOOKUP(C480,DATA!$A$2:$G$243,5,FALSE)</f>
        <v>6000</v>
      </c>
      <c r="J480" s="30">
        <f t="shared" si="23"/>
        <v>18000</v>
      </c>
      <c r="K480" s="31">
        <f>VLOOKUP(C480,DATA!$A$2:$G$243,3,FALSE)</f>
        <v>4.95</v>
      </c>
      <c r="L480" s="31">
        <f>VLOOKUP(C480,DATA!$A$2:$G$243,4,FALSE)</f>
        <v>1.9800000000000002</v>
      </c>
      <c r="M480" s="31">
        <f t="shared" si="22"/>
        <v>5.94</v>
      </c>
      <c r="N480" s="25" t="str">
        <f>VLOOKUP(C480,DATA!$A$2:$G$243,6,FALSE)</f>
        <v>Thin Oval Laces</v>
      </c>
      <c r="O480" s="16">
        <v>28605</v>
      </c>
    </row>
    <row r="481" spans="1:15" s="4" customFormat="1">
      <c r="A481" s="16" t="s">
        <v>6</v>
      </c>
      <c r="B481" s="18">
        <v>42927</v>
      </c>
      <c r="C481" s="18" t="s">
        <v>619</v>
      </c>
      <c r="D481" s="21">
        <v>45</v>
      </c>
      <c r="E481" s="22">
        <v>3</v>
      </c>
      <c r="F481" s="18" t="s">
        <v>414</v>
      </c>
      <c r="G481" s="29" t="str">
        <f>VLOOKUP(C481,DATA!$A$2:$G$243,2,FALSE)</f>
        <v>Red  - ThinOvalLaces</v>
      </c>
      <c r="H481" s="30">
        <f t="shared" si="21"/>
        <v>3</v>
      </c>
      <c r="I481" s="30">
        <f>VLOOKUP(C481,DATA!$A$2:$G$243,5,FALSE)</f>
        <v>6000</v>
      </c>
      <c r="J481" s="30">
        <f t="shared" si="23"/>
        <v>18000</v>
      </c>
      <c r="K481" s="31">
        <f>VLOOKUP(C481,DATA!$A$2:$G$243,3,FALSE)</f>
        <v>4.95</v>
      </c>
      <c r="L481" s="31">
        <f>VLOOKUP(C481,DATA!$A$2:$G$243,4,FALSE)</f>
        <v>1.9800000000000002</v>
      </c>
      <c r="M481" s="31">
        <f t="shared" si="22"/>
        <v>5.94</v>
      </c>
      <c r="N481" s="25" t="str">
        <f>VLOOKUP(C481,DATA!$A$2:$G$243,6,FALSE)</f>
        <v>Thin Oval Laces</v>
      </c>
      <c r="O481" s="16">
        <v>28605</v>
      </c>
    </row>
    <row r="482" spans="1:15" s="4" customFormat="1">
      <c r="A482" s="16" t="s">
        <v>6</v>
      </c>
      <c r="B482" s="18">
        <v>42927</v>
      </c>
      <c r="C482" s="18" t="s">
        <v>619</v>
      </c>
      <c r="D482" s="21">
        <v>54</v>
      </c>
      <c r="E482" s="22">
        <v>3</v>
      </c>
      <c r="F482" s="18" t="s">
        <v>414</v>
      </c>
      <c r="G482" s="29" t="str">
        <f>VLOOKUP(C482,DATA!$A$2:$G$243,2,FALSE)</f>
        <v>Red  - ThinOvalLaces</v>
      </c>
      <c r="H482" s="30">
        <f t="shared" si="21"/>
        <v>3</v>
      </c>
      <c r="I482" s="30">
        <f>VLOOKUP(C482,DATA!$A$2:$G$243,5,FALSE)</f>
        <v>6000</v>
      </c>
      <c r="J482" s="30">
        <f t="shared" si="23"/>
        <v>18000</v>
      </c>
      <c r="K482" s="31">
        <f>VLOOKUP(C482,DATA!$A$2:$G$243,3,FALSE)</f>
        <v>4.95</v>
      </c>
      <c r="L482" s="31">
        <f>VLOOKUP(C482,DATA!$A$2:$G$243,4,FALSE)</f>
        <v>1.9800000000000002</v>
      </c>
      <c r="M482" s="31">
        <f t="shared" si="22"/>
        <v>5.94</v>
      </c>
      <c r="N482" s="25" t="str">
        <f>VLOOKUP(C482,DATA!$A$2:$G$243,6,FALSE)</f>
        <v>Thin Oval Laces</v>
      </c>
      <c r="O482" s="16">
        <v>28605</v>
      </c>
    </row>
    <row r="483" spans="1:15" s="4" customFormat="1">
      <c r="A483" s="16" t="s">
        <v>6</v>
      </c>
      <c r="B483" s="18">
        <v>42927</v>
      </c>
      <c r="C483" s="18" t="s">
        <v>620</v>
      </c>
      <c r="D483" s="21">
        <v>45</v>
      </c>
      <c r="E483" s="22">
        <v>3</v>
      </c>
      <c r="F483" s="18" t="s">
        <v>414</v>
      </c>
      <c r="G483" s="29" t="str">
        <f>VLOOKUP(C483,DATA!$A$2:$G$243,2,FALSE)</f>
        <v>Royal Blue  - ThinOvalLaces</v>
      </c>
      <c r="H483" s="30">
        <f t="shared" si="21"/>
        <v>3</v>
      </c>
      <c r="I483" s="30">
        <f>VLOOKUP(C483,DATA!$A$2:$G$243,5,FALSE)</f>
        <v>6000</v>
      </c>
      <c r="J483" s="30">
        <f t="shared" si="23"/>
        <v>18000</v>
      </c>
      <c r="K483" s="31">
        <f>VLOOKUP(C483,DATA!$A$2:$G$243,3,FALSE)</f>
        <v>4.95</v>
      </c>
      <c r="L483" s="31">
        <f>VLOOKUP(C483,DATA!$A$2:$G$243,4,FALSE)</f>
        <v>1.9800000000000002</v>
      </c>
      <c r="M483" s="31">
        <f t="shared" si="22"/>
        <v>5.94</v>
      </c>
      <c r="N483" s="25" t="str">
        <f>VLOOKUP(C483,DATA!$A$2:$G$243,6,FALSE)</f>
        <v>Thin Oval Laces</v>
      </c>
      <c r="O483" s="16">
        <v>28605</v>
      </c>
    </row>
    <row r="484" spans="1:15" s="4" customFormat="1">
      <c r="A484" s="16" t="s">
        <v>6</v>
      </c>
      <c r="B484" s="18">
        <v>42927</v>
      </c>
      <c r="C484" s="18" t="s">
        <v>620</v>
      </c>
      <c r="D484" s="21">
        <v>54</v>
      </c>
      <c r="E484" s="22">
        <v>3</v>
      </c>
      <c r="F484" s="18" t="s">
        <v>414</v>
      </c>
      <c r="G484" s="29" t="str">
        <f>VLOOKUP(C484,DATA!$A$2:$G$243,2,FALSE)</f>
        <v>Royal Blue  - ThinOvalLaces</v>
      </c>
      <c r="H484" s="30">
        <f t="shared" si="21"/>
        <v>3</v>
      </c>
      <c r="I484" s="30">
        <f>VLOOKUP(C484,DATA!$A$2:$G$243,5,FALSE)</f>
        <v>6000</v>
      </c>
      <c r="J484" s="30">
        <f t="shared" si="23"/>
        <v>18000</v>
      </c>
      <c r="K484" s="31">
        <f>VLOOKUP(C484,DATA!$A$2:$G$243,3,FALSE)</f>
        <v>4.95</v>
      </c>
      <c r="L484" s="31">
        <f>VLOOKUP(C484,DATA!$A$2:$G$243,4,FALSE)</f>
        <v>1.9800000000000002</v>
      </c>
      <c r="M484" s="31">
        <f t="shared" si="22"/>
        <v>5.94</v>
      </c>
      <c r="N484" s="25" t="str">
        <f>VLOOKUP(C484,DATA!$A$2:$G$243,6,FALSE)</f>
        <v>Thin Oval Laces</v>
      </c>
      <c r="O484" s="16">
        <v>28605</v>
      </c>
    </row>
    <row r="485" spans="1:15" s="4" customFormat="1">
      <c r="A485" s="16" t="s">
        <v>6</v>
      </c>
      <c r="B485" s="18">
        <v>42927</v>
      </c>
      <c r="C485" s="18" t="s">
        <v>621</v>
      </c>
      <c r="D485" s="21">
        <v>45</v>
      </c>
      <c r="E485" s="22">
        <v>3</v>
      </c>
      <c r="F485" s="18" t="s">
        <v>414</v>
      </c>
      <c r="G485" s="29" t="str">
        <f>VLOOKUP(C485,DATA!$A$2:$G$243,2,FALSE)</f>
        <v>Volt  - ThinOvalLaces</v>
      </c>
      <c r="H485" s="30">
        <f t="shared" si="21"/>
        <v>3</v>
      </c>
      <c r="I485" s="30">
        <f>VLOOKUP(C485,DATA!$A$2:$G$243,5,FALSE)</f>
        <v>6000</v>
      </c>
      <c r="J485" s="30">
        <f t="shared" si="23"/>
        <v>18000</v>
      </c>
      <c r="K485" s="31">
        <f>VLOOKUP(C485,DATA!$A$2:$G$243,3,FALSE)</f>
        <v>4.95</v>
      </c>
      <c r="L485" s="31">
        <f>VLOOKUP(C485,DATA!$A$2:$G$243,4,FALSE)</f>
        <v>1.9800000000000002</v>
      </c>
      <c r="M485" s="31">
        <f t="shared" si="22"/>
        <v>5.94</v>
      </c>
      <c r="N485" s="25" t="str">
        <f>VLOOKUP(C485,DATA!$A$2:$G$243,6,FALSE)</f>
        <v>Thin Oval Laces</v>
      </c>
      <c r="O485" s="16">
        <v>28605</v>
      </c>
    </row>
    <row r="486" spans="1:15" s="4" customFormat="1">
      <c r="A486" s="16" t="s">
        <v>6</v>
      </c>
      <c r="B486" s="18">
        <v>42927</v>
      </c>
      <c r="C486" s="18" t="s">
        <v>621</v>
      </c>
      <c r="D486" s="21">
        <v>54</v>
      </c>
      <c r="E486" s="22">
        <v>3</v>
      </c>
      <c r="F486" s="18" t="s">
        <v>414</v>
      </c>
      <c r="G486" s="29" t="str">
        <f>VLOOKUP(C486,DATA!$A$2:$G$243,2,FALSE)</f>
        <v>Volt  - ThinOvalLaces</v>
      </c>
      <c r="H486" s="30">
        <f t="shared" si="21"/>
        <v>3</v>
      </c>
      <c r="I486" s="30">
        <f>VLOOKUP(C486,DATA!$A$2:$G$243,5,FALSE)</f>
        <v>6000</v>
      </c>
      <c r="J486" s="30">
        <f t="shared" si="23"/>
        <v>18000</v>
      </c>
      <c r="K486" s="31">
        <f>VLOOKUP(C486,DATA!$A$2:$G$243,3,FALSE)</f>
        <v>4.95</v>
      </c>
      <c r="L486" s="31">
        <f>VLOOKUP(C486,DATA!$A$2:$G$243,4,FALSE)</f>
        <v>1.9800000000000002</v>
      </c>
      <c r="M486" s="31">
        <f t="shared" si="22"/>
        <v>5.94</v>
      </c>
      <c r="N486" s="25" t="str">
        <f>VLOOKUP(C486,DATA!$A$2:$G$243,6,FALSE)</f>
        <v>Thin Oval Laces</v>
      </c>
      <c r="O486" s="16">
        <v>28605</v>
      </c>
    </row>
    <row r="487" spans="1:15" s="4" customFormat="1">
      <c r="A487" s="16" t="s">
        <v>6</v>
      </c>
      <c r="B487" s="18">
        <v>42927</v>
      </c>
      <c r="C487" s="18" t="s">
        <v>622</v>
      </c>
      <c r="D487" s="21">
        <v>45</v>
      </c>
      <c r="E487" s="22">
        <v>3</v>
      </c>
      <c r="F487" s="18" t="s">
        <v>414</v>
      </c>
      <c r="G487" s="29" t="str">
        <f>VLOOKUP(C487,DATA!$A$2:$G$243,2,FALSE)</f>
        <v>White  - ThinOvalLaces</v>
      </c>
      <c r="H487" s="30">
        <f t="shared" si="21"/>
        <v>3</v>
      </c>
      <c r="I487" s="30">
        <f>VLOOKUP(C487,DATA!$A$2:$G$243,5,FALSE)</f>
        <v>6000</v>
      </c>
      <c r="J487" s="30">
        <f t="shared" si="23"/>
        <v>18000</v>
      </c>
      <c r="K487" s="31">
        <f>VLOOKUP(C487,DATA!$A$2:$G$243,3,FALSE)</f>
        <v>4.95</v>
      </c>
      <c r="L487" s="31">
        <f>VLOOKUP(C487,DATA!$A$2:$G$243,4,FALSE)</f>
        <v>1.9800000000000002</v>
      </c>
      <c r="M487" s="31">
        <f t="shared" si="22"/>
        <v>5.94</v>
      </c>
      <c r="N487" s="25" t="str">
        <f>VLOOKUP(C487,DATA!$A$2:$G$243,6,FALSE)</f>
        <v>Thin Oval Laces</v>
      </c>
      <c r="O487" s="16">
        <v>28605</v>
      </c>
    </row>
    <row r="488" spans="1:15" s="4" customFormat="1">
      <c r="A488" s="16" t="s">
        <v>6</v>
      </c>
      <c r="B488" s="18">
        <v>42927</v>
      </c>
      <c r="C488" s="18" t="s">
        <v>622</v>
      </c>
      <c r="D488" s="21">
        <v>54</v>
      </c>
      <c r="E488" s="22">
        <v>3</v>
      </c>
      <c r="F488" s="18" t="s">
        <v>414</v>
      </c>
      <c r="G488" s="29" t="str">
        <f>VLOOKUP(C488,DATA!$A$2:$G$243,2,FALSE)</f>
        <v>White  - ThinOvalLaces</v>
      </c>
      <c r="H488" s="30">
        <f t="shared" si="21"/>
        <v>3</v>
      </c>
      <c r="I488" s="30">
        <f>VLOOKUP(C488,DATA!$A$2:$G$243,5,FALSE)</f>
        <v>6000</v>
      </c>
      <c r="J488" s="30">
        <f t="shared" si="23"/>
        <v>18000</v>
      </c>
      <c r="K488" s="31">
        <f>VLOOKUP(C488,DATA!$A$2:$G$243,3,FALSE)</f>
        <v>4.95</v>
      </c>
      <c r="L488" s="31">
        <f>VLOOKUP(C488,DATA!$A$2:$G$243,4,FALSE)</f>
        <v>1.9800000000000002</v>
      </c>
      <c r="M488" s="31">
        <f t="shared" si="22"/>
        <v>5.94</v>
      </c>
      <c r="N488" s="25" t="str">
        <f>VLOOKUP(C488,DATA!$A$2:$G$243,6,FALSE)</f>
        <v>Thin Oval Laces</v>
      </c>
      <c r="O488" s="16">
        <v>28605</v>
      </c>
    </row>
    <row r="489" spans="1:15" s="4" customFormat="1">
      <c r="A489" s="16" t="s">
        <v>6</v>
      </c>
      <c r="B489" s="18">
        <v>42927</v>
      </c>
      <c r="C489" s="18" t="s">
        <v>441</v>
      </c>
      <c r="D489" s="19">
        <v>45</v>
      </c>
      <c r="E489" s="22">
        <v>6</v>
      </c>
      <c r="F489" s="18" t="s">
        <v>414</v>
      </c>
      <c r="G489" s="29" t="str">
        <f>VLOOKUP(C489,DATA!$A$2:$G$243,2,FALSE)</f>
        <v>Black Waxed Shoe Laces</v>
      </c>
      <c r="H489" s="30">
        <f t="shared" si="21"/>
        <v>6</v>
      </c>
      <c r="I489" s="30">
        <f>VLOOKUP(C489,DATA!$A$2:$G$243,5,FALSE)</f>
        <v>8000</v>
      </c>
      <c r="J489" s="30">
        <f t="shared" si="23"/>
        <v>48000</v>
      </c>
      <c r="K489" s="31">
        <f>VLOOKUP(C489,DATA!$A$2:$G$243,3,FALSE)</f>
        <v>6.95</v>
      </c>
      <c r="L489" s="31">
        <f>VLOOKUP(C489,DATA!$A$2:$G$243,4,FALSE)</f>
        <v>2.7800000000000002</v>
      </c>
      <c r="M489" s="31">
        <f t="shared" si="22"/>
        <v>16.68</v>
      </c>
      <c r="N489" s="25" t="str">
        <f>VLOOKUP(C489,DATA!$A$2:$G$243,6,FALSE)</f>
        <v>Waxed Shoe Laces</v>
      </c>
      <c r="O489" s="16">
        <v>28605</v>
      </c>
    </row>
    <row r="490" spans="1:15" s="4" customFormat="1">
      <c r="A490" s="16" t="s">
        <v>6</v>
      </c>
      <c r="B490" s="18">
        <v>42927</v>
      </c>
      <c r="C490" s="18" t="s">
        <v>441</v>
      </c>
      <c r="D490" s="21">
        <v>54</v>
      </c>
      <c r="E490" s="22">
        <v>3</v>
      </c>
      <c r="F490" s="18" t="s">
        <v>414</v>
      </c>
      <c r="G490" s="29" t="str">
        <f>VLOOKUP(C490,DATA!$A$2:$G$243,2,FALSE)</f>
        <v>Black Waxed Shoe Laces</v>
      </c>
      <c r="H490" s="30">
        <f t="shared" si="21"/>
        <v>3</v>
      </c>
      <c r="I490" s="30">
        <f>VLOOKUP(C490,DATA!$A$2:$G$243,5,FALSE)</f>
        <v>8000</v>
      </c>
      <c r="J490" s="30">
        <f t="shared" si="23"/>
        <v>24000</v>
      </c>
      <c r="K490" s="31">
        <f>VLOOKUP(C490,DATA!$A$2:$G$243,3,FALSE)</f>
        <v>6.95</v>
      </c>
      <c r="L490" s="31">
        <f>VLOOKUP(C490,DATA!$A$2:$G$243,4,FALSE)</f>
        <v>2.7800000000000002</v>
      </c>
      <c r="M490" s="31">
        <f t="shared" si="22"/>
        <v>8.34</v>
      </c>
      <c r="N490" s="25" t="str">
        <f>VLOOKUP(C490,DATA!$A$2:$G$243,6,FALSE)</f>
        <v>Waxed Shoe Laces</v>
      </c>
      <c r="O490" s="16">
        <v>28605</v>
      </c>
    </row>
    <row r="491" spans="1:15">
      <c r="A491" s="9" t="s">
        <v>635</v>
      </c>
      <c r="B491" s="41">
        <v>42971</v>
      </c>
      <c r="C491" s="9" t="s">
        <v>633</v>
      </c>
      <c r="D491" s="9">
        <v>30</v>
      </c>
      <c r="E491" s="8">
        <v>1</v>
      </c>
      <c r="F491" s="9" t="s">
        <v>634</v>
      </c>
      <c r="G491" s="29" t="str">
        <f>VLOOKUP(C491,DATA!$A$2:$G$243,2,FALSE)</f>
        <v>Black/Red Rope Laces</v>
      </c>
      <c r="H491" s="30">
        <f t="shared" ref="H491:H554" si="24">IF(F491="입",E491,-1*E491)</f>
        <v>-1</v>
      </c>
      <c r="I491" s="30">
        <f>VLOOKUP(C491,DATA!$A$2:$G$243,5,FALSE)</f>
        <v>7000</v>
      </c>
      <c r="J491" s="30">
        <f t="shared" ref="J491:J554" si="25">I491*E491</f>
        <v>7000</v>
      </c>
      <c r="K491" s="31">
        <f>VLOOKUP(C491,DATA!$A$2:$G$243,3,FALSE)</f>
        <v>5.95</v>
      </c>
      <c r="L491" s="31">
        <f>VLOOKUP(C491,DATA!$A$2:$G$243,4,FALSE)</f>
        <v>2.3800000000000003</v>
      </c>
      <c r="M491" s="31">
        <f t="shared" ref="M491:M554" si="26">L491*E491</f>
        <v>2.3800000000000003</v>
      </c>
      <c r="N491" s="25" t="str">
        <f>VLOOKUP(C491,DATA!$A$2:$G$243,6,FALSE)</f>
        <v>Rope Laces</v>
      </c>
    </row>
    <row r="492" spans="1:15">
      <c r="A492" s="9" t="s">
        <v>635</v>
      </c>
      <c r="B492" s="41">
        <v>42971</v>
      </c>
      <c r="C492" s="9" t="s">
        <v>637</v>
      </c>
      <c r="D492" s="9">
        <v>54</v>
      </c>
      <c r="E492" s="8">
        <v>1</v>
      </c>
      <c r="F492" s="9" t="s">
        <v>634</v>
      </c>
      <c r="G492" s="29" t="str">
        <f>VLOOKUP(C492,DATA!$A$2:$G$243,2,FALSE)</f>
        <v>White  - XIRopeLaces</v>
      </c>
      <c r="H492" s="30">
        <f t="shared" si="24"/>
        <v>-1</v>
      </c>
      <c r="I492" s="30">
        <f>VLOOKUP(C492,DATA!$A$2:$G$243,5,FALSE)</f>
        <v>7000</v>
      </c>
      <c r="J492" s="30">
        <f t="shared" si="25"/>
        <v>7000</v>
      </c>
      <c r="K492" s="31">
        <f>VLOOKUP(C492,DATA!$A$2:$G$243,3,FALSE)</f>
        <v>5.95</v>
      </c>
      <c r="L492" s="31">
        <f>VLOOKUP(C492,DATA!$A$2:$G$243,4,FALSE)</f>
        <v>2.3800000000000003</v>
      </c>
      <c r="M492" s="31">
        <f t="shared" si="26"/>
        <v>2.3800000000000003</v>
      </c>
      <c r="N492" s="25" t="str">
        <f>VLOOKUP(C492,DATA!$A$2:$G$243,6,FALSE)</f>
        <v>XI Rope Laces</v>
      </c>
    </row>
    <row r="493" spans="1:15">
      <c r="A493" s="9" t="s">
        <v>635</v>
      </c>
      <c r="B493" s="41">
        <v>42971</v>
      </c>
      <c r="C493" s="9" t="s">
        <v>638</v>
      </c>
      <c r="D493" s="9">
        <v>54</v>
      </c>
      <c r="E493" s="8">
        <v>1</v>
      </c>
      <c r="F493" s="9" t="s">
        <v>634</v>
      </c>
      <c r="G493" s="29" t="str">
        <f>VLOOKUP(C493,DATA!$A$2:$G$243,2,FALSE)</f>
        <v>Legend Blue  - XIRopeLaces</v>
      </c>
      <c r="H493" s="30">
        <f t="shared" si="24"/>
        <v>-1</v>
      </c>
      <c r="I493" s="30">
        <f>VLOOKUP(C493,DATA!$A$2:$G$243,5,FALSE)</f>
        <v>7000</v>
      </c>
      <c r="J493" s="30">
        <f t="shared" si="25"/>
        <v>7000</v>
      </c>
      <c r="K493" s="31">
        <f>VLOOKUP(C493,DATA!$A$2:$G$243,3,FALSE)</f>
        <v>5.95</v>
      </c>
      <c r="L493" s="31">
        <f>VLOOKUP(C493,DATA!$A$2:$G$243,4,FALSE)</f>
        <v>2.3800000000000003</v>
      </c>
      <c r="M493" s="31">
        <f t="shared" si="26"/>
        <v>2.3800000000000003</v>
      </c>
      <c r="N493" s="25" t="str">
        <f>VLOOKUP(C493,DATA!$A$2:$G$243,6,FALSE)</f>
        <v>XI Rope Laces</v>
      </c>
    </row>
    <row r="494" spans="1:15">
      <c r="A494" s="9" t="s">
        <v>635</v>
      </c>
      <c r="B494" s="42">
        <v>42974</v>
      </c>
      <c r="C494" s="9" t="s">
        <v>639</v>
      </c>
      <c r="D494" s="9">
        <v>63</v>
      </c>
      <c r="E494" s="8">
        <v>1</v>
      </c>
      <c r="F494" s="9" t="s">
        <v>634</v>
      </c>
      <c r="G494" s="29" t="str">
        <f>VLOOKUP(C494,DATA!$A$2:$G$243,2,FALSE)</f>
        <v>Gold Luxury Leather Laces - GoldPlated</v>
      </c>
      <c r="H494" s="30">
        <f t="shared" si="24"/>
        <v>-1</v>
      </c>
      <c r="I494" s="30">
        <f>VLOOKUP(C494,DATA!$A$2:$G$243,5,FALSE)</f>
        <v>25000</v>
      </c>
      <c r="J494" s="30">
        <f t="shared" si="25"/>
        <v>25000</v>
      </c>
      <c r="K494" s="31">
        <f>VLOOKUP(C494,DATA!$A$2:$G$243,3,FALSE)</f>
        <v>19.95</v>
      </c>
      <c r="L494" s="31">
        <f>VLOOKUP(C494,DATA!$A$2:$G$243,4,FALSE)</f>
        <v>7.98</v>
      </c>
      <c r="M494" s="31">
        <f t="shared" si="26"/>
        <v>7.98</v>
      </c>
      <c r="N494" s="25" t="str">
        <f>VLOOKUP(C494,DATA!$A$2:$G$243,6,FALSE)</f>
        <v>Luxury Leather Laces</v>
      </c>
    </row>
    <row r="495" spans="1:15">
      <c r="A495" s="9" t="s">
        <v>635</v>
      </c>
      <c r="B495" s="42">
        <v>42978</v>
      </c>
      <c r="C495" s="9" t="s">
        <v>646</v>
      </c>
      <c r="D495" s="9">
        <v>63</v>
      </c>
      <c r="E495" s="8">
        <v>1</v>
      </c>
      <c r="F495" s="9" t="s">
        <v>634</v>
      </c>
      <c r="G495" s="29" t="str">
        <f>VLOOKUP(C495,DATA!$A$2:$G$243,2,FALSE)</f>
        <v>Royal Blue Shoe Laces</v>
      </c>
      <c r="H495" s="30">
        <f t="shared" si="24"/>
        <v>-1</v>
      </c>
      <c r="I495" s="30">
        <f>VLOOKUP(C495,DATA!$A$2:$G$243,5,FALSE)</f>
        <v>6000</v>
      </c>
      <c r="J495" s="30">
        <f t="shared" si="25"/>
        <v>6000</v>
      </c>
      <c r="K495" s="31">
        <f>VLOOKUP(C495,DATA!$A$2:$G$243,3,FALSE)</f>
        <v>4.95</v>
      </c>
      <c r="L495" s="31">
        <f>VLOOKUP(C495,DATA!$A$2:$G$243,4,FALSE)</f>
        <v>1.9800000000000002</v>
      </c>
      <c r="M495" s="31">
        <f t="shared" si="26"/>
        <v>1.9800000000000002</v>
      </c>
      <c r="N495" s="25" t="str">
        <f>VLOOKUP(C495,DATA!$A$2:$G$243,6,FALSE)</f>
        <v>Shoe Laces</v>
      </c>
    </row>
    <row r="496" spans="1:15">
      <c r="A496" s="9" t="s">
        <v>647</v>
      </c>
      <c r="B496" s="42">
        <v>42982</v>
      </c>
      <c r="C496" s="51" t="s">
        <v>579</v>
      </c>
      <c r="D496" s="52">
        <v>54</v>
      </c>
      <c r="E496" s="8">
        <v>1</v>
      </c>
      <c r="F496" s="9" t="s">
        <v>634</v>
      </c>
      <c r="G496" s="29" t="str">
        <f>VLOOKUP(C496,DATA!$A$2:$G$243,2,FALSE)</f>
        <v>Gold Luxury Leather Laces - GoldPlated</v>
      </c>
      <c r="H496" s="30">
        <f t="shared" si="24"/>
        <v>-1</v>
      </c>
      <c r="I496" s="30">
        <f>VLOOKUP(C496,DATA!$A$2:$G$243,5,FALSE)</f>
        <v>25000</v>
      </c>
      <c r="J496" s="30">
        <f t="shared" si="25"/>
        <v>25000</v>
      </c>
      <c r="K496" s="31">
        <f>VLOOKUP(C496,DATA!$A$2:$G$243,3,FALSE)</f>
        <v>19.95</v>
      </c>
      <c r="L496" s="31">
        <f>VLOOKUP(C496,DATA!$A$2:$G$243,4,FALSE)</f>
        <v>7.98</v>
      </c>
      <c r="M496" s="31">
        <f t="shared" si="26"/>
        <v>7.98</v>
      </c>
      <c r="N496" s="25" t="str">
        <f>VLOOKUP(C496,DATA!$A$2:$G$243,6,FALSE)</f>
        <v>Luxury Leather Laces</v>
      </c>
    </row>
    <row r="497" spans="1:14">
      <c r="A497" s="9" t="s">
        <v>647</v>
      </c>
      <c r="B497" s="42">
        <v>42984</v>
      </c>
      <c r="C497" s="51" t="s">
        <v>524</v>
      </c>
      <c r="D497" s="52">
        <v>45</v>
      </c>
      <c r="E497" s="8">
        <v>1</v>
      </c>
      <c r="F497" s="9" t="s">
        <v>634</v>
      </c>
      <c r="G497" s="29" t="str">
        <f>VLOOKUP(C497,DATA!$A$2:$G$243,2,FALSE)</f>
        <v>Beige Shoe Laces</v>
      </c>
      <c r="H497" s="30">
        <f t="shared" si="24"/>
        <v>-1</v>
      </c>
      <c r="I497" s="30">
        <f>VLOOKUP(C497,DATA!$A$2:$G$243,5,FALSE)</f>
        <v>6000</v>
      </c>
      <c r="J497" s="30">
        <f t="shared" si="25"/>
        <v>6000</v>
      </c>
      <c r="K497" s="31">
        <f>VLOOKUP(C497,DATA!$A$2:$G$243,3,FALSE)</f>
        <v>4.95</v>
      </c>
      <c r="L497" s="31">
        <f>VLOOKUP(C497,DATA!$A$2:$G$243,4,FALSE)</f>
        <v>1.9800000000000002</v>
      </c>
      <c r="M497" s="31">
        <f t="shared" si="26"/>
        <v>1.9800000000000002</v>
      </c>
      <c r="N497" s="25" t="str">
        <f>VLOOKUP(C497,DATA!$A$2:$G$243,6,FALSE)</f>
        <v>Shoe Laces</v>
      </c>
    </row>
    <row r="498" spans="1:14">
      <c r="A498" s="9" t="s">
        <v>647</v>
      </c>
      <c r="B498" s="42">
        <v>42985</v>
      </c>
      <c r="C498" s="53" t="s">
        <v>597</v>
      </c>
      <c r="D498" s="54">
        <v>63</v>
      </c>
      <c r="E498" s="8">
        <v>2</v>
      </c>
      <c r="F498" s="9" t="s">
        <v>634</v>
      </c>
      <c r="G498" s="29" t="str">
        <f>VLOOKUP(C498,DATA!$A$2:$G$243,2,FALSE)</f>
        <v>Grey  - OvalSBLaces</v>
      </c>
      <c r="H498" s="30">
        <f t="shared" si="24"/>
        <v>-2</v>
      </c>
      <c r="I498" s="30">
        <f>VLOOKUP(C498,DATA!$A$2:$G$243,5,FALSE)</f>
        <v>5000</v>
      </c>
      <c r="J498" s="30">
        <f t="shared" si="25"/>
        <v>10000</v>
      </c>
      <c r="K498" s="31">
        <f>VLOOKUP(C498,DATA!$A$2:$G$243,3,FALSE)</f>
        <v>3.95</v>
      </c>
      <c r="L498" s="31">
        <f>VLOOKUP(C498,DATA!$A$2:$G$243,4,FALSE)</f>
        <v>1.58</v>
      </c>
      <c r="M498" s="31">
        <f t="shared" si="26"/>
        <v>3.16</v>
      </c>
      <c r="N498" s="25" t="str">
        <f>VLOOKUP(C498,DATA!$A$2:$G$243,6,FALSE)</f>
        <v>Oval SB Laces</v>
      </c>
    </row>
    <row r="499" spans="1:14">
      <c r="A499" s="9" t="s">
        <v>647</v>
      </c>
      <c r="B499" s="42">
        <v>42985</v>
      </c>
      <c r="C499" s="53" t="s">
        <v>441</v>
      </c>
      <c r="D499" s="54">
        <v>45</v>
      </c>
      <c r="E499" s="8">
        <v>1</v>
      </c>
      <c r="F499" s="9" t="s">
        <v>634</v>
      </c>
      <c r="G499" s="29" t="str">
        <f>VLOOKUP(C499,DATA!$A$2:$G$243,2,FALSE)</f>
        <v>Black Waxed Shoe Laces</v>
      </c>
      <c r="H499" s="30">
        <f t="shared" si="24"/>
        <v>-1</v>
      </c>
      <c r="I499" s="30">
        <f>VLOOKUP(C499,DATA!$A$2:$G$243,5,FALSE)</f>
        <v>8000</v>
      </c>
      <c r="J499" s="30">
        <f t="shared" si="25"/>
        <v>8000</v>
      </c>
      <c r="K499" s="31">
        <f>VLOOKUP(C499,DATA!$A$2:$G$243,3,FALSE)</f>
        <v>6.95</v>
      </c>
      <c r="L499" s="31">
        <f>VLOOKUP(C499,DATA!$A$2:$G$243,4,FALSE)</f>
        <v>2.7800000000000002</v>
      </c>
      <c r="M499" s="31">
        <f t="shared" si="26"/>
        <v>2.7800000000000002</v>
      </c>
      <c r="N499" s="25" t="str">
        <f>VLOOKUP(C499,DATA!$A$2:$G$243,6,FALSE)</f>
        <v>Waxed Shoe Laces</v>
      </c>
    </row>
    <row r="500" spans="1:14">
      <c r="A500" s="9" t="s">
        <v>647</v>
      </c>
      <c r="B500" s="42">
        <v>42985</v>
      </c>
      <c r="C500" s="53" t="s">
        <v>505</v>
      </c>
      <c r="D500" s="54">
        <v>54</v>
      </c>
      <c r="E500" s="8">
        <v>1</v>
      </c>
      <c r="F500" s="9" t="s">
        <v>634</v>
      </c>
      <c r="G500" s="29" t="str">
        <f>VLOOKUP(C500,DATA!$A$2:$G$243,2,FALSE)</f>
        <v>Red Shoe Laces</v>
      </c>
      <c r="H500" s="30">
        <f t="shared" si="24"/>
        <v>-1</v>
      </c>
      <c r="I500" s="30">
        <f>VLOOKUP(C500,DATA!$A$2:$G$243,5,FALSE)</f>
        <v>6000</v>
      </c>
      <c r="J500" s="30">
        <f t="shared" si="25"/>
        <v>6000</v>
      </c>
      <c r="K500" s="31">
        <f>VLOOKUP(C500,DATA!$A$2:$G$243,3,FALSE)</f>
        <v>4.95</v>
      </c>
      <c r="L500" s="31">
        <f>VLOOKUP(C500,DATA!$A$2:$G$243,4,FALSE)</f>
        <v>1.9800000000000002</v>
      </c>
      <c r="M500" s="31">
        <f t="shared" si="26"/>
        <v>1.9800000000000002</v>
      </c>
      <c r="N500" s="25" t="str">
        <f>VLOOKUP(C500,DATA!$A$2:$G$243,6,FALSE)</f>
        <v>Shoe Laces</v>
      </c>
    </row>
    <row r="501" spans="1:14">
      <c r="A501" s="9" t="s">
        <v>647</v>
      </c>
      <c r="B501" s="42">
        <v>42979</v>
      </c>
      <c r="C501" s="9" t="s">
        <v>648</v>
      </c>
      <c r="D501" s="9">
        <v>45</v>
      </c>
      <c r="E501" s="8">
        <v>2</v>
      </c>
      <c r="F501" s="9" t="s">
        <v>649</v>
      </c>
      <c r="G501" s="29" t="str">
        <f>VLOOKUP(C501,DATA!$A$2:$G$243,2,FALSE)</f>
        <v>Gamma Blue  - XIRopeLaces</v>
      </c>
      <c r="H501" s="30">
        <f t="shared" si="24"/>
        <v>2</v>
      </c>
      <c r="I501" s="30">
        <f>VLOOKUP(C501,DATA!$A$2:$G$243,5,FALSE)</f>
        <v>7000</v>
      </c>
      <c r="J501" s="30">
        <f t="shared" si="25"/>
        <v>14000</v>
      </c>
      <c r="K501" s="31">
        <f>VLOOKUP(C501,DATA!$A$2:$G$243,3,FALSE)</f>
        <v>5.95</v>
      </c>
      <c r="L501" s="31">
        <f>VLOOKUP(C501,DATA!$A$2:$G$243,4,FALSE)</f>
        <v>2.3800000000000003</v>
      </c>
      <c r="M501" s="31">
        <f t="shared" si="26"/>
        <v>4.7600000000000007</v>
      </c>
      <c r="N501" s="25" t="str">
        <f>VLOOKUP(C501,DATA!$A$2:$G$243,6,FALSE)</f>
        <v>XI Rope Laces</v>
      </c>
    </row>
    <row r="502" spans="1:14">
      <c r="A502" s="9" t="s">
        <v>647</v>
      </c>
      <c r="B502" s="42">
        <v>42979</v>
      </c>
      <c r="C502" s="9" t="s">
        <v>650</v>
      </c>
      <c r="D502" s="9">
        <v>54</v>
      </c>
      <c r="E502" s="8">
        <v>2</v>
      </c>
      <c r="F502" s="9" t="s">
        <v>649</v>
      </c>
      <c r="G502" s="29" t="str">
        <f>VLOOKUP(C502,DATA!$A$2:$G$243,2,FALSE)</f>
        <v>Legend Blue  - XIRopeLaces</v>
      </c>
      <c r="H502" s="30">
        <f t="shared" si="24"/>
        <v>2</v>
      </c>
      <c r="I502" s="30">
        <f>VLOOKUP(C502,DATA!$A$2:$G$243,5,FALSE)</f>
        <v>7000</v>
      </c>
      <c r="J502" s="30">
        <f t="shared" si="25"/>
        <v>14000</v>
      </c>
      <c r="K502" s="31">
        <f>VLOOKUP(C502,DATA!$A$2:$G$243,3,FALSE)</f>
        <v>5.95</v>
      </c>
      <c r="L502" s="31">
        <f>VLOOKUP(C502,DATA!$A$2:$G$243,4,FALSE)</f>
        <v>2.3800000000000003</v>
      </c>
      <c r="M502" s="31">
        <f t="shared" si="26"/>
        <v>4.7600000000000007</v>
      </c>
      <c r="N502" s="25" t="str">
        <f>VLOOKUP(C502,DATA!$A$2:$G$243,6,FALSE)</f>
        <v>XI Rope Laces</v>
      </c>
    </row>
    <row r="503" spans="1:14">
      <c r="A503" s="9" t="s">
        <v>647</v>
      </c>
      <c r="B503" s="42">
        <v>42979</v>
      </c>
      <c r="C503" s="55" t="s">
        <v>445</v>
      </c>
      <c r="D503" s="9">
        <v>30</v>
      </c>
      <c r="E503" s="8">
        <v>2</v>
      </c>
      <c r="F503" s="9" t="s">
        <v>649</v>
      </c>
      <c r="G503" s="29" t="str">
        <f>VLOOKUP(C503,DATA!$A$2:$G$243,2,FALSE)</f>
        <v>Black/Red Rope Laces</v>
      </c>
      <c r="H503" s="30">
        <f t="shared" si="24"/>
        <v>2</v>
      </c>
      <c r="I503" s="30">
        <f>VLOOKUP(C503,DATA!$A$2:$G$243,5,FALSE)</f>
        <v>7000</v>
      </c>
      <c r="J503" s="30">
        <f t="shared" si="25"/>
        <v>14000</v>
      </c>
      <c r="K503" s="31">
        <f>VLOOKUP(C503,DATA!$A$2:$G$243,3,FALSE)</f>
        <v>5.95</v>
      </c>
      <c r="L503" s="31">
        <f>VLOOKUP(C503,DATA!$A$2:$G$243,4,FALSE)</f>
        <v>2.3800000000000003</v>
      </c>
      <c r="M503" s="31">
        <f t="shared" si="26"/>
        <v>4.7600000000000007</v>
      </c>
      <c r="N503" s="25" t="str">
        <f>VLOOKUP(C503,DATA!$A$2:$G$243,6,FALSE)</f>
        <v>Rope Laces</v>
      </c>
    </row>
    <row r="504" spans="1:14">
      <c r="A504" s="9" t="s">
        <v>647</v>
      </c>
      <c r="B504" s="42">
        <v>42979</v>
      </c>
      <c r="C504" s="55" t="s">
        <v>579</v>
      </c>
      <c r="D504" s="9">
        <v>36</v>
      </c>
      <c r="E504" s="8">
        <v>1</v>
      </c>
      <c r="F504" s="9" t="s">
        <v>649</v>
      </c>
      <c r="G504" s="29" t="str">
        <f>VLOOKUP(C504,DATA!$A$2:$G$243,2,FALSE)</f>
        <v>Gold Luxury Leather Laces - GoldPlated</v>
      </c>
      <c r="H504" s="30">
        <f t="shared" si="24"/>
        <v>1</v>
      </c>
      <c r="I504" s="30">
        <f>VLOOKUP(C504,DATA!$A$2:$G$243,5,FALSE)</f>
        <v>25000</v>
      </c>
      <c r="J504" s="30">
        <f t="shared" si="25"/>
        <v>25000</v>
      </c>
      <c r="K504" s="31">
        <f>VLOOKUP(C504,DATA!$A$2:$G$243,3,FALSE)</f>
        <v>19.95</v>
      </c>
      <c r="L504" s="31">
        <f>VLOOKUP(C504,DATA!$A$2:$G$243,4,FALSE)</f>
        <v>7.98</v>
      </c>
      <c r="M504" s="31">
        <f t="shared" si="26"/>
        <v>7.98</v>
      </c>
      <c r="N504" s="25" t="str">
        <f>VLOOKUP(C504,DATA!$A$2:$G$243,6,FALSE)</f>
        <v>Luxury Leather Laces</v>
      </c>
    </row>
    <row r="505" spans="1:14">
      <c r="A505" s="9" t="s">
        <v>647</v>
      </c>
      <c r="B505" s="42">
        <v>42979</v>
      </c>
      <c r="C505" s="55" t="s">
        <v>579</v>
      </c>
      <c r="D505" s="9">
        <v>45</v>
      </c>
      <c r="E505" s="8">
        <v>1</v>
      </c>
      <c r="F505" s="9" t="s">
        <v>649</v>
      </c>
      <c r="G505" s="29" t="str">
        <f>VLOOKUP(C505,DATA!$A$2:$G$243,2,FALSE)</f>
        <v>Gold Luxury Leather Laces - GoldPlated</v>
      </c>
      <c r="H505" s="30">
        <f t="shared" si="24"/>
        <v>1</v>
      </c>
      <c r="I505" s="30">
        <f>VLOOKUP(C505,DATA!$A$2:$G$243,5,FALSE)</f>
        <v>25000</v>
      </c>
      <c r="J505" s="30">
        <f t="shared" si="25"/>
        <v>25000</v>
      </c>
      <c r="K505" s="31">
        <f>VLOOKUP(C505,DATA!$A$2:$G$243,3,FALSE)</f>
        <v>19.95</v>
      </c>
      <c r="L505" s="31">
        <f>VLOOKUP(C505,DATA!$A$2:$G$243,4,FALSE)</f>
        <v>7.98</v>
      </c>
      <c r="M505" s="31">
        <f t="shared" si="26"/>
        <v>7.98</v>
      </c>
      <c r="N505" s="25" t="str">
        <f>VLOOKUP(C505,DATA!$A$2:$G$243,6,FALSE)</f>
        <v>Luxury Leather Laces</v>
      </c>
    </row>
    <row r="506" spans="1:14">
      <c r="A506" s="9" t="s">
        <v>647</v>
      </c>
      <c r="B506" s="42">
        <v>42979</v>
      </c>
      <c r="C506" s="55" t="s">
        <v>579</v>
      </c>
      <c r="D506" s="9">
        <v>54</v>
      </c>
      <c r="E506" s="8">
        <v>1</v>
      </c>
      <c r="F506" s="9" t="s">
        <v>649</v>
      </c>
      <c r="G506" s="29" t="str">
        <f>VLOOKUP(C506,DATA!$A$2:$G$243,2,FALSE)</f>
        <v>Gold Luxury Leather Laces - GoldPlated</v>
      </c>
      <c r="H506" s="30">
        <f t="shared" si="24"/>
        <v>1</v>
      </c>
      <c r="I506" s="30">
        <f>VLOOKUP(C506,DATA!$A$2:$G$243,5,FALSE)</f>
        <v>25000</v>
      </c>
      <c r="J506" s="30">
        <f t="shared" si="25"/>
        <v>25000</v>
      </c>
      <c r="K506" s="31">
        <f>VLOOKUP(C506,DATA!$A$2:$G$243,3,FALSE)</f>
        <v>19.95</v>
      </c>
      <c r="L506" s="31">
        <f>VLOOKUP(C506,DATA!$A$2:$G$243,4,FALSE)</f>
        <v>7.98</v>
      </c>
      <c r="M506" s="31">
        <f t="shared" si="26"/>
        <v>7.98</v>
      </c>
      <c r="N506" s="25" t="str">
        <f>VLOOKUP(C506,DATA!$A$2:$G$243,6,FALSE)</f>
        <v>Luxury Leather Laces</v>
      </c>
    </row>
    <row r="507" spans="1:14">
      <c r="A507" s="9" t="s">
        <v>647</v>
      </c>
      <c r="B507" s="42">
        <v>42979</v>
      </c>
      <c r="C507" s="55" t="s">
        <v>579</v>
      </c>
      <c r="D507" s="9">
        <v>63</v>
      </c>
      <c r="E507" s="8">
        <v>1</v>
      </c>
      <c r="F507" s="9" t="s">
        <v>649</v>
      </c>
      <c r="G507" s="29" t="str">
        <f>VLOOKUP(C507,DATA!$A$2:$G$243,2,FALSE)</f>
        <v>Gold Luxury Leather Laces - GoldPlated</v>
      </c>
      <c r="H507" s="30">
        <f t="shared" si="24"/>
        <v>1</v>
      </c>
      <c r="I507" s="30">
        <f>VLOOKUP(C507,DATA!$A$2:$G$243,5,FALSE)</f>
        <v>25000</v>
      </c>
      <c r="J507" s="30">
        <f t="shared" si="25"/>
        <v>25000</v>
      </c>
      <c r="K507" s="31">
        <f>VLOOKUP(C507,DATA!$A$2:$G$243,3,FALSE)</f>
        <v>19.95</v>
      </c>
      <c r="L507" s="31">
        <f>VLOOKUP(C507,DATA!$A$2:$G$243,4,FALSE)</f>
        <v>7.98</v>
      </c>
      <c r="M507" s="31">
        <f t="shared" si="26"/>
        <v>7.98</v>
      </c>
      <c r="N507" s="25" t="str">
        <f>VLOOKUP(C507,DATA!$A$2:$G$243,6,FALSE)</f>
        <v>Luxury Leather Laces</v>
      </c>
    </row>
    <row r="508" spans="1:14">
      <c r="A508" s="9" t="s">
        <v>647</v>
      </c>
      <c r="B508" s="42">
        <v>42979</v>
      </c>
      <c r="C508" s="55" t="s">
        <v>431</v>
      </c>
      <c r="D508" s="9">
        <v>36</v>
      </c>
      <c r="E508" s="8">
        <v>2</v>
      </c>
      <c r="F508" s="9" t="s">
        <v>649</v>
      </c>
      <c r="G508" s="29" t="str">
        <f>VLOOKUP(C508,DATA!$A$2:$G$243,2,FALSE)</f>
        <v>Black Luxury Leather Laces - GoldPlated</v>
      </c>
      <c r="H508" s="30">
        <f t="shared" si="24"/>
        <v>2</v>
      </c>
      <c r="I508" s="30">
        <f>VLOOKUP(C508,DATA!$A$2:$G$243,5,FALSE)</f>
        <v>25000</v>
      </c>
      <c r="J508" s="30">
        <f t="shared" si="25"/>
        <v>50000</v>
      </c>
      <c r="K508" s="31">
        <f>VLOOKUP(C508,DATA!$A$2:$G$243,3,FALSE)</f>
        <v>19.95</v>
      </c>
      <c r="L508" s="31">
        <f>VLOOKUP(C508,DATA!$A$2:$G$243,4,FALSE)</f>
        <v>7.98</v>
      </c>
      <c r="M508" s="31">
        <f t="shared" si="26"/>
        <v>15.96</v>
      </c>
      <c r="N508" s="25" t="str">
        <f>VLOOKUP(C508,DATA!$A$2:$G$243,6,FALSE)</f>
        <v>Luxury Leather Laces</v>
      </c>
    </row>
    <row r="509" spans="1:14">
      <c r="A509" s="9" t="s">
        <v>647</v>
      </c>
      <c r="B509" s="42">
        <v>42979</v>
      </c>
      <c r="C509" s="55" t="s">
        <v>431</v>
      </c>
      <c r="D509" s="9">
        <v>45</v>
      </c>
      <c r="E509" s="8">
        <v>2</v>
      </c>
      <c r="F509" s="9" t="s">
        <v>649</v>
      </c>
      <c r="G509" s="29" t="str">
        <f>VLOOKUP(C509,DATA!$A$2:$G$243,2,FALSE)</f>
        <v>Black Luxury Leather Laces - GoldPlated</v>
      </c>
      <c r="H509" s="30">
        <f t="shared" si="24"/>
        <v>2</v>
      </c>
      <c r="I509" s="30">
        <f>VLOOKUP(C509,DATA!$A$2:$G$243,5,FALSE)</f>
        <v>25000</v>
      </c>
      <c r="J509" s="30">
        <f t="shared" si="25"/>
        <v>50000</v>
      </c>
      <c r="K509" s="31">
        <f>VLOOKUP(C509,DATA!$A$2:$G$243,3,FALSE)</f>
        <v>19.95</v>
      </c>
      <c r="L509" s="31">
        <f>VLOOKUP(C509,DATA!$A$2:$G$243,4,FALSE)</f>
        <v>7.98</v>
      </c>
      <c r="M509" s="31">
        <f t="shared" si="26"/>
        <v>15.96</v>
      </c>
      <c r="N509" s="25" t="str">
        <f>VLOOKUP(C509,DATA!$A$2:$G$243,6,FALSE)</f>
        <v>Luxury Leather Laces</v>
      </c>
    </row>
    <row r="510" spans="1:14">
      <c r="A510" s="9" t="s">
        <v>647</v>
      </c>
      <c r="B510" s="42">
        <v>42979</v>
      </c>
      <c r="C510" s="55" t="s">
        <v>431</v>
      </c>
      <c r="D510" s="9">
        <v>54</v>
      </c>
      <c r="E510" s="8">
        <v>2</v>
      </c>
      <c r="F510" s="9" t="s">
        <v>649</v>
      </c>
      <c r="G510" s="29" t="str">
        <f>VLOOKUP(C510,DATA!$A$2:$G$243,2,FALSE)</f>
        <v>Black Luxury Leather Laces - GoldPlated</v>
      </c>
      <c r="H510" s="30">
        <f t="shared" si="24"/>
        <v>2</v>
      </c>
      <c r="I510" s="30">
        <f>VLOOKUP(C510,DATA!$A$2:$G$243,5,FALSE)</f>
        <v>25000</v>
      </c>
      <c r="J510" s="30">
        <f t="shared" si="25"/>
        <v>50000</v>
      </c>
      <c r="K510" s="31">
        <f>VLOOKUP(C510,DATA!$A$2:$G$243,3,FALSE)</f>
        <v>19.95</v>
      </c>
      <c r="L510" s="31">
        <f>VLOOKUP(C510,DATA!$A$2:$G$243,4,FALSE)</f>
        <v>7.98</v>
      </c>
      <c r="M510" s="31">
        <f t="shared" si="26"/>
        <v>15.96</v>
      </c>
      <c r="N510" s="25" t="str">
        <f>VLOOKUP(C510,DATA!$A$2:$G$243,6,FALSE)</f>
        <v>Luxury Leather Laces</v>
      </c>
    </row>
    <row r="511" spans="1:14">
      <c r="A511" s="9" t="s">
        <v>647</v>
      </c>
      <c r="B511" s="42">
        <v>42979</v>
      </c>
      <c r="C511" s="55" t="s">
        <v>431</v>
      </c>
      <c r="D511" s="9">
        <v>63</v>
      </c>
      <c r="E511" s="8">
        <v>2</v>
      </c>
      <c r="F511" s="9" t="s">
        <v>649</v>
      </c>
      <c r="G511" s="29" t="str">
        <f>VLOOKUP(C511,DATA!$A$2:$G$243,2,FALSE)</f>
        <v>Black Luxury Leather Laces - GoldPlated</v>
      </c>
      <c r="H511" s="30">
        <f t="shared" si="24"/>
        <v>2</v>
      </c>
      <c r="I511" s="30">
        <f>VLOOKUP(C511,DATA!$A$2:$G$243,5,FALSE)</f>
        <v>25000</v>
      </c>
      <c r="J511" s="30">
        <f t="shared" si="25"/>
        <v>50000</v>
      </c>
      <c r="K511" s="31">
        <f>VLOOKUP(C511,DATA!$A$2:$G$243,3,FALSE)</f>
        <v>19.95</v>
      </c>
      <c r="L511" s="31">
        <f>VLOOKUP(C511,DATA!$A$2:$G$243,4,FALSE)</f>
        <v>7.98</v>
      </c>
      <c r="M511" s="31">
        <f t="shared" si="26"/>
        <v>15.96</v>
      </c>
      <c r="N511" s="25" t="str">
        <f>VLOOKUP(C511,DATA!$A$2:$G$243,6,FALSE)</f>
        <v>Luxury Leather Laces</v>
      </c>
    </row>
    <row r="512" spans="1:14">
      <c r="A512" s="9" t="s">
        <v>647</v>
      </c>
      <c r="B512" s="42">
        <v>42979</v>
      </c>
      <c r="C512" s="43" t="s">
        <v>652</v>
      </c>
      <c r="D512" s="9">
        <v>36</v>
      </c>
      <c r="E512" s="8">
        <v>2</v>
      </c>
      <c r="F512" s="9" t="s">
        <v>649</v>
      </c>
      <c r="G512" s="29" t="str">
        <f>VLOOKUP(C512,DATA!$A$2:$G$243,2,FALSE)</f>
        <v>Grey/Black Multi-Color Flat Laces</v>
      </c>
      <c r="H512" s="30">
        <f t="shared" si="24"/>
        <v>2</v>
      </c>
      <c r="I512" s="30">
        <f>VLOOKUP(C512,DATA!$A$2:$G$243,5,FALSE)</f>
        <v>11000</v>
      </c>
      <c r="J512" s="30">
        <f t="shared" si="25"/>
        <v>22000</v>
      </c>
      <c r="K512" s="31">
        <f>VLOOKUP(C512,DATA!$A$2:$G$243,3,FALSE)</f>
        <v>5.95</v>
      </c>
      <c r="L512" s="31">
        <f>VLOOKUP(C512,DATA!$A$2:$G$243,4,FALSE)</f>
        <v>2.3800000000000003</v>
      </c>
      <c r="M512" s="31">
        <f t="shared" si="26"/>
        <v>4.7600000000000007</v>
      </c>
      <c r="N512" s="25" t="str">
        <f>VLOOKUP(C512,DATA!$A$2:$G$243,6,FALSE)</f>
        <v>Multi-Color Flat Laces</v>
      </c>
    </row>
    <row r="513" spans="1:14">
      <c r="A513" s="9" t="s">
        <v>647</v>
      </c>
      <c r="B513" s="42">
        <v>42979</v>
      </c>
      <c r="C513" s="43" t="s">
        <v>652</v>
      </c>
      <c r="D513" s="9">
        <v>41</v>
      </c>
      <c r="E513" s="8">
        <v>2</v>
      </c>
      <c r="F513" s="9" t="s">
        <v>649</v>
      </c>
      <c r="G513" s="29" t="str">
        <f>VLOOKUP(C513,DATA!$A$2:$G$243,2,FALSE)</f>
        <v>Grey/Black Multi-Color Flat Laces</v>
      </c>
      <c r="H513" s="30">
        <f t="shared" si="24"/>
        <v>2</v>
      </c>
      <c r="I513" s="30">
        <f>VLOOKUP(C513,DATA!$A$2:$G$243,5,FALSE)</f>
        <v>11000</v>
      </c>
      <c r="J513" s="30">
        <f t="shared" ref="J513:J529" si="27">I513*E513</f>
        <v>22000</v>
      </c>
      <c r="K513" s="31">
        <f>VLOOKUP(C513,DATA!$A$2:$G$243,3,FALSE)</f>
        <v>5.95</v>
      </c>
      <c r="L513" s="31">
        <f>VLOOKUP(C513,DATA!$A$2:$G$243,4,FALSE)</f>
        <v>2.3800000000000003</v>
      </c>
      <c r="M513" s="31">
        <f t="shared" ref="M513:M529" si="28">L513*E513</f>
        <v>4.7600000000000007</v>
      </c>
      <c r="N513" s="25" t="str">
        <f>VLOOKUP(C513,DATA!$A$2:$G$243,6,FALSE)</f>
        <v>Multi-Color Flat Laces</v>
      </c>
    </row>
    <row r="514" spans="1:14">
      <c r="A514" s="9" t="s">
        <v>647</v>
      </c>
      <c r="B514" s="42">
        <v>42979</v>
      </c>
      <c r="C514" s="43" t="s">
        <v>653</v>
      </c>
      <c r="D514" s="9">
        <v>36</v>
      </c>
      <c r="E514" s="8">
        <v>2</v>
      </c>
      <c r="F514" s="9" t="s">
        <v>649</v>
      </c>
      <c r="G514" s="29" t="str">
        <f>VLOOKUP(C514,DATA!$A$2:$G$243,2,FALSE)</f>
        <v>Black/Red Multi-Color Flat Laces</v>
      </c>
      <c r="H514" s="30">
        <f t="shared" si="24"/>
        <v>2</v>
      </c>
      <c r="I514" s="30">
        <f>VLOOKUP(C514,DATA!$A$2:$G$243,5,FALSE)</f>
        <v>11000</v>
      </c>
      <c r="J514" s="30">
        <f t="shared" si="27"/>
        <v>22000</v>
      </c>
      <c r="K514" s="31">
        <f>VLOOKUP(C514,DATA!$A$2:$G$243,3,FALSE)</f>
        <v>5.95</v>
      </c>
      <c r="L514" s="31">
        <f>VLOOKUP(C514,DATA!$A$2:$G$243,4,FALSE)</f>
        <v>0</v>
      </c>
      <c r="M514" s="31">
        <f t="shared" si="28"/>
        <v>0</v>
      </c>
      <c r="N514" s="25" t="str">
        <f>VLOOKUP(C514,DATA!$A$2:$G$243,6,FALSE)</f>
        <v>Multi-Color Flat Laces</v>
      </c>
    </row>
    <row r="515" spans="1:14">
      <c r="A515" s="9" t="s">
        <v>647</v>
      </c>
      <c r="B515" s="42">
        <v>42979</v>
      </c>
      <c r="C515" s="43" t="s">
        <v>653</v>
      </c>
      <c r="D515" s="9">
        <v>41</v>
      </c>
      <c r="E515" s="8">
        <v>2</v>
      </c>
      <c r="F515" s="9" t="s">
        <v>649</v>
      </c>
      <c r="G515" s="29" t="str">
        <f>VLOOKUP(C515,DATA!$A$2:$G$243,2,FALSE)</f>
        <v>Black/Red Multi-Color Flat Laces</v>
      </c>
      <c r="H515" s="30">
        <f t="shared" si="24"/>
        <v>2</v>
      </c>
      <c r="I515" s="30">
        <f>VLOOKUP(C515,DATA!$A$2:$G$243,5,FALSE)</f>
        <v>11000</v>
      </c>
      <c r="J515" s="30">
        <f t="shared" si="27"/>
        <v>22000</v>
      </c>
      <c r="K515" s="31">
        <f>VLOOKUP(C515,DATA!$A$2:$G$243,3,FALSE)</f>
        <v>5.95</v>
      </c>
      <c r="L515" s="31">
        <f>VLOOKUP(C515,DATA!$A$2:$G$243,4,FALSE)</f>
        <v>0</v>
      </c>
      <c r="M515" s="31">
        <f t="shared" si="28"/>
        <v>0</v>
      </c>
      <c r="N515" s="25" t="str">
        <f>VLOOKUP(C515,DATA!$A$2:$G$243,6,FALSE)</f>
        <v>Multi-Color Flat Laces</v>
      </c>
    </row>
    <row r="516" spans="1:14">
      <c r="A516" s="9" t="s">
        <v>647</v>
      </c>
      <c r="B516" s="42">
        <v>42979</v>
      </c>
      <c r="C516" s="43" t="s">
        <v>654</v>
      </c>
      <c r="D516" s="9">
        <v>36</v>
      </c>
      <c r="E516" s="8">
        <v>2</v>
      </c>
      <c r="F516" s="9" t="s">
        <v>649</v>
      </c>
      <c r="G516" s="29" t="str">
        <f>VLOOKUP(C516,DATA!$A$2:$G$243,2,FALSE)</f>
        <v>Black/White Multi-Color Flat Laces</v>
      </c>
      <c r="H516" s="30">
        <f t="shared" si="24"/>
        <v>2</v>
      </c>
      <c r="I516" s="30">
        <f>VLOOKUP(C516,DATA!$A$2:$G$243,5,FALSE)</f>
        <v>11000</v>
      </c>
      <c r="J516" s="30">
        <f t="shared" si="27"/>
        <v>22000</v>
      </c>
      <c r="K516" s="31">
        <f>VLOOKUP(C516,DATA!$A$2:$G$243,3,FALSE)</f>
        <v>5.95</v>
      </c>
      <c r="L516" s="31">
        <f>VLOOKUP(C516,DATA!$A$2:$G$243,4,FALSE)</f>
        <v>0</v>
      </c>
      <c r="M516" s="31">
        <f t="shared" si="28"/>
        <v>0</v>
      </c>
      <c r="N516" s="25" t="str">
        <f>VLOOKUP(C516,DATA!$A$2:$G$243,6,FALSE)</f>
        <v>Multi-Color Flat Laces</v>
      </c>
    </row>
    <row r="517" spans="1:14">
      <c r="A517" s="9" t="s">
        <v>647</v>
      </c>
      <c r="B517" s="42">
        <v>42979</v>
      </c>
      <c r="C517" s="43" t="s">
        <v>654</v>
      </c>
      <c r="D517" s="9">
        <v>41</v>
      </c>
      <c r="E517" s="8">
        <v>2</v>
      </c>
      <c r="F517" s="9" t="s">
        <v>649</v>
      </c>
      <c r="G517" s="29" t="str">
        <f>VLOOKUP(C517,DATA!$A$2:$G$243,2,FALSE)</f>
        <v>Black/White Multi-Color Flat Laces</v>
      </c>
      <c r="H517" s="30">
        <f t="shared" ref="H517:H527" si="29">IF(F517="입",E517,-1*E517)</f>
        <v>2</v>
      </c>
      <c r="I517" s="30">
        <f>VLOOKUP(C517,DATA!$A$2:$G$243,5,FALSE)</f>
        <v>11000</v>
      </c>
      <c r="J517" s="30">
        <f t="shared" si="27"/>
        <v>22000</v>
      </c>
      <c r="K517" s="31">
        <f>VLOOKUP(C517,DATA!$A$2:$G$243,3,FALSE)</f>
        <v>5.95</v>
      </c>
      <c r="L517" s="31">
        <f>VLOOKUP(C517,DATA!$A$2:$G$243,4,FALSE)</f>
        <v>0</v>
      </c>
      <c r="M517" s="31">
        <f t="shared" si="28"/>
        <v>0</v>
      </c>
      <c r="N517" s="25" t="str">
        <f>VLOOKUP(C517,DATA!$A$2:$G$243,6,FALSE)</f>
        <v>Multi-Color Flat Laces</v>
      </c>
    </row>
    <row r="518" spans="1:14">
      <c r="A518" s="9" t="s">
        <v>647</v>
      </c>
      <c r="B518" s="42">
        <v>42979</v>
      </c>
      <c r="C518" s="43" t="s">
        <v>655</v>
      </c>
      <c r="D518" s="9">
        <v>36</v>
      </c>
      <c r="E518" s="8">
        <v>2</v>
      </c>
      <c r="F518" s="9" t="s">
        <v>649</v>
      </c>
      <c r="G518" s="29" t="str">
        <f>VLOOKUP(C518,DATA!$A$2:$G$243,2,FALSE)</f>
        <v>Grey/White Multi-Color Flat Laces</v>
      </c>
      <c r="H518" s="30">
        <f t="shared" si="29"/>
        <v>2</v>
      </c>
      <c r="I518" s="30">
        <f>VLOOKUP(C518,DATA!$A$2:$G$243,5,FALSE)</f>
        <v>11000</v>
      </c>
      <c r="J518" s="30">
        <f t="shared" si="27"/>
        <v>22000</v>
      </c>
      <c r="K518" s="31">
        <f>VLOOKUP(C518,DATA!$A$2:$G$243,3,FALSE)</f>
        <v>5.95</v>
      </c>
      <c r="L518" s="31">
        <f>VLOOKUP(C518,DATA!$A$2:$G$243,4,FALSE)</f>
        <v>0</v>
      </c>
      <c r="M518" s="31">
        <f t="shared" si="28"/>
        <v>0</v>
      </c>
      <c r="N518" s="25" t="str">
        <f>VLOOKUP(C518,DATA!$A$2:$G$243,6,FALSE)</f>
        <v>Multi-Color Flat Laces</v>
      </c>
    </row>
    <row r="519" spans="1:14">
      <c r="A519" s="9" t="s">
        <v>647</v>
      </c>
      <c r="B519" s="42">
        <v>42979</v>
      </c>
      <c r="C519" s="43" t="s">
        <v>655</v>
      </c>
      <c r="D519" s="9">
        <v>41</v>
      </c>
      <c r="E519" s="8">
        <v>2</v>
      </c>
      <c r="F519" s="9" t="s">
        <v>649</v>
      </c>
      <c r="G519" s="29" t="str">
        <f>VLOOKUP(C519,DATA!$A$2:$G$243,2,FALSE)</f>
        <v>Grey/White Multi-Color Flat Laces</v>
      </c>
      <c r="H519" s="30">
        <f t="shared" si="29"/>
        <v>2</v>
      </c>
      <c r="I519" s="30">
        <f>VLOOKUP(C519,DATA!$A$2:$G$243,5,FALSE)</f>
        <v>11000</v>
      </c>
      <c r="J519" s="30">
        <f t="shared" si="27"/>
        <v>22000</v>
      </c>
      <c r="K519" s="31">
        <f>VLOOKUP(C519,DATA!$A$2:$G$243,3,FALSE)</f>
        <v>5.95</v>
      </c>
      <c r="L519" s="31">
        <f>VLOOKUP(C519,DATA!$A$2:$G$243,4,FALSE)</f>
        <v>0</v>
      </c>
      <c r="M519" s="31">
        <f t="shared" si="28"/>
        <v>0</v>
      </c>
      <c r="N519" s="25" t="str">
        <f>VLOOKUP(C519,DATA!$A$2:$G$243,6,FALSE)</f>
        <v>Multi-Color Flat Laces</v>
      </c>
    </row>
    <row r="520" spans="1:14">
      <c r="A520" s="9" t="s">
        <v>647</v>
      </c>
      <c r="B520" s="42">
        <v>42979</v>
      </c>
      <c r="C520" s="43" t="s">
        <v>656</v>
      </c>
      <c r="D520" s="9">
        <v>36</v>
      </c>
      <c r="E520" s="8">
        <v>2</v>
      </c>
      <c r="F520" s="9" t="s">
        <v>649</v>
      </c>
      <c r="G520" s="29" t="str">
        <f>VLOOKUP(C520,DATA!$A$2:$G$243,2,FALSE)</f>
        <v>Beige/White Multi-Color Flat Laces</v>
      </c>
      <c r="H520" s="30">
        <f t="shared" si="29"/>
        <v>2</v>
      </c>
      <c r="I520" s="30">
        <f>VLOOKUP(C520,DATA!$A$2:$G$243,5,FALSE)</f>
        <v>11000</v>
      </c>
      <c r="J520" s="30">
        <f t="shared" si="27"/>
        <v>22000</v>
      </c>
      <c r="K520" s="31">
        <f>VLOOKUP(C520,DATA!$A$2:$G$243,3,FALSE)</f>
        <v>5.95</v>
      </c>
      <c r="L520" s="31">
        <f>VLOOKUP(C520,DATA!$A$2:$G$243,4,FALSE)</f>
        <v>0</v>
      </c>
      <c r="M520" s="31">
        <f t="shared" si="28"/>
        <v>0</v>
      </c>
      <c r="N520" s="25" t="str">
        <f>VLOOKUP(C520,DATA!$A$2:$G$243,6,FALSE)</f>
        <v>Multi-Color Flat Laces</v>
      </c>
    </row>
    <row r="521" spans="1:14">
      <c r="A521" s="9" t="s">
        <v>647</v>
      </c>
      <c r="B521" s="42">
        <v>42979</v>
      </c>
      <c r="C521" s="43" t="s">
        <v>656</v>
      </c>
      <c r="D521" s="9">
        <v>41</v>
      </c>
      <c r="E521" s="8">
        <v>2</v>
      </c>
      <c r="F521" s="9" t="s">
        <v>649</v>
      </c>
      <c r="G521" s="29" t="str">
        <f>VLOOKUP(C521,DATA!$A$2:$G$243,2,FALSE)</f>
        <v>Beige/White Multi-Color Flat Laces</v>
      </c>
      <c r="H521" s="30">
        <f t="shared" si="29"/>
        <v>2</v>
      </c>
      <c r="I521" s="30">
        <f>VLOOKUP(C521,DATA!$A$2:$G$243,5,FALSE)</f>
        <v>11000</v>
      </c>
      <c r="J521" s="30">
        <f t="shared" si="27"/>
        <v>22000</v>
      </c>
      <c r="K521" s="31">
        <f>VLOOKUP(C521,DATA!$A$2:$G$243,3,FALSE)</f>
        <v>5.95</v>
      </c>
      <c r="L521" s="31">
        <f>VLOOKUP(C521,DATA!$A$2:$G$243,4,FALSE)</f>
        <v>0</v>
      </c>
      <c r="M521" s="31">
        <f t="shared" si="28"/>
        <v>0</v>
      </c>
      <c r="N521" s="25" t="str">
        <f>VLOOKUP(C521,DATA!$A$2:$G$243,6,FALSE)</f>
        <v>Multi-Color Flat Laces</v>
      </c>
    </row>
    <row r="522" spans="1:14">
      <c r="A522" s="9" t="s">
        <v>647</v>
      </c>
      <c r="B522" s="42">
        <v>42979</v>
      </c>
      <c r="C522" s="55" t="s">
        <v>663</v>
      </c>
      <c r="D522" s="9">
        <v>45</v>
      </c>
      <c r="E522" s="8">
        <v>2</v>
      </c>
      <c r="F522" s="9" t="s">
        <v>649</v>
      </c>
      <c r="G522" s="29" t="str">
        <f>VLOOKUP(C522,DATA!$A$2:$G$243,2,FALSE)</f>
        <v>Sapphire - Reflective Flat Laces 2.0</v>
      </c>
      <c r="H522" s="30">
        <f t="shared" si="29"/>
        <v>2</v>
      </c>
      <c r="I522" s="30">
        <f>VLOOKUP(C522,DATA!$A$2:$G$243,5,FALSE)</f>
        <v>11000</v>
      </c>
      <c r="J522" s="30">
        <f t="shared" si="27"/>
        <v>22000</v>
      </c>
      <c r="K522" s="31">
        <f>VLOOKUP(C522,DATA!$A$2:$G$243,3,FALSE)</f>
        <v>6.95</v>
      </c>
      <c r="L522" s="31">
        <f>VLOOKUP(C522,DATA!$A$2:$G$243,4,FALSE)</f>
        <v>0</v>
      </c>
      <c r="M522" s="31">
        <f t="shared" si="28"/>
        <v>0</v>
      </c>
      <c r="N522" s="25" t="str">
        <f>VLOOKUP(C522,DATA!$A$2:$G$243,6,FALSE)</f>
        <v>Reflective Flat Laces</v>
      </c>
    </row>
    <row r="523" spans="1:14">
      <c r="A523" s="9" t="s">
        <v>647</v>
      </c>
      <c r="B523" s="42">
        <v>42979</v>
      </c>
      <c r="C523" s="55" t="s">
        <v>663</v>
      </c>
      <c r="D523" s="9">
        <v>54</v>
      </c>
      <c r="E523" s="8">
        <v>2</v>
      </c>
      <c r="F523" s="9" t="s">
        <v>649</v>
      </c>
      <c r="G523" s="29" t="str">
        <f>VLOOKUP(C523,DATA!$A$2:$G$243,2,FALSE)</f>
        <v>Sapphire - Reflective Flat Laces 2.0</v>
      </c>
      <c r="H523" s="30">
        <f t="shared" ref="H523:H530" si="30">IF(F523="입",E523,-1*E523)</f>
        <v>2</v>
      </c>
      <c r="I523" s="30">
        <f>VLOOKUP(C523,DATA!$A$2:$G$243,5,FALSE)</f>
        <v>11000</v>
      </c>
      <c r="J523" s="30">
        <f t="shared" si="27"/>
        <v>22000</v>
      </c>
      <c r="K523" s="31">
        <f>VLOOKUP(C523,DATA!$A$2:$G$243,3,FALSE)</f>
        <v>6.95</v>
      </c>
      <c r="L523" s="31">
        <f>VLOOKUP(C523,DATA!$A$2:$G$243,4,FALSE)</f>
        <v>0</v>
      </c>
      <c r="M523" s="31">
        <f t="shared" si="28"/>
        <v>0</v>
      </c>
      <c r="N523" s="25" t="str">
        <f>VLOOKUP(C523,DATA!$A$2:$G$243,6,FALSE)</f>
        <v>Reflective Flat Laces</v>
      </c>
    </row>
    <row r="524" spans="1:14">
      <c r="A524" s="9" t="s">
        <v>647</v>
      </c>
      <c r="B524" s="42">
        <v>42979</v>
      </c>
      <c r="C524" s="55" t="s">
        <v>674</v>
      </c>
      <c r="D524" s="9">
        <v>45</v>
      </c>
      <c r="E524" s="8">
        <v>2</v>
      </c>
      <c r="F524" s="9" t="s">
        <v>649</v>
      </c>
      <c r="G524" s="29" t="str">
        <f>VLOOKUP(C524,DATA!$A$2:$G$243,2,FALSE)</f>
        <v>Navy Blue - Reflective Flat Laces 2.0</v>
      </c>
      <c r="H524" s="30">
        <f t="shared" si="30"/>
        <v>2</v>
      </c>
      <c r="I524" s="30">
        <f>VLOOKUP(C524,DATA!$A$2:$G$243,5,FALSE)</f>
        <v>11000</v>
      </c>
      <c r="J524" s="30">
        <f t="shared" si="27"/>
        <v>22000</v>
      </c>
      <c r="K524" s="31">
        <f>VLOOKUP(C524,DATA!$A$2:$G$243,3,FALSE)</f>
        <v>6.95</v>
      </c>
      <c r="L524" s="31">
        <f>VLOOKUP(C524,DATA!$A$2:$G$243,4,FALSE)</f>
        <v>0</v>
      </c>
      <c r="M524" s="31">
        <f t="shared" si="28"/>
        <v>0</v>
      </c>
      <c r="N524" s="25" t="str">
        <f>VLOOKUP(C524,DATA!$A$2:$G$243,6,FALSE)</f>
        <v>Reflective Flat Laces</v>
      </c>
    </row>
    <row r="525" spans="1:14">
      <c r="A525" s="9" t="s">
        <v>647</v>
      </c>
      <c r="B525" s="42">
        <v>42979</v>
      </c>
      <c r="C525" s="55" t="s">
        <v>669</v>
      </c>
      <c r="D525" s="9">
        <v>54</v>
      </c>
      <c r="E525" s="8">
        <v>2</v>
      </c>
      <c r="F525" s="9" t="s">
        <v>649</v>
      </c>
      <c r="G525" s="29" t="str">
        <f>VLOOKUP(C525,DATA!$A$2:$G$243,2,FALSE)</f>
        <v>Navy Blue - Reflective Flat Laces 2.0</v>
      </c>
      <c r="H525" s="30">
        <f t="shared" si="30"/>
        <v>2</v>
      </c>
      <c r="I525" s="30">
        <f>VLOOKUP(C525,DATA!$A$2:$G$243,5,FALSE)</f>
        <v>11000</v>
      </c>
      <c r="J525" s="30">
        <f t="shared" si="27"/>
        <v>22000</v>
      </c>
      <c r="K525" s="31">
        <f>VLOOKUP(C525,DATA!$A$2:$G$243,3,FALSE)</f>
        <v>6.95</v>
      </c>
      <c r="L525" s="31">
        <f>VLOOKUP(C525,DATA!$A$2:$G$243,4,FALSE)</f>
        <v>0</v>
      </c>
      <c r="M525" s="31">
        <f t="shared" si="28"/>
        <v>0</v>
      </c>
      <c r="N525" s="25" t="str">
        <f>VLOOKUP(C525,DATA!$A$2:$G$243,6,FALSE)</f>
        <v>Reflective Flat Laces</v>
      </c>
    </row>
    <row r="526" spans="1:14">
      <c r="A526" s="9" t="s">
        <v>647</v>
      </c>
      <c r="B526" s="42">
        <v>42979</v>
      </c>
      <c r="C526" s="55" t="s">
        <v>675</v>
      </c>
      <c r="D526" s="9">
        <v>45</v>
      </c>
      <c r="E526" s="8">
        <v>2</v>
      </c>
      <c r="F526" s="9" t="s">
        <v>649</v>
      </c>
      <c r="G526" s="29" t="str">
        <f>VLOOKUP(C526,DATA!$A$2:$G$243,2,FALSE)</f>
        <v>Olive - Reflective Flat Laces 1.0</v>
      </c>
      <c r="H526" s="30">
        <f t="shared" si="30"/>
        <v>2</v>
      </c>
      <c r="I526" s="30">
        <f>VLOOKUP(C526,DATA!$A$2:$G$243,5,FALSE)</f>
        <v>11000</v>
      </c>
      <c r="J526" s="30">
        <f t="shared" si="27"/>
        <v>22000</v>
      </c>
      <c r="K526" s="31">
        <f>VLOOKUP(C526,DATA!$A$2:$G$243,3,FALSE)</f>
        <v>6.95</v>
      </c>
      <c r="L526" s="31">
        <f>VLOOKUP(C526,DATA!$A$2:$G$243,4,FALSE)</f>
        <v>0</v>
      </c>
      <c r="M526" s="31">
        <f t="shared" si="28"/>
        <v>0</v>
      </c>
      <c r="N526" s="25" t="str">
        <f>VLOOKUP(C526,DATA!$A$2:$G$243,6,FALSE)</f>
        <v>Reflective Flat Laces</v>
      </c>
    </row>
    <row r="527" spans="1:14">
      <c r="A527" s="9" t="s">
        <v>647</v>
      </c>
      <c r="B527" s="42">
        <v>42979</v>
      </c>
      <c r="C527" s="55" t="s">
        <v>675</v>
      </c>
      <c r="D527" s="9">
        <v>54</v>
      </c>
      <c r="E527" s="8">
        <v>2</v>
      </c>
      <c r="F527" s="9" t="s">
        <v>649</v>
      </c>
      <c r="G527" s="29" t="str">
        <f>VLOOKUP(C527,DATA!$A$2:$G$243,2,FALSE)</f>
        <v>Olive - Reflective Flat Laces 1.0</v>
      </c>
      <c r="H527" s="30">
        <f t="shared" si="30"/>
        <v>2</v>
      </c>
      <c r="I527" s="30">
        <f>VLOOKUP(C527,DATA!$A$2:$G$243,5,FALSE)</f>
        <v>11000</v>
      </c>
      <c r="J527" s="30">
        <f t="shared" si="27"/>
        <v>22000</v>
      </c>
      <c r="K527" s="31">
        <f>VLOOKUP(C527,DATA!$A$2:$G$243,3,FALSE)</f>
        <v>6.95</v>
      </c>
      <c r="L527" s="31">
        <f>VLOOKUP(C527,DATA!$A$2:$G$243,4,FALSE)</f>
        <v>0</v>
      </c>
      <c r="M527" s="31">
        <f t="shared" si="28"/>
        <v>0</v>
      </c>
      <c r="N527" s="25" t="str">
        <f>VLOOKUP(C527,DATA!$A$2:$G$243,6,FALSE)</f>
        <v>Reflective Flat Laces</v>
      </c>
    </row>
    <row r="528" spans="1:14">
      <c r="A528" s="9" t="s">
        <v>647</v>
      </c>
      <c r="B528" s="42">
        <v>42979</v>
      </c>
      <c r="C528" s="55" t="s">
        <v>676</v>
      </c>
      <c r="D528" s="9">
        <v>45</v>
      </c>
      <c r="E528" s="8">
        <v>2</v>
      </c>
      <c r="F528" s="9" t="s">
        <v>649</v>
      </c>
      <c r="G528" s="29" t="str">
        <f>VLOOKUP(C528,DATA!$A$2:$G$243,2,FALSE)</f>
        <v>Olive - Reflective Flat Laces 2.0</v>
      </c>
      <c r="H528" s="30">
        <f t="shared" si="30"/>
        <v>2</v>
      </c>
      <c r="I528" s="30">
        <f>VLOOKUP(C528,DATA!$A$2:$G$243,5,FALSE)</f>
        <v>11000</v>
      </c>
      <c r="J528" s="30">
        <f t="shared" si="27"/>
        <v>22000</v>
      </c>
      <c r="K528" s="31">
        <f>VLOOKUP(C528,DATA!$A$2:$G$243,3,FALSE)</f>
        <v>6.95</v>
      </c>
      <c r="L528" s="31">
        <f>VLOOKUP(C528,DATA!$A$2:$G$243,4,FALSE)</f>
        <v>0</v>
      </c>
      <c r="M528" s="31">
        <f t="shared" si="28"/>
        <v>0</v>
      </c>
      <c r="N528" s="25" t="str">
        <f>VLOOKUP(C528,DATA!$A$2:$G$243,6,FALSE)</f>
        <v>Reflective Flat Laces</v>
      </c>
    </row>
    <row r="529" spans="1:14">
      <c r="A529" s="9" t="s">
        <v>647</v>
      </c>
      <c r="B529" s="42">
        <v>42979</v>
      </c>
      <c r="C529" s="55" t="s">
        <v>676</v>
      </c>
      <c r="D529" s="9">
        <v>54</v>
      </c>
      <c r="E529" s="8">
        <v>2</v>
      </c>
      <c r="F529" s="9" t="s">
        <v>649</v>
      </c>
      <c r="G529" s="29" t="str">
        <f>VLOOKUP(C529,DATA!$A$2:$G$243,2,FALSE)</f>
        <v>Olive - Reflective Flat Laces 2.0</v>
      </c>
      <c r="H529" s="30">
        <f t="shared" si="30"/>
        <v>2</v>
      </c>
      <c r="I529" s="30">
        <f>VLOOKUP(C529,DATA!$A$2:$G$243,5,FALSE)</f>
        <v>11000</v>
      </c>
      <c r="J529" s="30">
        <f t="shared" si="27"/>
        <v>22000</v>
      </c>
      <c r="K529" s="31">
        <f>VLOOKUP(C529,DATA!$A$2:$G$243,3,FALSE)</f>
        <v>6.95</v>
      </c>
      <c r="L529" s="31">
        <f>VLOOKUP(C529,DATA!$A$2:$G$243,4,FALSE)</f>
        <v>0</v>
      </c>
      <c r="M529" s="31">
        <f t="shared" si="28"/>
        <v>0</v>
      </c>
      <c r="N529" s="25" t="str">
        <f>VLOOKUP(C529,DATA!$A$2:$G$243,6,FALSE)</f>
        <v>Reflective Flat Laces</v>
      </c>
    </row>
    <row r="530" spans="1:14">
      <c r="G530" s="29"/>
      <c r="H530" s="30">
        <f t="shared" si="30"/>
        <v>0</v>
      </c>
      <c r="I530" s="30"/>
      <c r="J530" s="30"/>
      <c r="K530" s="31"/>
      <c r="L530" s="31"/>
      <c r="M530" s="31"/>
      <c r="N530" s="25"/>
    </row>
    <row r="531" spans="1:14">
      <c r="G531" s="29"/>
      <c r="H531" s="30">
        <f t="shared" si="24"/>
        <v>0</v>
      </c>
      <c r="I531" s="30"/>
      <c r="J531" s="30"/>
      <c r="K531" s="31"/>
      <c r="L531" s="31"/>
      <c r="M531" s="31"/>
      <c r="N531" s="25"/>
    </row>
    <row r="532" spans="1:14">
      <c r="G532" s="29"/>
      <c r="H532" s="30">
        <f t="shared" si="24"/>
        <v>0</v>
      </c>
      <c r="I532" s="30"/>
      <c r="J532" s="30"/>
      <c r="K532" s="31"/>
      <c r="L532" s="31"/>
      <c r="M532" s="31"/>
      <c r="N532" s="25"/>
    </row>
    <row r="533" spans="1:14">
      <c r="G533" s="29"/>
      <c r="H533" s="30">
        <f t="shared" si="24"/>
        <v>0</v>
      </c>
      <c r="I533" s="30"/>
      <c r="J533" s="30"/>
      <c r="K533" s="31"/>
      <c r="L533" s="31"/>
      <c r="M533" s="31"/>
      <c r="N533" s="25"/>
    </row>
    <row r="534" spans="1:14">
      <c r="G534" s="29"/>
      <c r="H534" s="30">
        <f t="shared" si="24"/>
        <v>0</v>
      </c>
      <c r="I534" s="30"/>
      <c r="J534" s="30"/>
      <c r="K534" s="31"/>
      <c r="L534" s="31"/>
      <c r="M534" s="31"/>
      <c r="N534" s="25"/>
    </row>
    <row r="535" spans="1:14">
      <c r="G535" s="29"/>
      <c r="H535" s="30">
        <f t="shared" si="24"/>
        <v>0</v>
      </c>
      <c r="I535" s="30"/>
      <c r="J535" s="30"/>
      <c r="K535" s="31"/>
      <c r="L535" s="31"/>
      <c r="M535" s="31"/>
      <c r="N535" s="25"/>
    </row>
    <row r="536" spans="1:14">
      <c r="G536" s="29"/>
      <c r="H536" s="30">
        <f t="shared" si="24"/>
        <v>0</v>
      </c>
      <c r="I536" s="30"/>
      <c r="J536" s="30"/>
      <c r="K536" s="31"/>
      <c r="L536" s="31"/>
      <c r="M536" s="31"/>
      <c r="N536" s="25"/>
    </row>
    <row r="537" spans="1:14">
      <c r="G537" s="29"/>
      <c r="H537" s="30">
        <f t="shared" si="24"/>
        <v>0</v>
      </c>
      <c r="I537" s="30"/>
      <c r="J537" s="30"/>
      <c r="K537" s="31"/>
      <c r="L537" s="31"/>
      <c r="M537" s="31"/>
      <c r="N537" s="25"/>
    </row>
    <row r="538" spans="1:14">
      <c r="G538" s="29"/>
      <c r="H538" s="30">
        <f t="shared" si="24"/>
        <v>0</v>
      </c>
      <c r="I538" s="30"/>
      <c r="J538" s="30"/>
      <c r="K538" s="31"/>
      <c r="L538" s="31"/>
      <c r="M538" s="31"/>
      <c r="N538" s="25"/>
    </row>
    <row r="539" spans="1:14">
      <c r="G539" s="29"/>
      <c r="H539" s="30">
        <f t="shared" si="24"/>
        <v>0</v>
      </c>
      <c r="I539" s="30"/>
      <c r="J539" s="30"/>
      <c r="K539" s="31"/>
      <c r="L539" s="31"/>
      <c r="M539" s="31"/>
      <c r="N539" s="25"/>
    </row>
    <row r="540" spans="1:14">
      <c r="G540" s="29"/>
      <c r="H540" s="30">
        <f t="shared" si="24"/>
        <v>0</v>
      </c>
      <c r="I540" s="30"/>
      <c r="J540" s="30"/>
      <c r="K540" s="31"/>
      <c r="L540" s="31"/>
      <c r="M540" s="31"/>
      <c r="N540" s="25"/>
    </row>
    <row r="541" spans="1:14">
      <c r="G541" s="29"/>
      <c r="H541" s="30">
        <f t="shared" si="24"/>
        <v>0</v>
      </c>
      <c r="I541" s="30"/>
      <c r="J541" s="30"/>
      <c r="K541" s="31"/>
      <c r="L541" s="31"/>
      <c r="M541" s="31"/>
      <c r="N541" s="25"/>
    </row>
    <row r="542" spans="1:14">
      <c r="G542" s="29"/>
      <c r="H542" s="30">
        <f t="shared" si="24"/>
        <v>0</v>
      </c>
      <c r="I542" s="30"/>
      <c r="J542" s="30"/>
      <c r="K542" s="31"/>
      <c r="L542" s="31"/>
      <c r="M542" s="31"/>
      <c r="N542" s="25"/>
    </row>
    <row r="543" spans="1:14">
      <c r="G543" s="29"/>
      <c r="H543" s="30">
        <f t="shared" si="24"/>
        <v>0</v>
      </c>
      <c r="I543" s="30"/>
      <c r="J543" s="30"/>
      <c r="K543" s="31"/>
      <c r="L543" s="31"/>
      <c r="M543" s="31"/>
      <c r="N543" s="25"/>
    </row>
    <row r="544" spans="1:14">
      <c r="G544" s="29"/>
      <c r="H544" s="30">
        <f t="shared" si="24"/>
        <v>0</v>
      </c>
      <c r="I544" s="30"/>
      <c r="J544" s="30"/>
      <c r="K544" s="31"/>
      <c r="L544" s="31"/>
      <c r="M544" s="31"/>
      <c r="N544" s="25"/>
    </row>
    <row r="545" spans="7:14">
      <c r="G545" s="29"/>
      <c r="H545" s="30">
        <f t="shared" si="24"/>
        <v>0</v>
      </c>
      <c r="I545" s="30"/>
      <c r="J545" s="30"/>
      <c r="K545" s="31"/>
      <c r="L545" s="31"/>
      <c r="M545" s="31"/>
      <c r="N545" s="25"/>
    </row>
    <row r="546" spans="7:14">
      <c r="G546" s="29"/>
      <c r="H546" s="30">
        <f t="shared" si="24"/>
        <v>0</v>
      </c>
      <c r="I546" s="30"/>
      <c r="J546" s="30"/>
      <c r="K546" s="31"/>
      <c r="L546" s="31"/>
      <c r="M546" s="31"/>
      <c r="N546" s="25"/>
    </row>
    <row r="547" spans="7:14">
      <c r="G547" s="29"/>
      <c r="H547" s="30">
        <f t="shared" si="24"/>
        <v>0</v>
      </c>
      <c r="I547" s="30"/>
      <c r="J547" s="30"/>
      <c r="K547" s="31"/>
      <c r="L547" s="31"/>
      <c r="M547" s="31"/>
      <c r="N547" s="25"/>
    </row>
    <row r="548" spans="7:14">
      <c r="G548" s="29"/>
      <c r="H548" s="30">
        <f t="shared" si="24"/>
        <v>0</v>
      </c>
      <c r="I548" s="30"/>
      <c r="J548" s="30"/>
      <c r="K548" s="31"/>
      <c r="L548" s="31"/>
      <c r="M548" s="31"/>
      <c r="N548" s="25"/>
    </row>
    <row r="549" spans="7:14">
      <c r="G549" s="29"/>
      <c r="H549" s="30">
        <f t="shared" si="24"/>
        <v>0</v>
      </c>
      <c r="I549" s="30"/>
      <c r="J549" s="30"/>
      <c r="K549" s="31"/>
      <c r="L549" s="31"/>
      <c r="M549" s="31"/>
      <c r="N549" s="25"/>
    </row>
    <row r="550" spans="7:14">
      <c r="G550" s="29"/>
      <c r="H550" s="30">
        <f t="shared" si="24"/>
        <v>0</v>
      </c>
      <c r="I550" s="30"/>
      <c r="J550" s="30"/>
      <c r="K550" s="31"/>
      <c r="L550" s="31"/>
      <c r="M550" s="31"/>
      <c r="N550" s="25"/>
    </row>
    <row r="551" spans="7:14">
      <c r="G551" s="29"/>
      <c r="H551" s="30">
        <f t="shared" si="24"/>
        <v>0</v>
      </c>
      <c r="I551" s="30"/>
      <c r="J551" s="30"/>
      <c r="K551" s="31"/>
      <c r="L551" s="31"/>
      <c r="M551" s="31"/>
      <c r="N551" s="25"/>
    </row>
    <row r="552" spans="7:14">
      <c r="G552" s="29"/>
      <c r="H552" s="30">
        <f t="shared" si="24"/>
        <v>0</v>
      </c>
      <c r="I552" s="30"/>
      <c r="J552" s="30"/>
      <c r="K552" s="31"/>
      <c r="L552" s="31"/>
      <c r="M552" s="31"/>
      <c r="N552" s="25"/>
    </row>
    <row r="553" spans="7:14">
      <c r="G553" s="29"/>
      <c r="H553" s="30">
        <f t="shared" si="24"/>
        <v>0</v>
      </c>
      <c r="I553" s="30"/>
      <c r="J553" s="30"/>
      <c r="K553" s="31"/>
      <c r="L553" s="31"/>
      <c r="M553" s="31"/>
      <c r="N553" s="25"/>
    </row>
    <row r="554" spans="7:14">
      <c r="G554" s="29"/>
      <c r="H554" s="30">
        <f t="shared" si="24"/>
        <v>0</v>
      </c>
      <c r="I554" s="30"/>
      <c r="J554" s="30"/>
      <c r="K554" s="31"/>
      <c r="L554" s="31"/>
      <c r="M554" s="31"/>
      <c r="N554" s="25"/>
    </row>
    <row r="555" spans="7:14">
      <c r="G555" s="29"/>
      <c r="H555" s="30">
        <f t="shared" ref="H555:H618" si="31">IF(F555="입",E555,-1*E555)</f>
        <v>0</v>
      </c>
      <c r="I555" s="30"/>
      <c r="J555" s="30"/>
      <c r="K555" s="31"/>
      <c r="L555" s="31"/>
      <c r="M555" s="31"/>
      <c r="N555" s="25"/>
    </row>
    <row r="556" spans="7:14">
      <c r="G556" s="29"/>
      <c r="H556" s="30">
        <f t="shared" si="31"/>
        <v>0</v>
      </c>
      <c r="I556" s="30"/>
      <c r="J556" s="30"/>
      <c r="K556" s="31"/>
      <c r="L556" s="31"/>
      <c r="M556" s="31"/>
      <c r="N556" s="25"/>
    </row>
    <row r="557" spans="7:14">
      <c r="G557" s="29"/>
      <c r="H557" s="30">
        <f t="shared" si="31"/>
        <v>0</v>
      </c>
      <c r="I557" s="30"/>
      <c r="J557" s="30"/>
      <c r="K557" s="31"/>
      <c r="L557" s="31"/>
      <c r="M557" s="31"/>
      <c r="N557" s="25"/>
    </row>
    <row r="558" spans="7:14">
      <c r="G558" s="29"/>
      <c r="H558" s="30">
        <f t="shared" si="31"/>
        <v>0</v>
      </c>
      <c r="I558" s="30"/>
      <c r="J558" s="30"/>
      <c r="K558" s="31"/>
      <c r="L558" s="31"/>
      <c r="M558" s="31"/>
      <c r="N558" s="25"/>
    </row>
    <row r="559" spans="7:14">
      <c r="G559" s="29"/>
      <c r="H559" s="30">
        <f t="shared" si="31"/>
        <v>0</v>
      </c>
      <c r="I559" s="30"/>
      <c r="J559" s="30"/>
      <c r="K559" s="31"/>
      <c r="L559" s="31"/>
      <c r="M559" s="31"/>
      <c r="N559" s="25"/>
    </row>
    <row r="560" spans="7:14">
      <c r="G560" s="29"/>
      <c r="H560" s="30">
        <f t="shared" si="31"/>
        <v>0</v>
      </c>
      <c r="I560" s="30"/>
      <c r="J560" s="30"/>
      <c r="K560" s="31"/>
      <c r="L560" s="31"/>
      <c r="M560" s="31"/>
      <c r="N560" s="25"/>
    </row>
    <row r="561" spans="7:14">
      <c r="G561" s="29"/>
      <c r="H561" s="30">
        <f t="shared" si="31"/>
        <v>0</v>
      </c>
      <c r="I561" s="30"/>
      <c r="J561" s="30"/>
      <c r="K561" s="31"/>
      <c r="L561" s="31"/>
      <c r="M561" s="31"/>
      <c r="N561" s="25"/>
    </row>
    <row r="562" spans="7:14">
      <c r="G562" s="29"/>
      <c r="H562" s="30">
        <f t="shared" si="31"/>
        <v>0</v>
      </c>
      <c r="I562" s="30"/>
      <c r="J562" s="30"/>
      <c r="K562" s="31"/>
      <c r="L562" s="31"/>
      <c r="M562" s="31"/>
      <c r="N562" s="25"/>
    </row>
    <row r="563" spans="7:14">
      <c r="G563" s="29"/>
      <c r="H563" s="30">
        <f t="shared" si="31"/>
        <v>0</v>
      </c>
      <c r="I563" s="30"/>
      <c r="J563" s="30"/>
      <c r="K563" s="31"/>
      <c r="L563" s="31"/>
      <c r="M563" s="31"/>
      <c r="N563" s="25"/>
    </row>
    <row r="564" spans="7:14">
      <c r="G564" s="29"/>
      <c r="H564" s="30">
        <f t="shared" si="31"/>
        <v>0</v>
      </c>
      <c r="I564" s="30"/>
      <c r="J564" s="30"/>
      <c r="K564" s="31"/>
      <c r="L564" s="31"/>
      <c r="M564" s="31"/>
      <c r="N564" s="25"/>
    </row>
    <row r="565" spans="7:14">
      <c r="G565" s="29"/>
      <c r="H565" s="30">
        <f t="shared" si="31"/>
        <v>0</v>
      </c>
      <c r="I565" s="30"/>
      <c r="J565" s="30"/>
      <c r="K565" s="31"/>
      <c r="L565" s="31"/>
      <c r="M565" s="31"/>
      <c r="N565" s="25"/>
    </row>
    <row r="566" spans="7:14">
      <c r="G566" s="29"/>
      <c r="H566" s="30">
        <f t="shared" si="31"/>
        <v>0</v>
      </c>
      <c r="I566" s="30"/>
      <c r="J566" s="30"/>
      <c r="K566" s="31"/>
      <c r="L566" s="31"/>
      <c r="M566" s="31"/>
      <c r="N566" s="25"/>
    </row>
    <row r="567" spans="7:14">
      <c r="G567" s="29"/>
      <c r="H567" s="30">
        <f t="shared" si="31"/>
        <v>0</v>
      </c>
      <c r="I567" s="30"/>
      <c r="J567" s="30"/>
      <c r="K567" s="31"/>
      <c r="L567" s="31"/>
      <c r="M567" s="31"/>
      <c r="N567" s="25"/>
    </row>
    <row r="568" spans="7:14">
      <c r="G568" s="29"/>
      <c r="H568" s="30">
        <f t="shared" si="31"/>
        <v>0</v>
      </c>
      <c r="I568" s="30"/>
      <c r="J568" s="30"/>
      <c r="K568" s="31"/>
      <c r="L568" s="31"/>
      <c r="M568" s="31"/>
      <c r="N568" s="25"/>
    </row>
    <row r="569" spans="7:14">
      <c r="G569" s="29"/>
      <c r="H569" s="30">
        <f t="shared" si="31"/>
        <v>0</v>
      </c>
      <c r="I569" s="30"/>
      <c r="J569" s="30"/>
      <c r="K569" s="31"/>
      <c r="L569" s="31"/>
      <c r="M569" s="31"/>
      <c r="N569" s="25"/>
    </row>
    <row r="570" spans="7:14">
      <c r="G570" s="29"/>
      <c r="H570" s="30">
        <f t="shared" si="31"/>
        <v>0</v>
      </c>
      <c r="I570" s="30"/>
      <c r="J570" s="30"/>
      <c r="K570" s="31"/>
      <c r="L570" s="31"/>
      <c r="M570" s="31"/>
      <c r="N570" s="25"/>
    </row>
    <row r="571" spans="7:14">
      <c r="G571" s="29"/>
      <c r="H571" s="30">
        <f t="shared" si="31"/>
        <v>0</v>
      </c>
      <c r="I571" s="30"/>
      <c r="J571" s="30"/>
      <c r="K571" s="31"/>
      <c r="L571" s="31"/>
      <c r="M571" s="31"/>
      <c r="N571" s="25"/>
    </row>
    <row r="572" spans="7:14">
      <c r="G572" s="29"/>
      <c r="H572" s="30">
        <f t="shared" si="31"/>
        <v>0</v>
      </c>
      <c r="I572" s="30"/>
      <c r="J572" s="30"/>
      <c r="K572" s="31"/>
      <c r="L572" s="31"/>
      <c r="M572" s="31"/>
      <c r="N572" s="25"/>
    </row>
    <row r="573" spans="7:14">
      <c r="G573" s="29"/>
      <c r="H573" s="30">
        <f t="shared" si="31"/>
        <v>0</v>
      </c>
      <c r="I573" s="30"/>
      <c r="J573" s="30"/>
      <c r="K573" s="31"/>
      <c r="L573" s="31"/>
      <c r="M573" s="31"/>
      <c r="N573" s="25"/>
    </row>
    <row r="574" spans="7:14">
      <c r="G574" s="29"/>
      <c r="H574" s="30">
        <f t="shared" si="31"/>
        <v>0</v>
      </c>
      <c r="I574" s="30"/>
      <c r="J574" s="30"/>
      <c r="K574" s="31"/>
      <c r="L574" s="31"/>
      <c r="M574" s="31"/>
      <c r="N574" s="25"/>
    </row>
    <row r="575" spans="7:14">
      <c r="G575" s="29"/>
      <c r="H575" s="30">
        <f t="shared" si="31"/>
        <v>0</v>
      </c>
      <c r="I575" s="30"/>
      <c r="J575" s="30"/>
      <c r="K575" s="31"/>
      <c r="L575" s="31"/>
      <c r="M575" s="31"/>
      <c r="N575" s="25"/>
    </row>
    <row r="576" spans="7:14">
      <c r="G576" s="29"/>
      <c r="H576" s="30">
        <f t="shared" si="31"/>
        <v>0</v>
      </c>
      <c r="I576" s="30"/>
      <c r="J576" s="30"/>
      <c r="K576" s="31"/>
      <c r="L576" s="31"/>
      <c r="M576" s="31"/>
      <c r="N576" s="25"/>
    </row>
    <row r="577" spans="7:14">
      <c r="G577" s="29"/>
      <c r="H577" s="30">
        <f t="shared" si="31"/>
        <v>0</v>
      </c>
      <c r="I577" s="30"/>
      <c r="J577" s="30"/>
      <c r="K577" s="31"/>
      <c r="L577" s="31"/>
      <c r="M577" s="31"/>
      <c r="N577" s="25"/>
    </row>
    <row r="578" spans="7:14">
      <c r="G578" s="29"/>
      <c r="H578" s="30">
        <f t="shared" si="31"/>
        <v>0</v>
      </c>
      <c r="I578" s="30"/>
      <c r="J578" s="30"/>
      <c r="K578" s="31"/>
      <c r="L578" s="31"/>
      <c r="M578" s="31"/>
      <c r="N578" s="25"/>
    </row>
    <row r="579" spans="7:14">
      <c r="G579" s="29"/>
      <c r="H579" s="30">
        <f t="shared" si="31"/>
        <v>0</v>
      </c>
      <c r="I579" s="30"/>
      <c r="J579" s="30"/>
      <c r="K579" s="31"/>
      <c r="L579" s="31"/>
      <c r="M579" s="31"/>
      <c r="N579" s="25"/>
    </row>
    <row r="580" spans="7:14">
      <c r="G580" s="29"/>
      <c r="H580" s="30">
        <f t="shared" si="31"/>
        <v>0</v>
      </c>
      <c r="I580" s="30"/>
      <c r="J580" s="30"/>
      <c r="K580" s="31"/>
      <c r="L580" s="31"/>
      <c r="M580" s="31"/>
      <c r="N580" s="25"/>
    </row>
    <row r="581" spans="7:14">
      <c r="G581" s="29"/>
      <c r="H581" s="30">
        <f t="shared" si="31"/>
        <v>0</v>
      </c>
      <c r="I581" s="30"/>
      <c r="J581" s="30"/>
      <c r="K581" s="31"/>
      <c r="L581" s="31"/>
      <c r="M581" s="31"/>
      <c r="N581" s="25"/>
    </row>
    <row r="582" spans="7:14">
      <c r="G582" s="29"/>
      <c r="H582" s="30">
        <f t="shared" si="31"/>
        <v>0</v>
      </c>
      <c r="I582" s="30"/>
      <c r="J582" s="30"/>
      <c r="K582" s="31"/>
      <c r="L582" s="31"/>
      <c r="M582" s="31"/>
      <c r="N582" s="25"/>
    </row>
    <row r="583" spans="7:14">
      <c r="G583" s="29"/>
      <c r="H583" s="30">
        <f t="shared" si="31"/>
        <v>0</v>
      </c>
      <c r="I583" s="30"/>
      <c r="J583" s="30"/>
      <c r="K583" s="31"/>
      <c r="L583" s="31"/>
      <c r="M583" s="31"/>
      <c r="N583" s="25"/>
    </row>
    <row r="584" spans="7:14">
      <c r="G584" s="29"/>
      <c r="H584" s="30">
        <f t="shared" si="31"/>
        <v>0</v>
      </c>
      <c r="I584" s="30"/>
      <c r="J584" s="30"/>
      <c r="K584" s="31"/>
      <c r="L584" s="31"/>
      <c r="M584" s="31"/>
      <c r="N584" s="25"/>
    </row>
    <row r="585" spans="7:14">
      <c r="G585" s="29"/>
      <c r="H585" s="30">
        <f t="shared" si="31"/>
        <v>0</v>
      </c>
      <c r="I585" s="30"/>
      <c r="J585" s="30"/>
      <c r="K585" s="31"/>
      <c r="L585" s="31"/>
      <c r="M585" s="31"/>
      <c r="N585" s="25"/>
    </row>
    <row r="586" spans="7:14">
      <c r="G586" s="29"/>
      <c r="H586" s="30">
        <f t="shared" si="31"/>
        <v>0</v>
      </c>
      <c r="I586" s="30"/>
      <c r="J586" s="30"/>
      <c r="K586" s="31"/>
      <c r="L586" s="31"/>
      <c r="M586" s="31"/>
      <c r="N586" s="25"/>
    </row>
    <row r="587" spans="7:14">
      <c r="G587" s="29"/>
      <c r="H587" s="30">
        <f t="shared" si="31"/>
        <v>0</v>
      </c>
      <c r="I587" s="30"/>
      <c r="J587" s="30"/>
      <c r="K587" s="31"/>
      <c r="L587" s="31"/>
      <c r="M587" s="31"/>
      <c r="N587" s="25"/>
    </row>
    <row r="588" spans="7:14">
      <c r="G588" s="29"/>
      <c r="H588" s="30">
        <f t="shared" si="31"/>
        <v>0</v>
      </c>
      <c r="I588" s="30"/>
      <c r="J588" s="30"/>
      <c r="K588" s="31"/>
      <c r="L588" s="31"/>
      <c r="M588" s="31"/>
      <c r="N588" s="25"/>
    </row>
    <row r="589" spans="7:14">
      <c r="G589" s="29"/>
      <c r="H589" s="30">
        <f t="shared" si="31"/>
        <v>0</v>
      </c>
      <c r="I589" s="30"/>
      <c r="J589" s="30"/>
      <c r="K589" s="31"/>
      <c r="L589" s="31"/>
      <c r="M589" s="31"/>
      <c r="N589" s="25"/>
    </row>
    <row r="590" spans="7:14">
      <c r="G590" s="29"/>
      <c r="H590" s="30">
        <f t="shared" si="31"/>
        <v>0</v>
      </c>
      <c r="I590" s="30"/>
      <c r="J590" s="30"/>
      <c r="K590" s="31"/>
      <c r="L590" s="31"/>
      <c r="M590" s="31"/>
      <c r="N590" s="25"/>
    </row>
    <row r="591" spans="7:14">
      <c r="G591" s="29"/>
      <c r="H591" s="30">
        <f t="shared" si="31"/>
        <v>0</v>
      </c>
      <c r="I591" s="30"/>
      <c r="J591" s="30"/>
      <c r="K591" s="31"/>
      <c r="L591" s="31"/>
      <c r="M591" s="31"/>
      <c r="N591" s="25"/>
    </row>
    <row r="592" spans="7:14">
      <c r="G592" s="29"/>
      <c r="H592" s="30">
        <f t="shared" si="31"/>
        <v>0</v>
      </c>
      <c r="I592" s="30"/>
      <c r="J592" s="30"/>
      <c r="K592" s="31"/>
      <c r="L592" s="31"/>
      <c r="M592" s="31"/>
      <c r="N592" s="25"/>
    </row>
    <row r="593" spans="7:14">
      <c r="G593" s="29"/>
      <c r="H593" s="30">
        <f t="shared" si="31"/>
        <v>0</v>
      </c>
      <c r="I593" s="30"/>
      <c r="J593" s="30"/>
      <c r="K593" s="31"/>
      <c r="L593" s="31"/>
      <c r="M593" s="31"/>
      <c r="N593" s="25"/>
    </row>
    <row r="594" spans="7:14">
      <c r="G594" s="29"/>
      <c r="H594" s="30">
        <f t="shared" si="31"/>
        <v>0</v>
      </c>
      <c r="I594" s="30"/>
      <c r="J594" s="30"/>
      <c r="K594" s="31"/>
      <c r="L594" s="31"/>
      <c r="M594" s="31"/>
      <c r="N594" s="25"/>
    </row>
    <row r="595" spans="7:14">
      <c r="G595" s="29"/>
      <c r="H595" s="30">
        <f t="shared" si="31"/>
        <v>0</v>
      </c>
      <c r="I595" s="30"/>
      <c r="J595" s="30"/>
      <c r="K595" s="31"/>
      <c r="L595" s="31"/>
      <c r="M595" s="31"/>
      <c r="N595" s="25"/>
    </row>
    <row r="596" spans="7:14">
      <c r="G596" s="29"/>
      <c r="H596" s="30">
        <f t="shared" si="31"/>
        <v>0</v>
      </c>
      <c r="I596" s="30"/>
      <c r="J596" s="30"/>
      <c r="K596" s="31"/>
      <c r="L596" s="31"/>
      <c r="M596" s="31"/>
      <c r="N596" s="25"/>
    </row>
    <row r="597" spans="7:14">
      <c r="G597" s="29"/>
      <c r="H597" s="30">
        <f t="shared" si="31"/>
        <v>0</v>
      </c>
      <c r="I597" s="30"/>
      <c r="J597" s="30"/>
      <c r="K597" s="31"/>
      <c r="L597" s="31"/>
      <c r="M597" s="31"/>
      <c r="N597" s="25"/>
    </row>
    <row r="598" spans="7:14">
      <c r="G598" s="29"/>
      <c r="H598" s="30">
        <f t="shared" si="31"/>
        <v>0</v>
      </c>
      <c r="I598" s="30"/>
      <c r="J598" s="30"/>
      <c r="K598" s="31"/>
      <c r="L598" s="31"/>
      <c r="M598" s="31"/>
      <c r="N598" s="25"/>
    </row>
    <row r="599" spans="7:14">
      <c r="G599" s="29"/>
      <c r="H599" s="30">
        <f t="shared" si="31"/>
        <v>0</v>
      </c>
      <c r="I599" s="30"/>
      <c r="J599" s="30"/>
      <c r="K599" s="31"/>
      <c r="L599" s="31"/>
      <c r="M599" s="31"/>
      <c r="N599" s="25"/>
    </row>
    <row r="600" spans="7:14">
      <c r="G600" s="29"/>
      <c r="H600" s="30">
        <f t="shared" si="31"/>
        <v>0</v>
      </c>
      <c r="I600" s="30"/>
      <c r="J600" s="30"/>
      <c r="K600" s="31"/>
      <c r="L600" s="31"/>
      <c r="M600" s="31"/>
      <c r="N600" s="25"/>
    </row>
    <row r="601" spans="7:14">
      <c r="G601" s="29"/>
      <c r="H601" s="30">
        <f t="shared" si="31"/>
        <v>0</v>
      </c>
      <c r="I601" s="30"/>
      <c r="J601" s="30"/>
      <c r="K601" s="31"/>
      <c r="L601" s="31"/>
      <c r="M601" s="31"/>
      <c r="N601" s="25"/>
    </row>
    <row r="602" spans="7:14">
      <c r="G602" s="29"/>
      <c r="H602" s="30">
        <f t="shared" si="31"/>
        <v>0</v>
      </c>
      <c r="I602" s="30"/>
      <c r="J602" s="30"/>
      <c r="K602" s="31"/>
      <c r="L602" s="31"/>
      <c r="M602" s="31"/>
      <c r="N602" s="25"/>
    </row>
    <row r="603" spans="7:14">
      <c r="G603" s="29"/>
      <c r="H603" s="30">
        <f t="shared" si="31"/>
        <v>0</v>
      </c>
      <c r="I603" s="30"/>
      <c r="J603" s="30"/>
      <c r="K603" s="31"/>
      <c r="L603" s="31"/>
      <c r="M603" s="31"/>
      <c r="N603" s="25"/>
    </row>
    <row r="604" spans="7:14">
      <c r="G604" s="29"/>
      <c r="H604" s="30">
        <f t="shared" si="31"/>
        <v>0</v>
      </c>
      <c r="I604" s="30"/>
      <c r="J604" s="30"/>
      <c r="K604" s="31"/>
      <c r="L604" s="31"/>
      <c r="M604" s="31"/>
      <c r="N604" s="25"/>
    </row>
    <row r="605" spans="7:14">
      <c r="G605" s="29"/>
      <c r="H605" s="30">
        <f t="shared" si="31"/>
        <v>0</v>
      </c>
      <c r="I605" s="30"/>
      <c r="J605" s="30"/>
      <c r="K605" s="31"/>
      <c r="L605" s="31"/>
      <c r="M605" s="31"/>
      <c r="N605" s="25"/>
    </row>
    <row r="606" spans="7:14">
      <c r="G606" s="29"/>
      <c r="H606" s="30">
        <f t="shared" si="31"/>
        <v>0</v>
      </c>
      <c r="I606" s="30"/>
      <c r="J606" s="30"/>
      <c r="K606" s="31"/>
      <c r="L606" s="31"/>
      <c r="M606" s="31"/>
      <c r="N606" s="25"/>
    </row>
    <row r="607" spans="7:14">
      <c r="G607" s="29"/>
      <c r="H607" s="30">
        <f t="shared" si="31"/>
        <v>0</v>
      </c>
      <c r="I607" s="30"/>
      <c r="J607" s="30"/>
      <c r="K607" s="31"/>
      <c r="L607" s="31"/>
      <c r="M607" s="31"/>
      <c r="N607" s="25"/>
    </row>
    <row r="608" spans="7:14">
      <c r="G608" s="29"/>
      <c r="H608" s="30">
        <f t="shared" si="31"/>
        <v>0</v>
      </c>
      <c r="I608" s="30"/>
      <c r="J608" s="30"/>
      <c r="K608" s="31"/>
      <c r="L608" s="31"/>
      <c r="M608" s="31"/>
      <c r="N608" s="25"/>
    </row>
    <row r="609" spans="7:14">
      <c r="G609" s="29"/>
      <c r="H609" s="30">
        <f t="shared" si="31"/>
        <v>0</v>
      </c>
      <c r="I609" s="30"/>
      <c r="J609" s="30"/>
      <c r="K609" s="31"/>
      <c r="L609" s="31"/>
      <c r="M609" s="31"/>
      <c r="N609" s="25"/>
    </row>
    <row r="610" spans="7:14">
      <c r="G610" s="29"/>
      <c r="H610" s="30">
        <f t="shared" si="31"/>
        <v>0</v>
      </c>
      <c r="I610" s="30"/>
      <c r="J610" s="30"/>
      <c r="K610" s="31"/>
      <c r="L610" s="31"/>
      <c r="M610" s="31"/>
      <c r="N610" s="25"/>
    </row>
    <row r="611" spans="7:14">
      <c r="G611" s="29"/>
      <c r="H611" s="30">
        <f t="shared" si="31"/>
        <v>0</v>
      </c>
      <c r="I611" s="30"/>
      <c r="J611" s="30"/>
      <c r="K611" s="31"/>
      <c r="L611" s="31"/>
      <c r="M611" s="31"/>
      <c r="N611" s="25"/>
    </row>
    <row r="612" spans="7:14">
      <c r="G612" s="29"/>
      <c r="H612" s="30">
        <f t="shared" si="31"/>
        <v>0</v>
      </c>
      <c r="I612" s="30"/>
      <c r="J612" s="30"/>
      <c r="K612" s="31"/>
      <c r="L612" s="31"/>
      <c r="M612" s="31"/>
      <c r="N612" s="25"/>
    </row>
    <row r="613" spans="7:14">
      <c r="G613" s="29"/>
      <c r="H613" s="30">
        <f t="shared" si="31"/>
        <v>0</v>
      </c>
      <c r="I613" s="30"/>
      <c r="J613" s="30"/>
      <c r="K613" s="31"/>
      <c r="L613" s="31"/>
      <c r="M613" s="31"/>
      <c r="N613" s="25"/>
    </row>
    <row r="614" spans="7:14">
      <c r="G614" s="29"/>
      <c r="H614" s="30">
        <f t="shared" si="31"/>
        <v>0</v>
      </c>
      <c r="I614" s="30"/>
      <c r="J614" s="30"/>
      <c r="K614" s="31"/>
      <c r="L614" s="31"/>
      <c r="M614" s="31"/>
      <c r="N614" s="25"/>
    </row>
    <row r="615" spans="7:14">
      <c r="G615" s="29"/>
      <c r="H615" s="30">
        <f t="shared" si="31"/>
        <v>0</v>
      </c>
      <c r="I615" s="30"/>
      <c r="J615" s="30"/>
      <c r="K615" s="31"/>
      <c r="L615" s="31"/>
      <c r="M615" s="31"/>
      <c r="N615" s="25"/>
    </row>
    <row r="616" spans="7:14">
      <c r="G616" s="29"/>
      <c r="H616" s="30">
        <f t="shared" si="31"/>
        <v>0</v>
      </c>
      <c r="I616" s="30"/>
      <c r="J616" s="30"/>
      <c r="K616" s="31"/>
      <c r="L616" s="31"/>
      <c r="M616" s="31"/>
      <c r="N616" s="25"/>
    </row>
    <row r="617" spans="7:14">
      <c r="G617" s="29"/>
      <c r="H617" s="30">
        <f t="shared" si="31"/>
        <v>0</v>
      </c>
      <c r="I617" s="30"/>
      <c r="J617" s="30"/>
      <c r="K617" s="31"/>
      <c r="L617" s="31"/>
      <c r="M617" s="31"/>
      <c r="N617" s="25"/>
    </row>
    <row r="618" spans="7:14">
      <c r="G618" s="29"/>
      <c r="H618" s="30">
        <f t="shared" si="31"/>
        <v>0</v>
      </c>
      <c r="I618" s="30"/>
      <c r="J618" s="30"/>
      <c r="K618" s="31"/>
      <c r="L618" s="31"/>
      <c r="M618" s="31"/>
      <c r="N618" s="25"/>
    </row>
    <row r="619" spans="7:14">
      <c r="G619" s="29"/>
      <c r="H619" s="30">
        <f t="shared" ref="H619:H620" si="32">IF(F619="입",E619,-1*E619)</f>
        <v>0</v>
      </c>
      <c r="I619" s="30"/>
      <c r="J619" s="30"/>
      <c r="K619" s="31"/>
      <c r="L619" s="31"/>
      <c r="M619" s="31"/>
      <c r="N619" s="25"/>
    </row>
    <row r="620" spans="7:14">
      <c r="G620" s="29"/>
      <c r="H620" s="30">
        <f t="shared" si="32"/>
        <v>0</v>
      </c>
      <c r="I620" s="30"/>
      <c r="J620" s="30"/>
      <c r="K620" s="31"/>
      <c r="L620" s="31"/>
      <c r="M620" s="31"/>
      <c r="N620" s="25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509"/>
  <sheetViews>
    <sheetView topLeftCell="A46" workbookViewId="0">
      <selection activeCell="D46" sqref="A1:D1048576"/>
    </sheetView>
  </sheetViews>
  <sheetFormatPr defaultRowHeight="20.25"/>
  <cols>
    <col min="1" max="1" width="13.625" style="9" customWidth="1"/>
    <col min="2" max="2" width="52.875" style="10" customWidth="1"/>
    <col min="3" max="3" width="11" style="10" customWidth="1"/>
    <col min="4" max="4" width="16.625" style="10" customWidth="1"/>
    <col min="5" max="6" width="2.875" style="8" customWidth="1"/>
    <col min="7" max="9" width="2.875" style="9" customWidth="1"/>
    <col min="10" max="10" width="11.25" style="9" customWidth="1"/>
    <col min="11" max="11" width="8.875" style="9" customWidth="1"/>
    <col min="12" max="16384" width="9" style="9"/>
  </cols>
  <sheetData>
    <row r="1" spans="1:11" ht="25.5">
      <c r="A1" s="45" t="s">
        <v>627</v>
      </c>
      <c r="B1" s="43" t="s">
        <v>628</v>
      </c>
      <c r="C1" s="11"/>
      <c r="D1" s="11"/>
      <c r="E1" s="6"/>
      <c r="F1" s="6"/>
      <c r="G1" s="7"/>
      <c r="H1" s="7"/>
      <c r="I1" s="12"/>
      <c r="J1" s="7"/>
    </row>
    <row r="2" spans="1:11">
      <c r="D2" s="11"/>
      <c r="E2" s="6"/>
      <c r="F2" s="6"/>
      <c r="G2" s="7"/>
      <c r="H2" s="7"/>
      <c r="I2" s="7"/>
      <c r="J2" s="7"/>
    </row>
    <row r="3" spans="1:11">
      <c r="A3" s="45" t="s">
        <v>20</v>
      </c>
      <c r="B3" s="45" t="s">
        <v>624</v>
      </c>
      <c r="C3" s="45" t="s">
        <v>640</v>
      </c>
      <c r="D3" s="46" t="s">
        <v>632</v>
      </c>
      <c r="E3"/>
      <c r="F3"/>
      <c r="G3"/>
      <c r="H3"/>
      <c r="I3"/>
      <c r="J3"/>
      <c r="K3"/>
    </row>
    <row r="4" spans="1:11">
      <c r="A4" s="36" t="s">
        <v>481</v>
      </c>
      <c r="B4" s="36" t="s">
        <v>326</v>
      </c>
      <c r="C4" s="36">
        <v>30</v>
      </c>
      <c r="D4" s="15">
        <v>1</v>
      </c>
      <c r="E4"/>
      <c r="F4"/>
      <c r="G4"/>
      <c r="H4"/>
      <c r="I4"/>
      <c r="J4"/>
      <c r="K4"/>
    </row>
    <row r="5" spans="1:11">
      <c r="A5" s="43"/>
      <c r="B5" s="43"/>
      <c r="C5" s="36">
        <v>36</v>
      </c>
      <c r="D5" s="15">
        <v>2</v>
      </c>
      <c r="E5"/>
      <c r="F5"/>
      <c r="G5"/>
      <c r="H5"/>
      <c r="I5"/>
      <c r="J5"/>
      <c r="K5"/>
    </row>
    <row r="6" spans="1:11">
      <c r="A6" s="43"/>
      <c r="B6" s="43"/>
      <c r="C6" s="36">
        <v>41</v>
      </c>
      <c r="D6" s="15">
        <v>2</v>
      </c>
      <c r="E6"/>
      <c r="F6"/>
      <c r="G6"/>
      <c r="H6"/>
      <c r="I6"/>
      <c r="J6"/>
      <c r="K6"/>
    </row>
    <row r="7" spans="1:11">
      <c r="A7" s="43"/>
      <c r="B7" s="43"/>
      <c r="C7" s="36">
        <v>45</v>
      </c>
      <c r="D7" s="15">
        <v>2</v>
      </c>
      <c r="E7"/>
      <c r="F7"/>
      <c r="G7"/>
      <c r="H7"/>
      <c r="I7"/>
      <c r="J7"/>
      <c r="K7"/>
    </row>
    <row r="8" spans="1:11">
      <c r="A8" s="43"/>
      <c r="B8" s="43"/>
      <c r="C8" s="36">
        <v>54</v>
      </c>
      <c r="D8" s="15">
        <v>1</v>
      </c>
      <c r="E8"/>
      <c r="F8"/>
      <c r="G8"/>
      <c r="H8"/>
      <c r="I8"/>
      <c r="J8"/>
      <c r="K8"/>
    </row>
    <row r="9" spans="1:11">
      <c r="A9" s="36" t="s">
        <v>483</v>
      </c>
      <c r="B9" s="36" t="s">
        <v>327</v>
      </c>
      <c r="C9" s="36">
        <v>30</v>
      </c>
      <c r="D9" s="15">
        <v>1</v>
      </c>
      <c r="E9"/>
      <c r="F9"/>
      <c r="G9"/>
      <c r="H9"/>
      <c r="I9"/>
      <c r="J9"/>
      <c r="K9"/>
    </row>
    <row r="10" spans="1:11">
      <c r="A10" s="43"/>
      <c r="B10" s="43"/>
      <c r="C10" s="36">
        <v>36</v>
      </c>
      <c r="D10" s="15">
        <v>2</v>
      </c>
      <c r="E10"/>
      <c r="F10"/>
      <c r="G10"/>
      <c r="H10"/>
      <c r="I10"/>
      <c r="J10"/>
      <c r="K10"/>
    </row>
    <row r="11" spans="1:11">
      <c r="A11" s="43"/>
      <c r="B11" s="43"/>
      <c r="C11" s="36">
        <v>45</v>
      </c>
      <c r="D11" s="15">
        <v>2</v>
      </c>
      <c r="E11"/>
      <c r="F11"/>
      <c r="G11"/>
      <c r="H11"/>
      <c r="I11"/>
      <c r="J11"/>
      <c r="K11"/>
    </row>
    <row r="12" spans="1:11">
      <c r="A12" s="43"/>
      <c r="B12" s="43"/>
      <c r="C12" s="36">
        <v>54</v>
      </c>
      <c r="D12" s="15">
        <v>1</v>
      </c>
      <c r="E12"/>
      <c r="F12"/>
      <c r="G12"/>
      <c r="H12"/>
      <c r="I12"/>
      <c r="J12"/>
      <c r="K12"/>
    </row>
    <row r="13" spans="1:11">
      <c r="A13" s="36" t="s">
        <v>484</v>
      </c>
      <c r="B13" s="36" t="s">
        <v>328</v>
      </c>
      <c r="C13" s="36">
        <v>30</v>
      </c>
      <c r="D13" s="15">
        <v>1</v>
      </c>
      <c r="E13"/>
      <c r="F13"/>
      <c r="G13"/>
      <c r="H13"/>
      <c r="I13"/>
      <c r="J13"/>
      <c r="K13"/>
    </row>
    <row r="14" spans="1:11">
      <c r="A14" s="43"/>
      <c r="B14" s="43"/>
      <c r="C14" s="36">
        <v>36</v>
      </c>
      <c r="D14" s="15">
        <v>2</v>
      </c>
      <c r="E14"/>
      <c r="F14"/>
      <c r="G14"/>
      <c r="H14"/>
      <c r="I14"/>
      <c r="J14"/>
      <c r="K14"/>
    </row>
    <row r="15" spans="1:11">
      <c r="A15" s="43"/>
      <c r="B15" s="43"/>
      <c r="C15" s="36">
        <v>41</v>
      </c>
      <c r="D15" s="15">
        <v>2</v>
      </c>
      <c r="E15"/>
      <c r="F15"/>
      <c r="G15"/>
      <c r="H15"/>
      <c r="I15"/>
      <c r="J15"/>
      <c r="K15"/>
    </row>
    <row r="16" spans="1:11">
      <c r="A16" s="43"/>
      <c r="B16" s="43"/>
      <c r="C16" s="36">
        <v>45</v>
      </c>
      <c r="D16" s="15">
        <v>2</v>
      </c>
      <c r="E16"/>
      <c r="F16"/>
      <c r="G16"/>
      <c r="H16"/>
      <c r="I16"/>
      <c r="J16"/>
      <c r="K16"/>
    </row>
    <row r="17" spans="1:11">
      <c r="A17" s="43"/>
      <c r="B17" s="43"/>
      <c r="C17" s="36">
        <v>54</v>
      </c>
      <c r="D17" s="15">
        <v>1</v>
      </c>
      <c r="E17"/>
      <c r="F17"/>
      <c r="G17"/>
      <c r="H17"/>
      <c r="I17"/>
      <c r="J17"/>
      <c r="K17"/>
    </row>
    <row r="18" spans="1:11">
      <c r="A18" s="36" t="s">
        <v>485</v>
      </c>
      <c r="B18" s="36" t="s">
        <v>329</v>
      </c>
      <c r="C18" s="36">
        <v>30</v>
      </c>
      <c r="D18" s="15">
        <v>1</v>
      </c>
      <c r="E18"/>
      <c r="F18"/>
      <c r="G18"/>
      <c r="H18"/>
      <c r="I18"/>
      <c r="J18"/>
      <c r="K18"/>
    </row>
    <row r="19" spans="1:11">
      <c r="A19" s="43"/>
      <c r="B19" s="43"/>
      <c r="C19" s="36">
        <v>36</v>
      </c>
      <c r="D19" s="15">
        <v>2</v>
      </c>
      <c r="E19"/>
      <c r="F19"/>
      <c r="G19"/>
      <c r="H19"/>
      <c r="I19"/>
      <c r="J19"/>
      <c r="K19"/>
    </row>
    <row r="20" spans="1:11">
      <c r="A20" s="43"/>
      <c r="B20" s="43"/>
      <c r="C20" s="36">
        <v>45</v>
      </c>
      <c r="D20" s="15">
        <v>2</v>
      </c>
      <c r="E20"/>
      <c r="F20"/>
      <c r="G20"/>
      <c r="H20"/>
      <c r="I20"/>
      <c r="J20"/>
      <c r="K20"/>
    </row>
    <row r="21" spans="1:11">
      <c r="A21" s="43"/>
      <c r="B21" s="43"/>
      <c r="C21" s="36">
        <v>54</v>
      </c>
      <c r="D21" s="15">
        <v>1</v>
      </c>
      <c r="E21"/>
      <c r="F21"/>
      <c r="G21"/>
      <c r="H21"/>
      <c r="I21"/>
      <c r="J21"/>
      <c r="K21"/>
    </row>
    <row r="22" spans="1:11">
      <c r="A22" s="36" t="s">
        <v>486</v>
      </c>
      <c r="B22" s="36" t="s">
        <v>330</v>
      </c>
      <c r="C22" s="36">
        <v>54</v>
      </c>
      <c r="D22" s="15">
        <v>1</v>
      </c>
      <c r="E22"/>
      <c r="F22"/>
      <c r="G22"/>
      <c r="H22"/>
      <c r="I22"/>
      <c r="J22"/>
      <c r="K22"/>
    </row>
    <row r="23" spans="1:11">
      <c r="A23" s="36" t="s">
        <v>487</v>
      </c>
      <c r="B23" s="36" t="s">
        <v>331</v>
      </c>
      <c r="C23" s="36">
        <v>36</v>
      </c>
      <c r="D23" s="15">
        <v>2</v>
      </c>
      <c r="E23"/>
      <c r="F23"/>
      <c r="G23"/>
      <c r="H23"/>
      <c r="I23"/>
      <c r="J23"/>
      <c r="K23"/>
    </row>
    <row r="24" spans="1:11">
      <c r="A24" s="43"/>
      <c r="B24" s="43"/>
      <c r="C24" s="36">
        <v>45</v>
      </c>
      <c r="D24" s="15">
        <v>2</v>
      </c>
      <c r="E24"/>
      <c r="F24"/>
      <c r="G24"/>
      <c r="H24"/>
      <c r="I24"/>
      <c r="J24"/>
      <c r="K24"/>
    </row>
    <row r="25" spans="1:11">
      <c r="A25" s="43"/>
      <c r="B25" s="43"/>
      <c r="C25" s="36">
        <v>54</v>
      </c>
      <c r="D25" s="15">
        <v>1</v>
      </c>
      <c r="E25"/>
      <c r="F25"/>
      <c r="G25"/>
      <c r="H25"/>
      <c r="I25"/>
      <c r="J25"/>
      <c r="K25"/>
    </row>
    <row r="26" spans="1:11">
      <c r="A26" s="36" t="s">
        <v>488</v>
      </c>
      <c r="B26" s="36" t="s">
        <v>332</v>
      </c>
      <c r="C26" s="36">
        <v>36</v>
      </c>
      <c r="D26" s="15">
        <v>2</v>
      </c>
      <c r="E26"/>
      <c r="F26"/>
      <c r="G26"/>
      <c r="H26"/>
      <c r="I26"/>
      <c r="J26"/>
      <c r="K26"/>
    </row>
    <row r="27" spans="1:11">
      <c r="A27" s="43"/>
      <c r="B27" s="43"/>
      <c r="C27" s="36">
        <v>45</v>
      </c>
      <c r="D27" s="15">
        <v>2</v>
      </c>
      <c r="E27"/>
      <c r="F27"/>
      <c r="G27"/>
      <c r="H27"/>
      <c r="I27"/>
      <c r="J27"/>
      <c r="K27"/>
    </row>
    <row r="28" spans="1:11">
      <c r="A28" s="43"/>
      <c r="B28" s="43"/>
      <c r="C28" s="36">
        <v>54</v>
      </c>
      <c r="D28" s="15">
        <v>1</v>
      </c>
      <c r="E28"/>
      <c r="F28"/>
      <c r="G28"/>
      <c r="H28"/>
      <c r="I28"/>
      <c r="J28"/>
      <c r="K28"/>
    </row>
    <row r="29" spans="1:11">
      <c r="A29" s="36" t="s">
        <v>489</v>
      </c>
      <c r="B29" s="36" t="s">
        <v>333</v>
      </c>
      <c r="C29" s="36">
        <v>30</v>
      </c>
      <c r="D29" s="15">
        <v>1</v>
      </c>
      <c r="E29"/>
      <c r="F29"/>
      <c r="G29"/>
      <c r="H29"/>
      <c r="I29"/>
      <c r="J29"/>
      <c r="K29"/>
    </row>
    <row r="30" spans="1:11">
      <c r="A30" s="43"/>
      <c r="B30" s="43"/>
      <c r="C30" s="36">
        <v>36</v>
      </c>
      <c r="D30" s="15">
        <v>2</v>
      </c>
      <c r="E30"/>
      <c r="F30"/>
      <c r="G30"/>
      <c r="H30"/>
      <c r="I30"/>
      <c r="J30"/>
      <c r="K30"/>
    </row>
    <row r="31" spans="1:11">
      <c r="A31" s="43"/>
      <c r="B31" s="43"/>
      <c r="C31" s="36">
        <v>45</v>
      </c>
      <c r="D31" s="15">
        <v>2</v>
      </c>
      <c r="E31"/>
      <c r="F31"/>
      <c r="G31"/>
      <c r="H31"/>
      <c r="I31"/>
      <c r="J31"/>
      <c r="K31"/>
    </row>
    <row r="32" spans="1:11">
      <c r="A32" s="43"/>
      <c r="B32" s="43"/>
      <c r="C32" s="36">
        <v>54</v>
      </c>
      <c r="D32" s="15">
        <v>1</v>
      </c>
      <c r="E32"/>
      <c r="F32"/>
      <c r="G32"/>
      <c r="H32"/>
      <c r="I32"/>
      <c r="J32"/>
      <c r="K32"/>
    </row>
    <row r="33" spans="1:11">
      <c r="A33" s="36" t="s">
        <v>490</v>
      </c>
      <c r="B33" s="36" t="s">
        <v>334</v>
      </c>
      <c r="C33" s="36">
        <v>30</v>
      </c>
      <c r="D33" s="15">
        <v>1</v>
      </c>
      <c r="E33"/>
      <c r="F33"/>
      <c r="G33"/>
      <c r="H33"/>
      <c r="I33"/>
      <c r="J33"/>
      <c r="K33"/>
    </row>
    <row r="34" spans="1:11">
      <c r="A34" s="43"/>
      <c r="B34" s="43"/>
      <c r="C34" s="36">
        <v>36</v>
      </c>
      <c r="D34" s="15">
        <v>2</v>
      </c>
      <c r="E34"/>
      <c r="F34"/>
      <c r="G34"/>
      <c r="H34"/>
      <c r="I34"/>
      <c r="J34"/>
      <c r="K34"/>
    </row>
    <row r="35" spans="1:11">
      <c r="A35" s="43"/>
      <c r="B35" s="43"/>
      <c r="C35" s="36">
        <v>45</v>
      </c>
      <c r="D35" s="15">
        <v>2</v>
      </c>
      <c r="E35"/>
      <c r="F35"/>
      <c r="G35"/>
      <c r="H35"/>
      <c r="I35"/>
      <c r="J35"/>
      <c r="K35"/>
    </row>
    <row r="36" spans="1:11">
      <c r="A36" s="43"/>
      <c r="B36" s="43"/>
      <c r="C36" s="36">
        <v>54</v>
      </c>
      <c r="D36" s="15">
        <v>1</v>
      </c>
      <c r="E36"/>
      <c r="F36"/>
      <c r="G36"/>
      <c r="H36"/>
      <c r="I36"/>
      <c r="J36"/>
      <c r="K36"/>
    </row>
    <row r="37" spans="1:11">
      <c r="A37" s="36" t="s">
        <v>491</v>
      </c>
      <c r="B37" s="36" t="s">
        <v>335</v>
      </c>
      <c r="C37" s="36">
        <v>45</v>
      </c>
      <c r="D37" s="15">
        <v>1</v>
      </c>
      <c r="E37"/>
      <c r="F37"/>
      <c r="G37"/>
      <c r="H37"/>
      <c r="I37"/>
      <c r="J37"/>
      <c r="K37"/>
    </row>
    <row r="38" spans="1:11">
      <c r="A38" s="43"/>
      <c r="B38" s="43"/>
      <c r="C38" s="36">
        <v>54</v>
      </c>
      <c r="D38" s="15">
        <v>1</v>
      </c>
      <c r="E38"/>
      <c r="F38"/>
      <c r="G38"/>
      <c r="H38"/>
      <c r="I38"/>
      <c r="J38"/>
      <c r="K38"/>
    </row>
    <row r="39" spans="1:11">
      <c r="A39" s="36" t="s">
        <v>492</v>
      </c>
      <c r="B39" s="36" t="s">
        <v>336</v>
      </c>
      <c r="C39" s="36">
        <v>45</v>
      </c>
      <c r="D39" s="15">
        <v>1</v>
      </c>
      <c r="E39"/>
      <c r="F39"/>
      <c r="G39"/>
      <c r="H39"/>
      <c r="I39"/>
      <c r="J39"/>
      <c r="K39"/>
    </row>
    <row r="40" spans="1:11">
      <c r="A40" s="43"/>
      <c r="B40" s="43"/>
      <c r="C40" s="36">
        <v>54</v>
      </c>
      <c r="D40" s="15">
        <v>1</v>
      </c>
      <c r="E40"/>
      <c r="F40"/>
      <c r="G40"/>
      <c r="H40"/>
      <c r="I40"/>
      <c r="J40"/>
      <c r="K40"/>
    </row>
    <row r="41" spans="1:11">
      <c r="A41" s="36" t="s">
        <v>493</v>
      </c>
      <c r="B41" s="36" t="s">
        <v>337</v>
      </c>
      <c r="C41" s="36">
        <v>54</v>
      </c>
      <c r="D41" s="15">
        <v>1</v>
      </c>
      <c r="E41"/>
      <c r="F41"/>
      <c r="G41"/>
      <c r="H41"/>
      <c r="I41"/>
      <c r="J41"/>
      <c r="K41"/>
    </row>
    <row r="42" spans="1:11">
      <c r="A42" s="36" t="s">
        <v>494</v>
      </c>
      <c r="B42" s="36" t="s">
        <v>338</v>
      </c>
      <c r="C42" s="36">
        <v>30</v>
      </c>
      <c r="D42" s="15">
        <v>1</v>
      </c>
      <c r="E42"/>
      <c r="F42"/>
      <c r="G42"/>
      <c r="H42"/>
      <c r="I42"/>
      <c r="J42"/>
      <c r="K42"/>
    </row>
    <row r="43" spans="1:11">
      <c r="A43" s="43"/>
      <c r="B43" s="43"/>
      <c r="C43" s="36">
        <v>36</v>
      </c>
      <c r="D43" s="15">
        <v>1</v>
      </c>
      <c r="E43"/>
      <c r="F43"/>
      <c r="G43"/>
      <c r="H43"/>
      <c r="I43"/>
      <c r="J43"/>
      <c r="K43"/>
    </row>
    <row r="44" spans="1:11">
      <c r="A44" s="43"/>
      <c r="B44" s="43"/>
      <c r="C44" s="36">
        <v>45</v>
      </c>
      <c r="D44" s="15">
        <v>1</v>
      </c>
      <c r="E44"/>
      <c r="F44"/>
      <c r="G44"/>
      <c r="H44"/>
      <c r="I44"/>
      <c r="J44"/>
      <c r="K44"/>
    </row>
    <row r="45" spans="1:11">
      <c r="A45" s="43"/>
      <c r="B45" s="43"/>
      <c r="C45" s="36">
        <v>54</v>
      </c>
      <c r="D45" s="15">
        <v>1</v>
      </c>
      <c r="E45"/>
      <c r="F45"/>
      <c r="G45"/>
      <c r="H45"/>
      <c r="I45"/>
      <c r="J45"/>
      <c r="K45"/>
    </row>
    <row r="46" spans="1:11">
      <c r="A46" s="36" t="s">
        <v>495</v>
      </c>
      <c r="B46" s="36" t="s">
        <v>339</v>
      </c>
      <c r="C46" s="36">
        <v>36</v>
      </c>
      <c r="D46" s="15">
        <v>1</v>
      </c>
      <c r="E46"/>
      <c r="F46"/>
      <c r="G46"/>
      <c r="H46"/>
      <c r="I46"/>
      <c r="J46"/>
      <c r="K46"/>
    </row>
    <row r="47" spans="1:11">
      <c r="A47" s="43"/>
      <c r="B47" s="43"/>
      <c r="C47" s="36">
        <v>45</v>
      </c>
      <c r="D47" s="15">
        <v>1</v>
      </c>
      <c r="E47"/>
      <c r="F47"/>
      <c r="G47"/>
      <c r="H47"/>
      <c r="I47"/>
      <c r="J47"/>
      <c r="K47"/>
    </row>
    <row r="48" spans="1:11">
      <c r="A48" s="43"/>
      <c r="B48" s="43"/>
      <c r="C48" s="36">
        <v>54</v>
      </c>
      <c r="D48" s="15">
        <v>1</v>
      </c>
      <c r="E48"/>
      <c r="F48"/>
      <c r="G48"/>
      <c r="H48"/>
      <c r="I48"/>
      <c r="J48"/>
      <c r="K48"/>
    </row>
    <row r="49" spans="1:11">
      <c r="A49" s="36" t="s">
        <v>496</v>
      </c>
      <c r="B49" s="36" t="s">
        <v>340</v>
      </c>
      <c r="C49" s="36">
        <v>36</v>
      </c>
      <c r="D49" s="15">
        <v>1</v>
      </c>
      <c r="E49"/>
      <c r="F49"/>
      <c r="G49"/>
      <c r="H49"/>
      <c r="I49"/>
      <c r="J49"/>
      <c r="K49"/>
    </row>
    <row r="50" spans="1:11">
      <c r="A50" s="43"/>
      <c r="B50" s="43"/>
      <c r="C50" s="36">
        <v>45</v>
      </c>
      <c r="D50" s="15">
        <v>1</v>
      </c>
      <c r="E50"/>
      <c r="F50"/>
      <c r="G50"/>
      <c r="H50"/>
      <c r="I50"/>
      <c r="J50"/>
      <c r="K50"/>
    </row>
    <row r="51" spans="1:11">
      <c r="A51" s="43"/>
      <c r="B51" s="43"/>
      <c r="C51" s="36">
        <v>54</v>
      </c>
      <c r="D51" s="15">
        <v>1</v>
      </c>
      <c r="E51"/>
      <c r="F51"/>
      <c r="G51"/>
      <c r="H51"/>
      <c r="I51"/>
      <c r="J51"/>
      <c r="K51"/>
    </row>
    <row r="52" spans="1:11">
      <c r="A52" s="36" t="s">
        <v>437</v>
      </c>
      <c r="B52" s="36" t="s">
        <v>403</v>
      </c>
      <c r="C52" s="36">
        <v>45</v>
      </c>
      <c r="D52" s="15">
        <v>3</v>
      </c>
      <c r="E52"/>
      <c r="F52"/>
      <c r="G52"/>
      <c r="H52"/>
      <c r="I52"/>
      <c r="J52"/>
      <c r="K52"/>
    </row>
    <row r="53" spans="1:11">
      <c r="A53" s="43"/>
      <c r="B53" s="43"/>
      <c r="C53" s="36">
        <v>54</v>
      </c>
      <c r="D53" s="15">
        <v>3</v>
      </c>
      <c r="E53"/>
      <c r="F53"/>
      <c r="G53"/>
      <c r="H53"/>
      <c r="I53"/>
      <c r="J53"/>
      <c r="K53"/>
    </row>
    <row r="54" spans="1:11">
      <c r="A54" s="43"/>
      <c r="B54" s="43"/>
      <c r="C54" s="36">
        <v>63</v>
      </c>
      <c r="D54" s="15">
        <v>3</v>
      </c>
      <c r="E54"/>
      <c r="F54"/>
      <c r="G54"/>
      <c r="H54"/>
      <c r="I54"/>
      <c r="J54"/>
      <c r="K54"/>
    </row>
    <row r="55" spans="1:11">
      <c r="A55" s="43"/>
      <c r="B55" s="43"/>
      <c r="C55" s="36">
        <v>72</v>
      </c>
      <c r="D55" s="15">
        <v>1</v>
      </c>
      <c r="E55"/>
      <c r="F55"/>
      <c r="G55"/>
      <c r="H55"/>
      <c r="I55"/>
      <c r="J55"/>
      <c r="K55"/>
    </row>
    <row r="56" spans="1:11">
      <c r="A56" s="36" t="s">
        <v>607</v>
      </c>
      <c r="B56" s="36" t="s">
        <v>404</v>
      </c>
      <c r="C56" s="36">
        <v>45</v>
      </c>
      <c r="D56" s="15">
        <v>3</v>
      </c>
      <c r="E56"/>
      <c r="F56"/>
      <c r="G56"/>
      <c r="H56"/>
      <c r="I56"/>
      <c r="J56"/>
      <c r="K56"/>
    </row>
    <row r="57" spans="1:11">
      <c r="A57" s="43"/>
      <c r="B57" s="43"/>
      <c r="C57" s="36">
        <v>54</v>
      </c>
      <c r="D57" s="15">
        <v>3</v>
      </c>
      <c r="E57"/>
      <c r="F57"/>
      <c r="G57"/>
      <c r="H57"/>
      <c r="I57"/>
      <c r="J57"/>
      <c r="K57"/>
    </row>
    <row r="58" spans="1:11">
      <c r="A58" s="43"/>
      <c r="B58" s="43"/>
      <c r="C58" s="36">
        <v>63</v>
      </c>
      <c r="D58" s="15">
        <v>3</v>
      </c>
      <c r="E58"/>
      <c r="F58"/>
      <c r="G58"/>
      <c r="H58"/>
      <c r="I58"/>
      <c r="J58"/>
      <c r="K58"/>
    </row>
    <row r="59" spans="1:11">
      <c r="A59" s="43"/>
      <c r="B59" s="43"/>
      <c r="C59" s="36">
        <v>72</v>
      </c>
      <c r="D59" s="15">
        <v>1</v>
      </c>
      <c r="E59"/>
      <c r="F59"/>
      <c r="G59"/>
      <c r="H59"/>
      <c r="I59"/>
      <c r="J59"/>
      <c r="K59"/>
    </row>
    <row r="60" spans="1:11">
      <c r="A60" s="36" t="s">
        <v>608</v>
      </c>
      <c r="B60" s="36" t="s">
        <v>405</v>
      </c>
      <c r="C60" s="36">
        <v>45</v>
      </c>
      <c r="D60" s="15">
        <v>3</v>
      </c>
      <c r="E60"/>
      <c r="F60"/>
      <c r="G60"/>
      <c r="H60"/>
      <c r="I60"/>
      <c r="J60"/>
      <c r="K60"/>
    </row>
    <row r="61" spans="1:11">
      <c r="A61" s="43"/>
      <c r="B61" s="43"/>
      <c r="C61" s="36">
        <v>54</v>
      </c>
      <c r="D61" s="15">
        <v>3</v>
      </c>
      <c r="E61"/>
      <c r="F61"/>
      <c r="G61"/>
      <c r="H61"/>
      <c r="I61"/>
      <c r="J61"/>
      <c r="K61"/>
    </row>
    <row r="62" spans="1:11">
      <c r="A62" s="43"/>
      <c r="B62" s="43"/>
      <c r="C62" s="36">
        <v>63</v>
      </c>
      <c r="D62" s="15">
        <v>3</v>
      </c>
      <c r="E62"/>
      <c r="F62"/>
      <c r="G62"/>
      <c r="H62"/>
      <c r="I62"/>
      <c r="J62"/>
      <c r="K62"/>
    </row>
    <row r="63" spans="1:11">
      <c r="A63" s="43"/>
      <c r="B63" s="43"/>
      <c r="C63" s="36">
        <v>72</v>
      </c>
      <c r="D63" s="15">
        <v>1</v>
      </c>
      <c r="E63"/>
      <c r="F63"/>
      <c r="G63"/>
      <c r="H63"/>
      <c r="I63"/>
      <c r="J63"/>
      <c r="K63"/>
    </row>
    <row r="64" spans="1:11">
      <c r="A64" s="36" t="s">
        <v>609</v>
      </c>
      <c r="B64" s="36" t="s">
        <v>406</v>
      </c>
      <c r="C64" s="36">
        <v>45</v>
      </c>
      <c r="D64" s="15">
        <v>3</v>
      </c>
      <c r="E64"/>
      <c r="F64"/>
      <c r="G64"/>
      <c r="H64"/>
      <c r="I64"/>
      <c r="J64"/>
      <c r="K64"/>
    </row>
    <row r="65" spans="1:11">
      <c r="A65" s="43"/>
      <c r="B65" s="43"/>
      <c r="C65" s="36">
        <v>54</v>
      </c>
      <c r="D65" s="15">
        <v>3</v>
      </c>
      <c r="E65"/>
      <c r="F65"/>
      <c r="G65"/>
      <c r="H65"/>
      <c r="I65"/>
      <c r="J65"/>
      <c r="K65"/>
    </row>
    <row r="66" spans="1:11">
      <c r="A66" s="43"/>
      <c r="B66" s="43"/>
      <c r="C66" s="36">
        <v>63</v>
      </c>
      <c r="D66" s="15">
        <v>3</v>
      </c>
      <c r="E66"/>
      <c r="F66"/>
      <c r="G66"/>
      <c r="H66"/>
      <c r="I66"/>
      <c r="J66"/>
      <c r="K66"/>
    </row>
    <row r="67" spans="1:11">
      <c r="A67" s="43"/>
      <c r="B67" s="43"/>
      <c r="C67" s="36">
        <v>72</v>
      </c>
      <c r="D67" s="15">
        <v>1</v>
      </c>
      <c r="E67"/>
      <c r="F67"/>
      <c r="G67"/>
      <c r="H67"/>
      <c r="I67"/>
      <c r="J67"/>
      <c r="K67"/>
    </row>
    <row r="68" spans="1:11">
      <c r="A68" s="36" t="s">
        <v>610</v>
      </c>
      <c r="B68" s="36" t="s">
        <v>407</v>
      </c>
      <c r="C68" s="36">
        <v>45</v>
      </c>
      <c r="D68" s="15">
        <v>3</v>
      </c>
      <c r="E68"/>
      <c r="F68"/>
      <c r="G68"/>
      <c r="H68"/>
      <c r="I68"/>
      <c r="J68"/>
      <c r="K68"/>
    </row>
    <row r="69" spans="1:11">
      <c r="A69" s="43"/>
      <c r="B69" s="43"/>
      <c r="C69" s="36">
        <v>54</v>
      </c>
      <c r="D69" s="15">
        <v>3</v>
      </c>
      <c r="E69"/>
      <c r="F69"/>
      <c r="G69"/>
      <c r="H69"/>
      <c r="I69"/>
      <c r="J69"/>
      <c r="K69"/>
    </row>
    <row r="70" spans="1:11">
      <c r="A70" s="43"/>
      <c r="B70" s="43"/>
      <c r="C70" s="36">
        <v>63</v>
      </c>
      <c r="D70" s="15">
        <v>3</v>
      </c>
      <c r="E70"/>
      <c r="F70"/>
      <c r="G70"/>
      <c r="H70"/>
      <c r="I70"/>
      <c r="J70"/>
      <c r="K70"/>
    </row>
    <row r="71" spans="1:11">
      <c r="A71" s="43"/>
      <c r="B71" s="43"/>
      <c r="C71" s="36">
        <v>72</v>
      </c>
      <c r="D71" s="15">
        <v>1</v>
      </c>
      <c r="E71"/>
      <c r="F71"/>
      <c r="G71"/>
      <c r="H71"/>
      <c r="I71"/>
      <c r="J71"/>
      <c r="K71"/>
    </row>
    <row r="72" spans="1:11">
      <c r="A72" s="36" t="s">
        <v>611</v>
      </c>
      <c r="B72" s="36" t="s">
        <v>408</v>
      </c>
      <c r="C72" s="36">
        <v>45</v>
      </c>
      <c r="D72" s="15">
        <v>3</v>
      </c>
      <c r="E72"/>
      <c r="F72"/>
      <c r="G72"/>
      <c r="H72"/>
      <c r="I72"/>
      <c r="J72"/>
      <c r="K72"/>
    </row>
    <row r="73" spans="1:11">
      <c r="A73" s="43"/>
      <c r="B73" s="43"/>
      <c r="C73" s="36">
        <v>54</v>
      </c>
      <c r="D73" s="15">
        <v>3</v>
      </c>
      <c r="E73"/>
      <c r="F73"/>
      <c r="G73"/>
      <c r="H73"/>
      <c r="I73"/>
      <c r="J73"/>
      <c r="K73"/>
    </row>
    <row r="74" spans="1:11">
      <c r="A74" s="43"/>
      <c r="B74" s="43"/>
      <c r="C74" s="36">
        <v>63</v>
      </c>
      <c r="D74" s="15">
        <v>3</v>
      </c>
      <c r="E74"/>
      <c r="F74"/>
      <c r="G74"/>
      <c r="H74"/>
      <c r="I74"/>
      <c r="J74"/>
      <c r="K74"/>
    </row>
    <row r="75" spans="1:11">
      <c r="A75" s="43"/>
      <c r="B75" s="43"/>
      <c r="C75" s="36">
        <v>72</v>
      </c>
      <c r="D75" s="15">
        <v>1</v>
      </c>
      <c r="E75"/>
      <c r="F75"/>
      <c r="G75"/>
      <c r="H75"/>
      <c r="I75"/>
      <c r="J75"/>
      <c r="K75"/>
    </row>
    <row r="76" spans="1:11">
      <c r="A76" s="36" t="s">
        <v>612</v>
      </c>
      <c r="B76" s="36" t="s">
        <v>409</v>
      </c>
      <c r="C76" s="36">
        <v>45</v>
      </c>
      <c r="D76" s="15">
        <v>3</v>
      </c>
      <c r="E76"/>
      <c r="F76"/>
      <c r="G76"/>
      <c r="H76"/>
      <c r="I76"/>
      <c r="J76"/>
      <c r="K76"/>
    </row>
    <row r="77" spans="1:11">
      <c r="A77" s="43"/>
      <c r="B77" s="43"/>
      <c r="C77" s="36">
        <v>54</v>
      </c>
      <c r="D77" s="15">
        <v>3</v>
      </c>
      <c r="E77"/>
      <c r="F77"/>
      <c r="G77"/>
      <c r="H77"/>
      <c r="I77"/>
      <c r="J77"/>
      <c r="K77"/>
    </row>
    <row r="78" spans="1:11">
      <c r="A78" s="43"/>
      <c r="B78" s="43"/>
      <c r="C78" s="36">
        <v>63</v>
      </c>
      <c r="D78" s="15">
        <v>3</v>
      </c>
      <c r="E78"/>
      <c r="F78"/>
      <c r="G78"/>
      <c r="H78"/>
      <c r="I78"/>
      <c r="J78"/>
      <c r="K78"/>
    </row>
    <row r="79" spans="1:11">
      <c r="A79" s="43"/>
      <c r="B79" s="43"/>
      <c r="C79" s="36">
        <v>72</v>
      </c>
      <c r="D79" s="15">
        <v>1</v>
      </c>
      <c r="E79"/>
      <c r="F79"/>
      <c r="G79"/>
      <c r="H79"/>
      <c r="I79"/>
      <c r="J79"/>
      <c r="K79"/>
    </row>
    <row r="80" spans="1:11">
      <c r="A80" s="36" t="s">
        <v>613</v>
      </c>
      <c r="B80" s="36" t="s">
        <v>410</v>
      </c>
      <c r="C80" s="36">
        <v>45</v>
      </c>
      <c r="D80" s="15">
        <v>3</v>
      </c>
      <c r="E80"/>
      <c r="F80"/>
      <c r="G80"/>
      <c r="H80"/>
      <c r="I80"/>
      <c r="J80"/>
      <c r="K80"/>
    </row>
    <row r="81" spans="1:11">
      <c r="A81" s="43"/>
      <c r="B81" s="43"/>
      <c r="C81" s="36">
        <v>54</v>
      </c>
      <c r="D81" s="15">
        <v>3</v>
      </c>
      <c r="E81"/>
      <c r="F81"/>
      <c r="G81"/>
      <c r="H81"/>
      <c r="I81"/>
      <c r="J81"/>
      <c r="K81"/>
    </row>
    <row r="82" spans="1:11">
      <c r="A82" s="43"/>
      <c r="B82" s="43"/>
      <c r="C82" s="36">
        <v>63</v>
      </c>
      <c r="D82" s="15">
        <v>3</v>
      </c>
      <c r="E82"/>
      <c r="F82"/>
      <c r="G82"/>
      <c r="H82"/>
      <c r="I82"/>
      <c r="J82"/>
      <c r="K82"/>
    </row>
    <row r="83" spans="1:11">
      <c r="A83" s="43"/>
      <c r="B83" s="43"/>
      <c r="C83" s="36">
        <v>72</v>
      </c>
      <c r="D83" s="15">
        <v>1</v>
      </c>
      <c r="E83"/>
      <c r="F83"/>
      <c r="G83"/>
      <c r="H83"/>
      <c r="I83"/>
      <c r="J83"/>
      <c r="K83"/>
    </row>
    <row r="84" spans="1:11">
      <c r="A84" s="36" t="s">
        <v>423</v>
      </c>
      <c r="B84" s="36" t="s">
        <v>349</v>
      </c>
      <c r="C84" s="36">
        <v>45</v>
      </c>
      <c r="D84" s="15">
        <v>3</v>
      </c>
      <c r="E84"/>
      <c r="F84"/>
      <c r="G84"/>
      <c r="H84"/>
      <c r="I84"/>
      <c r="J84"/>
      <c r="K84"/>
    </row>
    <row r="85" spans="1:11">
      <c r="A85" s="43"/>
      <c r="B85" s="43"/>
      <c r="C85" s="36">
        <v>54</v>
      </c>
      <c r="D85" s="15">
        <v>3</v>
      </c>
      <c r="E85"/>
      <c r="F85"/>
      <c r="G85"/>
      <c r="H85"/>
      <c r="I85"/>
      <c r="J85"/>
      <c r="K85"/>
    </row>
    <row r="86" spans="1:11">
      <c r="A86" s="43"/>
      <c r="B86" s="43"/>
      <c r="C86" s="36">
        <v>63</v>
      </c>
      <c r="D86" s="15">
        <v>1</v>
      </c>
      <c r="E86"/>
      <c r="F86"/>
      <c r="G86"/>
      <c r="H86"/>
      <c r="I86"/>
      <c r="J86"/>
      <c r="K86"/>
    </row>
    <row r="87" spans="1:11">
      <c r="A87" s="36" t="s">
        <v>504</v>
      </c>
      <c r="B87" s="36" t="s">
        <v>350</v>
      </c>
      <c r="C87" s="36">
        <v>45</v>
      </c>
      <c r="D87" s="15">
        <v>3</v>
      </c>
      <c r="E87"/>
      <c r="F87"/>
      <c r="G87"/>
      <c r="H87"/>
      <c r="I87"/>
      <c r="J87"/>
      <c r="K87"/>
    </row>
    <row r="88" spans="1:11">
      <c r="A88" s="43"/>
      <c r="B88" s="43"/>
      <c r="C88" s="36">
        <v>54</v>
      </c>
      <c r="D88" s="15">
        <v>3</v>
      </c>
      <c r="E88"/>
      <c r="F88"/>
      <c r="G88"/>
      <c r="H88"/>
      <c r="I88"/>
      <c r="J88"/>
      <c r="K88"/>
    </row>
    <row r="89" spans="1:11">
      <c r="A89" s="43"/>
      <c r="B89" s="43"/>
      <c r="C89" s="36">
        <v>63</v>
      </c>
      <c r="D89" s="15">
        <v>1</v>
      </c>
      <c r="E89"/>
      <c r="F89"/>
      <c r="G89"/>
      <c r="H89"/>
      <c r="I89"/>
      <c r="J89"/>
      <c r="K89"/>
    </row>
    <row r="90" spans="1:11">
      <c r="A90" s="36" t="s">
        <v>505</v>
      </c>
      <c r="B90" s="36" t="s">
        <v>351</v>
      </c>
      <c r="C90" s="36">
        <v>45</v>
      </c>
      <c r="D90" s="15">
        <v>3</v>
      </c>
      <c r="E90"/>
      <c r="F90"/>
      <c r="G90"/>
      <c r="H90"/>
      <c r="I90"/>
      <c r="J90"/>
      <c r="K90"/>
    </row>
    <row r="91" spans="1:11">
      <c r="A91" s="43"/>
      <c r="B91" s="43"/>
      <c r="C91" s="36">
        <v>54</v>
      </c>
      <c r="D91" s="15">
        <v>3</v>
      </c>
      <c r="E91"/>
      <c r="F91"/>
      <c r="G91"/>
      <c r="H91"/>
      <c r="I91"/>
      <c r="J91"/>
      <c r="K91"/>
    </row>
    <row r="92" spans="1:11">
      <c r="A92" s="43"/>
      <c r="B92" s="43"/>
      <c r="C92" s="36">
        <v>63</v>
      </c>
      <c r="D92" s="15">
        <v>1</v>
      </c>
      <c r="E92"/>
      <c r="F92"/>
      <c r="G92"/>
      <c r="H92"/>
      <c r="I92"/>
      <c r="J92"/>
      <c r="K92"/>
    </row>
    <row r="93" spans="1:11">
      <c r="A93" s="36" t="s">
        <v>506</v>
      </c>
      <c r="B93" s="36" t="s">
        <v>352</v>
      </c>
      <c r="C93" s="36">
        <v>45</v>
      </c>
      <c r="D93" s="15">
        <v>3</v>
      </c>
      <c r="E93"/>
      <c r="F93"/>
      <c r="G93"/>
      <c r="H93"/>
      <c r="I93"/>
      <c r="J93"/>
      <c r="K93"/>
    </row>
    <row r="94" spans="1:11">
      <c r="A94" s="43"/>
      <c r="B94" s="43"/>
      <c r="C94" s="36">
        <v>54</v>
      </c>
      <c r="D94" s="15">
        <v>3</v>
      </c>
      <c r="E94"/>
      <c r="F94"/>
      <c r="G94"/>
      <c r="H94"/>
      <c r="I94"/>
      <c r="J94"/>
      <c r="K94"/>
    </row>
    <row r="95" spans="1:11">
      <c r="A95" s="43"/>
      <c r="B95" s="43"/>
      <c r="C95" s="36">
        <v>63</v>
      </c>
      <c r="D95" s="15">
        <v>1</v>
      </c>
      <c r="E95"/>
      <c r="F95"/>
      <c r="G95"/>
      <c r="H95"/>
      <c r="I95"/>
      <c r="J95"/>
      <c r="K95"/>
    </row>
    <row r="96" spans="1:11">
      <c r="A96" s="36" t="s">
        <v>507</v>
      </c>
      <c r="B96" s="36" t="s">
        <v>353</v>
      </c>
      <c r="C96" s="36">
        <v>45</v>
      </c>
      <c r="D96" s="15">
        <v>3</v>
      </c>
      <c r="E96"/>
      <c r="F96"/>
      <c r="G96"/>
      <c r="H96"/>
      <c r="I96"/>
      <c r="J96"/>
      <c r="K96"/>
    </row>
    <row r="97" spans="1:11">
      <c r="A97" s="43"/>
      <c r="B97" s="43"/>
      <c r="C97" s="36">
        <v>54</v>
      </c>
      <c r="D97" s="15">
        <v>3</v>
      </c>
      <c r="E97"/>
      <c r="F97"/>
      <c r="G97"/>
      <c r="H97"/>
      <c r="I97"/>
      <c r="J97"/>
      <c r="K97"/>
    </row>
    <row r="98" spans="1:11">
      <c r="A98" s="36" t="s">
        <v>508</v>
      </c>
      <c r="B98" s="36" t="s">
        <v>354</v>
      </c>
      <c r="C98" s="36">
        <v>45</v>
      </c>
      <c r="D98" s="15">
        <v>3</v>
      </c>
      <c r="E98"/>
      <c r="F98"/>
      <c r="G98"/>
      <c r="H98"/>
      <c r="I98"/>
      <c r="J98"/>
      <c r="K98"/>
    </row>
    <row r="99" spans="1:11">
      <c r="A99" s="43"/>
      <c r="B99" s="43"/>
      <c r="C99" s="36">
        <v>54</v>
      </c>
      <c r="D99" s="15">
        <v>3</v>
      </c>
      <c r="E99"/>
      <c r="F99"/>
      <c r="G99"/>
      <c r="H99"/>
      <c r="I99"/>
      <c r="J99"/>
      <c r="K99"/>
    </row>
    <row r="100" spans="1:11">
      <c r="A100" s="36" t="s">
        <v>509</v>
      </c>
      <c r="B100" s="36" t="s">
        <v>355</v>
      </c>
      <c r="C100" s="36">
        <v>45</v>
      </c>
      <c r="D100" s="15">
        <v>3</v>
      </c>
      <c r="E100"/>
      <c r="F100"/>
      <c r="G100"/>
      <c r="H100"/>
      <c r="I100"/>
      <c r="J100"/>
      <c r="K100"/>
    </row>
    <row r="101" spans="1:11">
      <c r="A101" s="43"/>
      <c r="B101" s="43"/>
      <c r="C101" s="36">
        <v>54</v>
      </c>
      <c r="D101" s="15">
        <v>3</v>
      </c>
      <c r="E101"/>
      <c r="F101"/>
      <c r="G101"/>
      <c r="H101"/>
      <c r="I101"/>
      <c r="J101"/>
      <c r="K101"/>
    </row>
    <row r="102" spans="1:11">
      <c r="A102" s="36" t="s">
        <v>510</v>
      </c>
      <c r="B102" s="36" t="s">
        <v>356</v>
      </c>
      <c r="C102" s="36">
        <v>45</v>
      </c>
      <c r="D102" s="15">
        <v>3</v>
      </c>
      <c r="E102"/>
      <c r="F102"/>
      <c r="G102"/>
      <c r="H102"/>
      <c r="I102"/>
      <c r="J102"/>
      <c r="K102"/>
    </row>
    <row r="103" spans="1:11">
      <c r="A103" s="43"/>
      <c r="B103" s="43"/>
      <c r="C103" s="36">
        <v>54</v>
      </c>
      <c r="D103" s="15">
        <v>3</v>
      </c>
      <c r="E103"/>
      <c r="F103"/>
      <c r="G103"/>
      <c r="H103"/>
      <c r="I103"/>
      <c r="J103"/>
      <c r="K103"/>
    </row>
    <row r="104" spans="1:11">
      <c r="A104" s="36" t="s">
        <v>511</v>
      </c>
      <c r="B104" s="36" t="s">
        <v>357</v>
      </c>
      <c r="C104" s="36">
        <v>45</v>
      </c>
      <c r="D104" s="15">
        <v>3</v>
      </c>
      <c r="E104"/>
      <c r="F104"/>
      <c r="G104"/>
      <c r="H104"/>
      <c r="I104"/>
      <c r="J104"/>
      <c r="K104"/>
    </row>
    <row r="105" spans="1:11">
      <c r="A105" s="43"/>
      <c r="B105" s="43"/>
      <c r="C105" s="36">
        <v>54</v>
      </c>
      <c r="D105" s="15">
        <v>3</v>
      </c>
      <c r="E105"/>
      <c r="F105"/>
      <c r="G105"/>
      <c r="H105"/>
      <c r="I105"/>
      <c r="J105"/>
      <c r="K105"/>
    </row>
    <row r="106" spans="1:11">
      <c r="A106" s="43"/>
      <c r="B106" s="43"/>
      <c r="C106" s="36">
        <v>63</v>
      </c>
      <c r="D106" s="15">
        <v>1</v>
      </c>
      <c r="E106"/>
      <c r="F106"/>
      <c r="G106"/>
      <c r="H106"/>
      <c r="I106"/>
      <c r="J106"/>
      <c r="K106"/>
    </row>
    <row r="107" spans="1:11">
      <c r="A107" s="36" t="s">
        <v>512</v>
      </c>
      <c r="B107" s="36" t="s">
        <v>358</v>
      </c>
      <c r="C107" s="36">
        <v>45</v>
      </c>
      <c r="D107" s="15">
        <v>3</v>
      </c>
      <c r="E107"/>
      <c r="F107"/>
      <c r="G107"/>
      <c r="H107"/>
      <c r="I107"/>
      <c r="J107"/>
      <c r="K107"/>
    </row>
    <row r="108" spans="1:11">
      <c r="A108" s="43"/>
      <c r="B108" s="43"/>
      <c r="C108" s="36">
        <v>54</v>
      </c>
      <c r="D108" s="15">
        <v>3</v>
      </c>
      <c r="E108"/>
      <c r="F108"/>
      <c r="G108"/>
      <c r="H108"/>
      <c r="I108"/>
      <c r="J108"/>
      <c r="K108"/>
    </row>
    <row r="109" spans="1:11">
      <c r="A109" s="36" t="s">
        <v>513</v>
      </c>
      <c r="B109" s="36" t="s">
        <v>359</v>
      </c>
      <c r="C109" s="36">
        <v>45</v>
      </c>
      <c r="D109" s="15">
        <v>3</v>
      </c>
      <c r="E109"/>
      <c r="F109"/>
      <c r="G109"/>
      <c r="H109"/>
      <c r="I109"/>
      <c r="J109"/>
      <c r="K109"/>
    </row>
    <row r="110" spans="1:11">
      <c r="A110" s="43"/>
      <c r="B110" s="43"/>
      <c r="C110" s="36">
        <v>54</v>
      </c>
      <c r="D110" s="15">
        <v>3</v>
      </c>
      <c r="E110"/>
      <c r="F110"/>
      <c r="G110"/>
      <c r="H110"/>
      <c r="I110"/>
      <c r="J110"/>
      <c r="K110"/>
    </row>
    <row r="111" spans="1:11">
      <c r="A111" s="36" t="s">
        <v>514</v>
      </c>
      <c r="B111" s="36" t="s">
        <v>360</v>
      </c>
      <c r="C111" s="36">
        <v>45</v>
      </c>
      <c r="D111" s="15">
        <v>3</v>
      </c>
      <c r="E111"/>
      <c r="F111"/>
      <c r="G111"/>
      <c r="H111"/>
      <c r="I111"/>
      <c r="J111"/>
      <c r="K111"/>
    </row>
    <row r="112" spans="1:11">
      <c r="A112" s="43"/>
      <c r="B112" s="43"/>
      <c r="C112" s="36">
        <v>54</v>
      </c>
      <c r="D112" s="15">
        <v>3</v>
      </c>
      <c r="E112"/>
      <c r="F112"/>
      <c r="G112"/>
      <c r="H112"/>
      <c r="I112"/>
      <c r="J112"/>
      <c r="K112"/>
    </row>
    <row r="113" spans="1:11">
      <c r="A113" s="36" t="s">
        <v>515</v>
      </c>
      <c r="B113" s="36" t="s">
        <v>361</v>
      </c>
      <c r="C113" s="36">
        <v>45</v>
      </c>
      <c r="D113" s="15">
        <v>3</v>
      </c>
      <c r="E113"/>
      <c r="F113"/>
      <c r="G113"/>
      <c r="H113"/>
      <c r="I113"/>
      <c r="J113"/>
      <c r="K113"/>
    </row>
    <row r="114" spans="1:11">
      <c r="A114" s="43"/>
      <c r="B114" s="43"/>
      <c r="C114" s="36">
        <v>54</v>
      </c>
      <c r="D114" s="15">
        <v>3</v>
      </c>
      <c r="E114"/>
      <c r="F114"/>
      <c r="G114"/>
      <c r="H114"/>
      <c r="I114"/>
      <c r="J114"/>
      <c r="K114"/>
    </row>
    <row r="115" spans="1:11">
      <c r="A115" s="36" t="s">
        <v>516</v>
      </c>
      <c r="B115" s="36" t="s">
        <v>362</v>
      </c>
      <c r="C115" s="36">
        <v>45</v>
      </c>
      <c r="D115" s="15">
        <v>3</v>
      </c>
      <c r="E115"/>
      <c r="F115"/>
      <c r="G115"/>
      <c r="H115"/>
      <c r="I115"/>
      <c r="J115"/>
      <c r="K115"/>
    </row>
    <row r="116" spans="1:11">
      <c r="A116" s="43"/>
      <c r="B116" s="43"/>
      <c r="C116" s="36">
        <v>54</v>
      </c>
      <c r="D116" s="15">
        <v>3</v>
      </c>
      <c r="E116"/>
      <c r="F116"/>
      <c r="G116"/>
      <c r="H116"/>
      <c r="I116"/>
      <c r="J116"/>
      <c r="K116"/>
    </row>
    <row r="117" spans="1:11">
      <c r="A117" s="36" t="s">
        <v>517</v>
      </c>
      <c r="B117" s="36" t="s">
        <v>363</v>
      </c>
      <c r="C117" s="36">
        <v>45</v>
      </c>
      <c r="D117" s="15">
        <v>3</v>
      </c>
      <c r="E117"/>
      <c r="F117"/>
      <c r="G117"/>
      <c r="H117"/>
      <c r="I117"/>
      <c r="J117"/>
      <c r="K117"/>
    </row>
    <row r="118" spans="1:11">
      <c r="A118" s="43"/>
      <c r="B118" s="43"/>
      <c r="C118" s="36">
        <v>54</v>
      </c>
      <c r="D118" s="15">
        <v>3</v>
      </c>
      <c r="E118"/>
      <c r="F118"/>
      <c r="G118"/>
      <c r="H118"/>
      <c r="I118"/>
      <c r="J118"/>
      <c r="K118"/>
    </row>
    <row r="119" spans="1:11">
      <c r="A119" s="36" t="s">
        <v>518</v>
      </c>
      <c r="B119" s="36" t="s">
        <v>364</v>
      </c>
      <c r="C119" s="36">
        <v>45</v>
      </c>
      <c r="D119" s="15">
        <v>3</v>
      </c>
      <c r="E119"/>
      <c r="F119"/>
      <c r="G119"/>
      <c r="H119"/>
      <c r="I119"/>
      <c r="J119"/>
      <c r="K119"/>
    </row>
    <row r="120" spans="1:11">
      <c r="A120" s="43"/>
      <c r="B120" s="43"/>
      <c r="C120" s="36">
        <v>54</v>
      </c>
      <c r="D120" s="15">
        <v>3</v>
      </c>
      <c r="E120"/>
      <c r="F120"/>
      <c r="G120"/>
      <c r="H120"/>
      <c r="I120"/>
      <c r="J120"/>
      <c r="K120"/>
    </row>
    <row r="121" spans="1:11">
      <c r="A121" s="36" t="s">
        <v>519</v>
      </c>
      <c r="B121" s="36" t="s">
        <v>365</v>
      </c>
      <c r="C121" s="36">
        <v>45</v>
      </c>
      <c r="D121" s="15">
        <v>3</v>
      </c>
      <c r="E121"/>
      <c r="F121"/>
      <c r="G121"/>
      <c r="H121"/>
      <c r="I121"/>
      <c r="J121"/>
      <c r="K121"/>
    </row>
    <row r="122" spans="1:11">
      <c r="A122" s="43"/>
      <c r="B122" s="43"/>
      <c r="C122" s="36">
        <v>54</v>
      </c>
      <c r="D122" s="15">
        <v>3</v>
      </c>
      <c r="E122"/>
      <c r="F122"/>
      <c r="G122"/>
      <c r="H122"/>
      <c r="I122"/>
      <c r="J122"/>
      <c r="K122"/>
    </row>
    <row r="123" spans="1:11">
      <c r="A123" s="36" t="s">
        <v>520</v>
      </c>
      <c r="B123" s="36" t="s">
        <v>366</v>
      </c>
      <c r="C123" s="36">
        <v>45</v>
      </c>
      <c r="D123" s="15">
        <v>3</v>
      </c>
      <c r="E123"/>
      <c r="F123"/>
      <c r="G123"/>
      <c r="H123"/>
      <c r="I123"/>
      <c r="J123"/>
      <c r="K123"/>
    </row>
    <row r="124" spans="1:11">
      <c r="A124" s="43"/>
      <c r="B124" s="43"/>
      <c r="C124" s="36">
        <v>54</v>
      </c>
      <c r="D124" s="15">
        <v>3</v>
      </c>
      <c r="E124"/>
      <c r="F124"/>
      <c r="G124"/>
      <c r="H124"/>
      <c r="I124"/>
      <c r="J124"/>
      <c r="K124"/>
    </row>
    <row r="125" spans="1:11">
      <c r="A125" s="36" t="s">
        <v>521</v>
      </c>
      <c r="B125" s="36" t="s">
        <v>367</v>
      </c>
      <c r="C125" s="36">
        <v>45</v>
      </c>
      <c r="D125" s="15">
        <v>3</v>
      </c>
      <c r="E125"/>
      <c r="F125"/>
      <c r="G125"/>
      <c r="H125"/>
      <c r="I125"/>
      <c r="J125"/>
      <c r="K125"/>
    </row>
    <row r="126" spans="1:11">
      <c r="A126" s="43"/>
      <c r="B126" s="43"/>
      <c r="C126" s="36">
        <v>54</v>
      </c>
      <c r="D126" s="15">
        <v>3</v>
      </c>
      <c r="E126"/>
      <c r="F126"/>
      <c r="G126"/>
      <c r="H126"/>
      <c r="I126"/>
      <c r="J126"/>
      <c r="K126"/>
    </row>
    <row r="127" spans="1:11">
      <c r="A127" s="36" t="s">
        <v>522</v>
      </c>
      <c r="B127" s="36" t="s">
        <v>368</v>
      </c>
      <c r="C127" s="36">
        <v>45</v>
      </c>
      <c r="D127" s="15">
        <v>3</v>
      </c>
      <c r="E127"/>
      <c r="F127"/>
      <c r="G127"/>
      <c r="H127"/>
      <c r="I127"/>
      <c r="J127"/>
      <c r="K127"/>
    </row>
    <row r="128" spans="1:11">
      <c r="A128" s="43"/>
      <c r="B128" s="43"/>
      <c r="C128" s="36">
        <v>54</v>
      </c>
      <c r="D128" s="15">
        <v>3</v>
      </c>
      <c r="E128"/>
      <c r="F128"/>
      <c r="G128"/>
      <c r="H128"/>
      <c r="I128"/>
      <c r="J128"/>
      <c r="K128"/>
    </row>
    <row r="129" spans="1:11">
      <c r="A129" s="36" t="s">
        <v>523</v>
      </c>
      <c r="B129" s="36" t="s">
        <v>369</v>
      </c>
      <c r="C129" s="36">
        <v>45</v>
      </c>
      <c r="D129" s="15">
        <v>3</v>
      </c>
      <c r="E129"/>
      <c r="F129"/>
      <c r="G129"/>
      <c r="H129"/>
      <c r="I129"/>
      <c r="J129"/>
      <c r="K129"/>
    </row>
    <row r="130" spans="1:11">
      <c r="A130" s="43"/>
      <c r="B130" s="43"/>
      <c r="C130" s="36">
        <v>54</v>
      </c>
      <c r="D130" s="15">
        <v>3</v>
      </c>
      <c r="E130"/>
      <c r="F130"/>
      <c r="G130"/>
      <c r="H130"/>
      <c r="I130"/>
      <c r="J130"/>
      <c r="K130"/>
    </row>
    <row r="131" spans="1:11">
      <c r="A131" s="36" t="s">
        <v>524</v>
      </c>
      <c r="B131" s="36" t="s">
        <v>370</v>
      </c>
      <c r="C131" s="36">
        <v>45</v>
      </c>
      <c r="D131" s="15">
        <v>3</v>
      </c>
      <c r="E131"/>
      <c r="F131"/>
      <c r="G131"/>
      <c r="H131"/>
      <c r="I131"/>
      <c r="J131"/>
      <c r="K131"/>
    </row>
    <row r="132" spans="1:11">
      <c r="A132" s="43"/>
      <c r="B132" s="43"/>
      <c r="C132" s="36">
        <v>54</v>
      </c>
      <c r="D132" s="15">
        <v>3</v>
      </c>
      <c r="E132"/>
      <c r="F132"/>
      <c r="G132"/>
      <c r="H132"/>
      <c r="I132"/>
      <c r="J132"/>
      <c r="K132"/>
    </row>
    <row r="133" spans="1:11">
      <c r="A133" s="36" t="s">
        <v>525</v>
      </c>
      <c r="B133" s="36" t="s">
        <v>371</v>
      </c>
      <c r="C133" s="36">
        <v>45</v>
      </c>
      <c r="D133" s="15">
        <v>3</v>
      </c>
      <c r="E133"/>
      <c r="F133"/>
      <c r="G133"/>
      <c r="H133"/>
      <c r="I133"/>
      <c r="J133"/>
      <c r="K133"/>
    </row>
    <row r="134" spans="1:11">
      <c r="A134" s="43"/>
      <c r="B134" s="43"/>
      <c r="C134" s="36">
        <v>54</v>
      </c>
      <c r="D134" s="15">
        <v>3</v>
      </c>
      <c r="E134"/>
      <c r="F134"/>
      <c r="G134"/>
      <c r="H134"/>
      <c r="I134"/>
      <c r="J134"/>
      <c r="K134"/>
    </row>
    <row r="135" spans="1:11">
      <c r="A135" s="36" t="s">
        <v>526</v>
      </c>
      <c r="B135" s="36" t="s">
        <v>372</v>
      </c>
      <c r="C135" s="36">
        <v>45</v>
      </c>
      <c r="D135" s="15">
        <v>3</v>
      </c>
      <c r="E135"/>
      <c r="F135"/>
      <c r="G135"/>
      <c r="H135"/>
      <c r="I135"/>
      <c r="J135"/>
      <c r="K135"/>
    </row>
    <row r="136" spans="1:11">
      <c r="A136" s="43"/>
      <c r="B136" s="43"/>
      <c r="C136" s="36">
        <v>54</v>
      </c>
      <c r="D136" s="15">
        <v>3</v>
      </c>
      <c r="E136"/>
      <c r="F136"/>
      <c r="G136"/>
      <c r="H136"/>
      <c r="I136"/>
      <c r="J136"/>
      <c r="K136"/>
    </row>
    <row r="137" spans="1:11">
      <c r="A137" s="36" t="s">
        <v>527</v>
      </c>
      <c r="B137" s="36" t="s">
        <v>373</v>
      </c>
      <c r="C137" s="36">
        <v>45</v>
      </c>
      <c r="D137" s="15">
        <v>3</v>
      </c>
      <c r="E137"/>
      <c r="F137"/>
      <c r="G137"/>
      <c r="H137"/>
      <c r="I137"/>
      <c r="J137"/>
      <c r="K137"/>
    </row>
    <row r="138" spans="1:11">
      <c r="A138" s="43"/>
      <c r="B138" s="43"/>
      <c r="C138" s="36">
        <v>54</v>
      </c>
      <c r="D138" s="15">
        <v>1</v>
      </c>
      <c r="E138"/>
      <c r="F138"/>
      <c r="G138"/>
      <c r="H138"/>
      <c r="I138"/>
      <c r="J138"/>
      <c r="K138"/>
    </row>
    <row r="139" spans="1:11">
      <c r="A139" s="36" t="s">
        <v>528</v>
      </c>
      <c r="B139" s="36" t="s">
        <v>374</v>
      </c>
      <c r="C139" s="36">
        <v>45</v>
      </c>
      <c r="D139" s="15">
        <v>3</v>
      </c>
      <c r="E139"/>
      <c r="F139"/>
      <c r="G139"/>
      <c r="H139"/>
      <c r="I139"/>
      <c r="J139"/>
      <c r="K139"/>
    </row>
    <row r="140" spans="1:11">
      <c r="A140" s="43"/>
      <c r="B140" s="43"/>
      <c r="C140" s="36">
        <v>54</v>
      </c>
      <c r="D140" s="15">
        <v>3</v>
      </c>
      <c r="E140"/>
      <c r="F140"/>
      <c r="G140"/>
      <c r="H140"/>
      <c r="I140"/>
      <c r="J140"/>
      <c r="K140"/>
    </row>
    <row r="141" spans="1:11">
      <c r="A141" s="36" t="s">
        <v>529</v>
      </c>
      <c r="B141" s="36" t="s">
        <v>375</v>
      </c>
      <c r="C141" s="36">
        <v>45</v>
      </c>
      <c r="D141" s="15">
        <v>3</v>
      </c>
      <c r="E141"/>
      <c r="F141"/>
      <c r="G141"/>
      <c r="H141"/>
      <c r="I141"/>
      <c r="J141"/>
      <c r="K141"/>
    </row>
    <row r="142" spans="1:11">
      <c r="A142" s="43"/>
      <c r="B142" s="43"/>
      <c r="C142" s="36">
        <v>54</v>
      </c>
      <c r="D142" s="15">
        <v>3</v>
      </c>
      <c r="E142"/>
      <c r="F142"/>
      <c r="G142"/>
      <c r="H142"/>
      <c r="I142"/>
      <c r="J142"/>
      <c r="K142"/>
    </row>
    <row r="143" spans="1:11">
      <c r="A143" s="36" t="s">
        <v>530</v>
      </c>
      <c r="B143" s="36" t="s">
        <v>376</v>
      </c>
      <c r="C143" s="36">
        <v>45</v>
      </c>
      <c r="D143" s="15">
        <v>3</v>
      </c>
      <c r="E143"/>
      <c r="F143"/>
      <c r="G143"/>
      <c r="H143"/>
      <c r="I143"/>
      <c r="J143"/>
      <c r="K143"/>
    </row>
    <row r="144" spans="1:11">
      <c r="A144" s="43"/>
      <c r="B144" s="43"/>
      <c r="C144" s="36">
        <v>54</v>
      </c>
      <c r="D144" s="15">
        <v>3</v>
      </c>
      <c r="E144"/>
      <c r="F144"/>
      <c r="G144"/>
      <c r="H144"/>
      <c r="I144"/>
      <c r="J144"/>
      <c r="K144"/>
    </row>
    <row r="145" spans="1:11">
      <c r="A145" s="36" t="s">
        <v>531</v>
      </c>
      <c r="B145" s="36" t="s">
        <v>377</v>
      </c>
      <c r="C145" s="36">
        <v>45</v>
      </c>
      <c r="D145" s="15">
        <v>3</v>
      </c>
      <c r="E145"/>
      <c r="F145"/>
      <c r="G145"/>
      <c r="H145"/>
      <c r="I145"/>
      <c r="J145"/>
      <c r="K145"/>
    </row>
    <row r="146" spans="1:11">
      <c r="A146" s="43"/>
      <c r="B146" s="43"/>
      <c r="C146" s="36">
        <v>54</v>
      </c>
      <c r="D146" s="15">
        <v>3</v>
      </c>
      <c r="E146"/>
      <c r="F146"/>
      <c r="G146"/>
      <c r="H146"/>
      <c r="I146"/>
      <c r="J146"/>
      <c r="K146"/>
    </row>
    <row r="147" spans="1:11">
      <c r="A147" s="36" t="s">
        <v>532</v>
      </c>
      <c r="B147" s="36" t="s">
        <v>378</v>
      </c>
      <c r="C147" s="36">
        <v>45</v>
      </c>
      <c r="D147" s="15">
        <v>3</v>
      </c>
      <c r="E147"/>
      <c r="F147"/>
      <c r="G147"/>
      <c r="H147"/>
      <c r="I147"/>
      <c r="J147"/>
      <c r="K147"/>
    </row>
    <row r="148" spans="1:11">
      <c r="A148" s="43"/>
      <c r="B148" s="43"/>
      <c r="C148" s="36">
        <v>54</v>
      </c>
      <c r="D148" s="15">
        <v>3</v>
      </c>
      <c r="E148"/>
      <c r="F148"/>
      <c r="G148"/>
      <c r="H148"/>
      <c r="I148"/>
      <c r="J148"/>
      <c r="K148"/>
    </row>
    <row r="149" spans="1:11">
      <c r="A149" s="36" t="s">
        <v>533</v>
      </c>
      <c r="B149" s="36" t="s">
        <v>379</v>
      </c>
      <c r="C149" s="36">
        <v>45</v>
      </c>
      <c r="D149" s="15">
        <v>3</v>
      </c>
      <c r="E149"/>
      <c r="F149"/>
      <c r="G149"/>
      <c r="H149"/>
      <c r="I149"/>
      <c r="J149"/>
      <c r="K149"/>
    </row>
    <row r="150" spans="1:11">
      <c r="A150" s="43"/>
      <c r="B150" s="43"/>
      <c r="C150" s="36">
        <v>54</v>
      </c>
      <c r="D150" s="15">
        <v>3</v>
      </c>
      <c r="E150"/>
      <c r="F150"/>
      <c r="G150"/>
      <c r="H150"/>
      <c r="I150"/>
      <c r="J150"/>
      <c r="K150"/>
    </row>
    <row r="151" spans="1:11">
      <c r="A151" s="36" t="s">
        <v>534</v>
      </c>
      <c r="B151" s="36" t="s">
        <v>380</v>
      </c>
      <c r="C151" s="36">
        <v>45</v>
      </c>
      <c r="D151" s="15">
        <v>3</v>
      </c>
      <c r="E151"/>
      <c r="F151"/>
      <c r="G151"/>
      <c r="H151"/>
      <c r="I151"/>
      <c r="J151"/>
      <c r="K151"/>
    </row>
    <row r="152" spans="1:11">
      <c r="A152" s="43"/>
      <c r="B152" s="43"/>
      <c r="C152" s="36">
        <v>54</v>
      </c>
      <c r="D152" s="15">
        <v>3</v>
      </c>
      <c r="E152"/>
      <c r="F152"/>
      <c r="G152"/>
      <c r="H152"/>
      <c r="I152"/>
      <c r="J152"/>
      <c r="K152"/>
    </row>
    <row r="153" spans="1:11">
      <c r="A153" s="36" t="s">
        <v>535</v>
      </c>
      <c r="B153" s="36" t="s">
        <v>381</v>
      </c>
      <c r="C153" s="36">
        <v>45</v>
      </c>
      <c r="D153" s="15">
        <v>3</v>
      </c>
      <c r="E153"/>
      <c r="F153"/>
      <c r="G153"/>
      <c r="H153"/>
      <c r="I153"/>
      <c r="J153"/>
      <c r="K153"/>
    </row>
    <row r="154" spans="1:11">
      <c r="A154" s="43"/>
      <c r="B154" s="43"/>
      <c r="C154" s="36">
        <v>54</v>
      </c>
      <c r="D154" s="15">
        <v>3</v>
      </c>
      <c r="E154"/>
      <c r="F154"/>
      <c r="G154"/>
      <c r="H154"/>
      <c r="I154"/>
      <c r="J154"/>
      <c r="K154"/>
    </row>
    <row r="155" spans="1:11">
      <c r="A155" s="36" t="s">
        <v>536</v>
      </c>
      <c r="B155" s="36" t="s">
        <v>382</v>
      </c>
      <c r="C155" s="36">
        <v>45</v>
      </c>
      <c r="D155" s="15">
        <v>3</v>
      </c>
      <c r="E155"/>
      <c r="F155"/>
      <c r="G155"/>
      <c r="H155"/>
      <c r="I155"/>
      <c r="J155"/>
      <c r="K155"/>
    </row>
    <row r="156" spans="1:11">
      <c r="A156" s="43"/>
      <c r="B156" s="43"/>
      <c r="C156" s="36">
        <v>54</v>
      </c>
      <c r="D156" s="15">
        <v>3</v>
      </c>
      <c r="E156"/>
      <c r="F156"/>
      <c r="G156"/>
      <c r="H156"/>
      <c r="I156"/>
      <c r="J156"/>
      <c r="K156"/>
    </row>
    <row r="157" spans="1:11">
      <c r="A157" s="36" t="s">
        <v>537</v>
      </c>
      <c r="B157" s="36" t="s">
        <v>383</v>
      </c>
      <c r="C157" s="36">
        <v>45</v>
      </c>
      <c r="D157" s="15">
        <v>3</v>
      </c>
      <c r="E157"/>
      <c r="F157"/>
      <c r="G157"/>
      <c r="H157"/>
      <c r="I157"/>
      <c r="J157"/>
      <c r="K157"/>
    </row>
    <row r="158" spans="1:11">
      <c r="A158" s="43"/>
      <c r="B158" s="43"/>
      <c r="C158" s="36">
        <v>54</v>
      </c>
      <c r="D158" s="15">
        <v>3</v>
      </c>
      <c r="E158"/>
      <c r="F158"/>
      <c r="G158"/>
      <c r="H158"/>
      <c r="I158"/>
      <c r="J158"/>
      <c r="K158"/>
    </row>
    <row r="159" spans="1:11">
      <c r="A159" s="36" t="s">
        <v>421</v>
      </c>
      <c r="B159" s="36" t="s">
        <v>341</v>
      </c>
      <c r="C159" s="36">
        <v>30</v>
      </c>
      <c r="D159" s="15">
        <v>1</v>
      </c>
      <c r="E159"/>
      <c r="F159"/>
      <c r="G159"/>
      <c r="H159"/>
      <c r="I159"/>
      <c r="J159"/>
      <c r="K159"/>
    </row>
    <row r="160" spans="1:11">
      <c r="A160" s="43"/>
      <c r="B160" s="43"/>
      <c r="C160" s="36">
        <v>36</v>
      </c>
      <c r="D160" s="15">
        <v>2</v>
      </c>
      <c r="E160"/>
      <c r="F160"/>
      <c r="G160"/>
      <c r="H160"/>
      <c r="I160"/>
      <c r="J160"/>
      <c r="K160"/>
    </row>
    <row r="161" spans="1:11">
      <c r="A161" s="43"/>
      <c r="B161" s="43"/>
      <c r="C161" s="36">
        <v>41</v>
      </c>
      <c r="D161" s="15">
        <v>2</v>
      </c>
      <c r="E161"/>
      <c r="F161"/>
      <c r="G161"/>
      <c r="H161"/>
      <c r="I161"/>
      <c r="J161"/>
      <c r="K161"/>
    </row>
    <row r="162" spans="1:11">
      <c r="A162" s="43"/>
      <c r="B162" s="43"/>
      <c r="C162" s="36">
        <v>45</v>
      </c>
      <c r="D162" s="15">
        <v>2</v>
      </c>
      <c r="E162"/>
      <c r="F162"/>
      <c r="G162"/>
      <c r="H162"/>
      <c r="I162"/>
      <c r="J162"/>
      <c r="K162"/>
    </row>
    <row r="163" spans="1:11">
      <c r="A163" s="43"/>
      <c r="B163" s="43"/>
      <c r="C163" s="36">
        <v>54</v>
      </c>
      <c r="D163" s="15">
        <v>1</v>
      </c>
      <c r="E163"/>
      <c r="F163"/>
      <c r="G163"/>
      <c r="H163"/>
      <c r="I163"/>
      <c r="J163"/>
      <c r="K163"/>
    </row>
    <row r="164" spans="1:11">
      <c r="A164" s="36" t="s">
        <v>497</v>
      </c>
      <c r="B164" s="36" t="s">
        <v>342</v>
      </c>
      <c r="C164" s="36">
        <v>30</v>
      </c>
      <c r="D164" s="15">
        <v>1</v>
      </c>
      <c r="E164"/>
      <c r="F164"/>
      <c r="G164"/>
      <c r="H164"/>
      <c r="I164"/>
      <c r="J164"/>
      <c r="K164"/>
    </row>
    <row r="165" spans="1:11">
      <c r="A165" s="43"/>
      <c r="B165" s="43"/>
      <c r="C165" s="36">
        <v>36</v>
      </c>
      <c r="D165" s="15">
        <v>2</v>
      </c>
      <c r="E165"/>
      <c r="F165"/>
      <c r="G165"/>
      <c r="H165"/>
      <c r="I165"/>
      <c r="J165"/>
      <c r="K165"/>
    </row>
    <row r="166" spans="1:11">
      <c r="A166" s="43"/>
      <c r="B166" s="43"/>
      <c r="C166" s="36">
        <v>41</v>
      </c>
      <c r="D166" s="15">
        <v>2</v>
      </c>
      <c r="E166"/>
      <c r="F166"/>
      <c r="G166"/>
      <c r="H166"/>
      <c r="I166"/>
      <c r="J166"/>
      <c r="K166"/>
    </row>
    <row r="167" spans="1:11">
      <c r="A167" s="43"/>
      <c r="B167" s="43"/>
      <c r="C167" s="36">
        <v>45</v>
      </c>
      <c r="D167" s="15">
        <v>2</v>
      </c>
      <c r="E167"/>
      <c r="F167"/>
      <c r="G167"/>
      <c r="H167"/>
      <c r="I167"/>
      <c r="J167"/>
      <c r="K167"/>
    </row>
    <row r="168" spans="1:11">
      <c r="A168" s="43"/>
      <c r="B168" s="43"/>
      <c r="C168" s="36">
        <v>54</v>
      </c>
      <c r="D168" s="15">
        <v>1</v>
      </c>
      <c r="E168"/>
      <c r="F168"/>
      <c r="G168"/>
      <c r="H168"/>
      <c r="I168"/>
      <c r="J168"/>
      <c r="K168"/>
    </row>
    <row r="169" spans="1:11">
      <c r="A169" s="36" t="s">
        <v>498</v>
      </c>
      <c r="B169" s="36" t="s">
        <v>343</v>
      </c>
      <c r="C169" s="36">
        <v>36</v>
      </c>
      <c r="D169" s="15">
        <v>1</v>
      </c>
      <c r="E169"/>
      <c r="F169"/>
      <c r="G169"/>
      <c r="H169"/>
      <c r="I169"/>
      <c r="J169"/>
      <c r="K169"/>
    </row>
    <row r="170" spans="1:11">
      <c r="A170" s="43"/>
      <c r="B170" s="43"/>
      <c r="C170" s="36">
        <v>45</v>
      </c>
      <c r="D170" s="15">
        <v>1</v>
      </c>
      <c r="E170"/>
      <c r="F170"/>
      <c r="G170"/>
      <c r="H170"/>
      <c r="I170"/>
      <c r="J170"/>
      <c r="K170"/>
    </row>
    <row r="171" spans="1:11">
      <c r="A171" s="43"/>
      <c r="B171" s="43"/>
      <c r="C171" s="36">
        <v>54</v>
      </c>
      <c r="D171" s="15">
        <v>1</v>
      </c>
      <c r="E171"/>
      <c r="F171"/>
      <c r="G171"/>
      <c r="H171"/>
      <c r="I171"/>
      <c r="J171"/>
      <c r="K171"/>
    </row>
    <row r="172" spans="1:11">
      <c r="A172" s="36" t="s">
        <v>499</v>
      </c>
      <c r="B172" s="36" t="s">
        <v>344</v>
      </c>
      <c r="C172" s="36">
        <v>36</v>
      </c>
      <c r="D172" s="15">
        <v>1</v>
      </c>
      <c r="E172"/>
      <c r="F172"/>
      <c r="G172"/>
      <c r="H172"/>
      <c r="I172"/>
      <c r="J172"/>
      <c r="K172"/>
    </row>
    <row r="173" spans="1:11">
      <c r="A173" s="43"/>
      <c r="B173" s="43"/>
      <c r="C173" s="36">
        <v>45</v>
      </c>
      <c r="D173" s="15">
        <v>1</v>
      </c>
      <c r="E173"/>
      <c r="F173"/>
      <c r="G173"/>
      <c r="H173"/>
      <c r="I173"/>
      <c r="J173"/>
      <c r="K173"/>
    </row>
    <row r="174" spans="1:11">
      <c r="A174" s="43"/>
      <c r="B174" s="43"/>
      <c r="C174" s="36">
        <v>54</v>
      </c>
      <c r="D174" s="15">
        <v>1</v>
      </c>
      <c r="E174"/>
      <c r="F174"/>
      <c r="G174"/>
      <c r="H174"/>
      <c r="I174"/>
      <c r="J174"/>
      <c r="K174"/>
    </row>
    <row r="175" spans="1:11">
      <c r="A175" s="36" t="s">
        <v>500</v>
      </c>
      <c r="B175" s="36" t="s">
        <v>345</v>
      </c>
      <c r="C175" s="36">
        <v>36</v>
      </c>
      <c r="D175" s="15">
        <v>1</v>
      </c>
      <c r="E175"/>
      <c r="F175"/>
      <c r="G175"/>
      <c r="H175"/>
      <c r="I175"/>
      <c r="J175"/>
      <c r="K175"/>
    </row>
    <row r="176" spans="1:11">
      <c r="A176" s="43"/>
      <c r="B176" s="43"/>
      <c r="C176" s="36">
        <v>45</v>
      </c>
      <c r="D176" s="15">
        <v>1</v>
      </c>
      <c r="E176"/>
      <c r="F176"/>
      <c r="G176"/>
      <c r="H176"/>
      <c r="I176"/>
      <c r="J176"/>
      <c r="K176"/>
    </row>
    <row r="177" spans="1:11">
      <c r="A177" s="43"/>
      <c r="B177" s="43"/>
      <c r="C177" s="36">
        <v>54</v>
      </c>
      <c r="D177" s="15">
        <v>1</v>
      </c>
      <c r="E177"/>
      <c r="F177"/>
      <c r="G177"/>
      <c r="H177"/>
      <c r="I177"/>
      <c r="J177"/>
      <c r="K177"/>
    </row>
    <row r="178" spans="1:11">
      <c r="A178" s="36" t="s">
        <v>501</v>
      </c>
      <c r="B178" s="36" t="s">
        <v>346</v>
      </c>
      <c r="C178" s="36">
        <v>36</v>
      </c>
      <c r="D178" s="15">
        <v>1</v>
      </c>
      <c r="E178"/>
      <c r="F178"/>
      <c r="G178"/>
      <c r="H178"/>
      <c r="I178"/>
      <c r="J178"/>
      <c r="K178"/>
    </row>
    <row r="179" spans="1:11">
      <c r="A179" s="43"/>
      <c r="B179" s="43"/>
      <c r="C179" s="36">
        <v>45</v>
      </c>
      <c r="D179" s="15">
        <v>1</v>
      </c>
      <c r="E179"/>
      <c r="F179"/>
      <c r="G179"/>
      <c r="H179"/>
      <c r="I179"/>
      <c r="J179"/>
      <c r="K179"/>
    </row>
    <row r="180" spans="1:11">
      <c r="A180" s="43"/>
      <c r="B180" s="43"/>
      <c r="C180" s="36">
        <v>54</v>
      </c>
      <c r="D180" s="15">
        <v>1</v>
      </c>
      <c r="E180"/>
      <c r="F180"/>
      <c r="G180"/>
      <c r="H180"/>
      <c r="I180"/>
      <c r="J180"/>
      <c r="K180"/>
    </row>
    <row r="181" spans="1:11">
      <c r="A181" s="36" t="s">
        <v>502</v>
      </c>
      <c r="B181" s="36" t="s">
        <v>347</v>
      </c>
      <c r="C181" s="36">
        <v>36</v>
      </c>
      <c r="D181" s="15">
        <v>1</v>
      </c>
      <c r="E181"/>
      <c r="F181"/>
      <c r="G181"/>
      <c r="H181"/>
      <c r="I181"/>
      <c r="J181"/>
      <c r="K181"/>
    </row>
    <row r="182" spans="1:11">
      <c r="A182" s="43"/>
      <c r="B182" s="43"/>
      <c r="C182" s="36">
        <v>45</v>
      </c>
      <c r="D182" s="15">
        <v>1</v>
      </c>
      <c r="E182"/>
      <c r="F182"/>
      <c r="G182"/>
      <c r="H182"/>
      <c r="I182"/>
      <c r="J182"/>
      <c r="K182"/>
    </row>
    <row r="183" spans="1:11">
      <c r="A183" s="43"/>
      <c r="B183" s="43"/>
      <c r="C183" s="36">
        <v>54</v>
      </c>
      <c r="D183" s="15">
        <v>1</v>
      </c>
      <c r="E183"/>
      <c r="F183"/>
      <c r="G183"/>
      <c r="H183"/>
      <c r="I183"/>
      <c r="J183"/>
      <c r="K183"/>
    </row>
    <row r="184" spans="1:11">
      <c r="A184" s="36" t="s">
        <v>503</v>
      </c>
      <c r="B184" s="36" t="s">
        <v>348</v>
      </c>
      <c r="C184" s="36">
        <v>36</v>
      </c>
      <c r="D184" s="15">
        <v>1</v>
      </c>
      <c r="E184"/>
      <c r="F184"/>
      <c r="G184"/>
      <c r="H184"/>
      <c r="I184"/>
      <c r="J184"/>
      <c r="K184"/>
    </row>
    <row r="185" spans="1:11">
      <c r="A185" s="43"/>
      <c r="B185" s="43"/>
      <c r="C185" s="36">
        <v>45</v>
      </c>
      <c r="D185" s="15">
        <v>1</v>
      </c>
      <c r="E185"/>
      <c r="F185"/>
      <c r="G185"/>
      <c r="H185"/>
      <c r="I185"/>
      <c r="J185"/>
      <c r="K185"/>
    </row>
    <row r="186" spans="1:11">
      <c r="A186" s="43"/>
      <c r="B186" s="43"/>
      <c r="C186" s="36">
        <v>54</v>
      </c>
      <c r="D186" s="15">
        <v>1</v>
      </c>
      <c r="E186"/>
      <c r="F186"/>
      <c r="G186"/>
      <c r="H186"/>
      <c r="I186"/>
      <c r="J186"/>
      <c r="K186"/>
    </row>
    <row r="187" spans="1:11">
      <c r="A187" s="36" t="s">
        <v>431</v>
      </c>
      <c r="B187" s="36" t="s">
        <v>388</v>
      </c>
      <c r="C187" s="36">
        <v>36</v>
      </c>
      <c r="D187" s="15">
        <v>2</v>
      </c>
      <c r="E187"/>
      <c r="F187"/>
      <c r="G187"/>
      <c r="H187"/>
      <c r="I187"/>
      <c r="J187"/>
      <c r="K187"/>
    </row>
    <row r="188" spans="1:11">
      <c r="A188" s="43"/>
      <c r="B188" s="43"/>
      <c r="C188" s="36">
        <v>45</v>
      </c>
      <c r="D188" s="15">
        <v>3</v>
      </c>
      <c r="E188"/>
      <c r="F188"/>
      <c r="G188"/>
      <c r="H188"/>
      <c r="I188"/>
      <c r="J188"/>
      <c r="K188"/>
    </row>
    <row r="189" spans="1:11">
      <c r="A189" s="43"/>
      <c r="B189" s="43"/>
      <c r="C189" s="36">
        <v>54</v>
      </c>
      <c r="D189" s="15">
        <v>3</v>
      </c>
      <c r="E189"/>
      <c r="F189"/>
      <c r="G189"/>
      <c r="H189"/>
      <c r="I189"/>
      <c r="J189"/>
      <c r="K189"/>
    </row>
    <row r="190" spans="1:11">
      <c r="A190" s="43"/>
      <c r="B190" s="43"/>
      <c r="C190" s="36">
        <v>63</v>
      </c>
      <c r="D190" s="15">
        <v>2</v>
      </c>
      <c r="E190"/>
      <c r="F190"/>
      <c r="G190"/>
      <c r="H190"/>
      <c r="I190"/>
      <c r="J190"/>
      <c r="K190"/>
    </row>
    <row r="191" spans="1:11">
      <c r="A191" s="36" t="s">
        <v>574</v>
      </c>
      <c r="B191" s="36" t="s">
        <v>389</v>
      </c>
      <c r="C191" s="36">
        <v>36</v>
      </c>
      <c r="D191" s="15">
        <v>2</v>
      </c>
      <c r="E191"/>
      <c r="F191"/>
      <c r="G191"/>
      <c r="H191"/>
      <c r="I191"/>
      <c r="J191"/>
      <c r="K191"/>
    </row>
    <row r="192" spans="1:11">
      <c r="A192" s="43"/>
      <c r="B192" s="43"/>
      <c r="C192" s="36">
        <v>45</v>
      </c>
      <c r="D192" s="15">
        <v>3</v>
      </c>
      <c r="E192"/>
      <c r="F192"/>
      <c r="G192"/>
      <c r="H192"/>
      <c r="I192"/>
      <c r="J192"/>
      <c r="K192"/>
    </row>
    <row r="193" spans="1:11">
      <c r="A193" s="43"/>
      <c r="B193" s="43"/>
      <c r="C193" s="36">
        <v>54</v>
      </c>
      <c r="D193" s="15">
        <v>3</v>
      </c>
      <c r="E193"/>
      <c r="F193"/>
      <c r="G193"/>
      <c r="H193"/>
      <c r="I193"/>
      <c r="J193"/>
      <c r="K193"/>
    </row>
    <row r="194" spans="1:11">
      <c r="A194" s="43"/>
      <c r="B194" s="43"/>
      <c r="C194" s="36">
        <v>63</v>
      </c>
      <c r="D194" s="15">
        <v>2</v>
      </c>
      <c r="E194"/>
      <c r="F194"/>
      <c r="G194"/>
      <c r="H194"/>
      <c r="I194"/>
      <c r="J194"/>
      <c r="K194"/>
    </row>
    <row r="195" spans="1:11">
      <c r="A195" s="36" t="s">
        <v>575</v>
      </c>
      <c r="B195" s="36" t="s">
        <v>390</v>
      </c>
      <c r="C195" s="36">
        <v>36</v>
      </c>
      <c r="D195" s="15">
        <v>2</v>
      </c>
      <c r="E195"/>
      <c r="F195"/>
      <c r="G195"/>
      <c r="H195"/>
      <c r="I195"/>
      <c r="J195"/>
      <c r="K195"/>
    </row>
    <row r="196" spans="1:11">
      <c r="A196" s="43"/>
      <c r="B196" s="43"/>
      <c r="C196" s="36">
        <v>45</v>
      </c>
      <c r="D196" s="15">
        <v>3</v>
      </c>
      <c r="E196"/>
      <c r="F196"/>
      <c r="G196"/>
      <c r="H196"/>
      <c r="I196"/>
      <c r="J196"/>
      <c r="K196"/>
    </row>
    <row r="197" spans="1:11">
      <c r="A197" s="43"/>
      <c r="B197" s="43"/>
      <c r="C197" s="36">
        <v>54</v>
      </c>
      <c r="D197" s="15">
        <v>3</v>
      </c>
      <c r="E197"/>
      <c r="F197"/>
      <c r="G197"/>
      <c r="H197"/>
      <c r="I197"/>
      <c r="J197"/>
      <c r="K197"/>
    </row>
    <row r="198" spans="1:11">
      <c r="A198" s="43"/>
      <c r="B198" s="43"/>
      <c r="C198" s="36">
        <v>63</v>
      </c>
      <c r="D198" s="15">
        <v>2</v>
      </c>
      <c r="E198"/>
      <c r="F198"/>
      <c r="G198"/>
      <c r="H198"/>
      <c r="I198"/>
      <c r="J198"/>
      <c r="K198"/>
    </row>
    <row r="199" spans="1:11">
      <c r="A199" s="36" t="s">
        <v>576</v>
      </c>
      <c r="B199" s="36" t="s">
        <v>391</v>
      </c>
      <c r="C199" s="36">
        <v>36</v>
      </c>
      <c r="D199" s="15">
        <v>1</v>
      </c>
      <c r="E199"/>
      <c r="F199"/>
      <c r="G199"/>
      <c r="H199"/>
      <c r="I199"/>
      <c r="J199"/>
      <c r="K199"/>
    </row>
    <row r="200" spans="1:11">
      <c r="A200" s="43"/>
      <c r="B200" s="43"/>
      <c r="C200" s="36">
        <v>45</v>
      </c>
      <c r="D200" s="15">
        <v>1</v>
      </c>
      <c r="E200"/>
      <c r="F200"/>
      <c r="G200"/>
      <c r="H200"/>
      <c r="I200"/>
      <c r="J200"/>
      <c r="K200"/>
    </row>
    <row r="201" spans="1:11">
      <c r="A201" s="43"/>
      <c r="B201" s="43"/>
      <c r="C201" s="36">
        <v>54</v>
      </c>
      <c r="D201" s="15">
        <v>1</v>
      </c>
      <c r="E201"/>
      <c r="F201"/>
      <c r="G201"/>
      <c r="H201"/>
      <c r="I201"/>
      <c r="J201"/>
      <c r="K201"/>
    </row>
    <row r="202" spans="1:11">
      <c r="A202" s="43"/>
      <c r="B202" s="43"/>
      <c r="C202" s="36">
        <v>63</v>
      </c>
      <c r="D202" s="15">
        <v>1</v>
      </c>
      <c r="E202"/>
      <c r="F202"/>
      <c r="G202"/>
      <c r="H202"/>
      <c r="I202"/>
      <c r="J202"/>
      <c r="K202"/>
    </row>
    <row r="203" spans="1:11">
      <c r="A203" s="36" t="s">
        <v>577</v>
      </c>
      <c r="B203" s="36" t="s">
        <v>392</v>
      </c>
      <c r="C203" s="36">
        <v>36</v>
      </c>
      <c r="D203" s="15">
        <v>1</v>
      </c>
      <c r="E203"/>
      <c r="F203"/>
      <c r="G203"/>
      <c r="H203"/>
      <c r="I203"/>
      <c r="J203"/>
      <c r="K203"/>
    </row>
    <row r="204" spans="1:11">
      <c r="A204" s="43"/>
      <c r="B204" s="43"/>
      <c r="C204" s="36">
        <v>45</v>
      </c>
      <c r="D204" s="15">
        <v>1</v>
      </c>
      <c r="E204"/>
      <c r="F204"/>
      <c r="G204"/>
      <c r="H204"/>
      <c r="I204"/>
      <c r="J204"/>
      <c r="K204"/>
    </row>
    <row r="205" spans="1:11">
      <c r="A205" s="43"/>
      <c r="B205" s="43"/>
      <c r="C205" s="36">
        <v>54</v>
      </c>
      <c r="D205" s="15">
        <v>1</v>
      </c>
      <c r="E205"/>
      <c r="F205"/>
      <c r="G205"/>
      <c r="H205"/>
      <c r="I205"/>
      <c r="J205"/>
      <c r="K205"/>
    </row>
    <row r="206" spans="1:11">
      <c r="A206" s="43"/>
      <c r="B206" s="43"/>
      <c r="C206" s="36">
        <v>63</v>
      </c>
      <c r="D206" s="15">
        <v>1</v>
      </c>
      <c r="E206"/>
      <c r="F206"/>
      <c r="G206"/>
      <c r="H206"/>
      <c r="I206"/>
      <c r="J206"/>
      <c r="K206"/>
    </row>
    <row r="207" spans="1:11">
      <c r="A207" s="36" t="s">
        <v>578</v>
      </c>
      <c r="B207" s="36" t="s">
        <v>393</v>
      </c>
      <c r="C207" s="36">
        <v>36</v>
      </c>
      <c r="D207" s="15">
        <v>1</v>
      </c>
      <c r="E207"/>
      <c r="F207"/>
      <c r="G207"/>
      <c r="H207"/>
      <c r="I207"/>
      <c r="J207"/>
      <c r="K207"/>
    </row>
    <row r="208" spans="1:11">
      <c r="A208" s="43"/>
      <c r="B208" s="43"/>
      <c r="C208" s="36">
        <v>45</v>
      </c>
      <c r="D208" s="15">
        <v>1</v>
      </c>
      <c r="E208"/>
      <c r="F208"/>
      <c r="G208"/>
      <c r="H208"/>
      <c r="I208"/>
      <c r="J208"/>
      <c r="K208"/>
    </row>
    <row r="209" spans="1:11">
      <c r="A209" s="43"/>
      <c r="B209" s="43"/>
      <c r="C209" s="36">
        <v>54</v>
      </c>
      <c r="D209" s="15">
        <v>1</v>
      </c>
      <c r="E209"/>
      <c r="F209"/>
      <c r="G209"/>
      <c r="H209"/>
      <c r="I209"/>
      <c r="J209"/>
      <c r="K209"/>
    </row>
    <row r="210" spans="1:11">
      <c r="A210" s="43"/>
      <c r="B210" s="43"/>
      <c r="C210" s="36">
        <v>63</v>
      </c>
      <c r="D210" s="15">
        <v>1</v>
      </c>
      <c r="E210"/>
      <c r="F210"/>
      <c r="G210"/>
      <c r="H210"/>
      <c r="I210"/>
      <c r="J210"/>
      <c r="K210"/>
    </row>
    <row r="211" spans="1:11">
      <c r="A211" s="36" t="s">
        <v>579</v>
      </c>
      <c r="B211" s="36" t="s">
        <v>394</v>
      </c>
      <c r="C211" s="36">
        <v>36</v>
      </c>
      <c r="D211" s="15">
        <v>1</v>
      </c>
      <c r="E211"/>
      <c r="F211"/>
      <c r="G211"/>
      <c r="H211"/>
      <c r="I211"/>
      <c r="J211"/>
      <c r="K211"/>
    </row>
    <row r="212" spans="1:11">
      <c r="A212" s="43"/>
      <c r="B212" s="43"/>
      <c r="C212" s="36">
        <v>45</v>
      </c>
      <c r="D212" s="15">
        <v>1</v>
      </c>
      <c r="E212"/>
      <c r="F212"/>
      <c r="G212"/>
      <c r="H212"/>
      <c r="I212"/>
      <c r="J212"/>
      <c r="K212"/>
    </row>
    <row r="213" spans="1:11">
      <c r="A213" s="43"/>
      <c r="B213" s="43"/>
      <c r="C213" s="36">
        <v>54</v>
      </c>
      <c r="D213" s="15">
        <v>1</v>
      </c>
      <c r="E213"/>
      <c r="F213"/>
      <c r="G213"/>
      <c r="H213"/>
      <c r="I213"/>
      <c r="J213"/>
      <c r="K213"/>
    </row>
    <row r="214" spans="1:11">
      <c r="A214" s="43"/>
      <c r="B214" s="43"/>
      <c r="C214" s="36">
        <v>63</v>
      </c>
      <c r="D214" s="15">
        <v>0</v>
      </c>
      <c r="E214"/>
      <c r="F214"/>
      <c r="G214"/>
      <c r="H214"/>
      <c r="I214"/>
      <c r="J214"/>
      <c r="K214"/>
    </row>
    <row r="215" spans="1:11">
      <c r="A215" s="36" t="s">
        <v>580</v>
      </c>
      <c r="B215" s="36" t="s">
        <v>395</v>
      </c>
      <c r="C215" s="36">
        <v>36</v>
      </c>
      <c r="D215" s="15">
        <v>1</v>
      </c>
      <c r="E215"/>
      <c r="F215"/>
      <c r="G215"/>
      <c r="H215"/>
      <c r="I215"/>
      <c r="J215"/>
      <c r="K215"/>
    </row>
    <row r="216" spans="1:11">
      <c r="A216" s="43"/>
      <c r="B216" s="43"/>
      <c r="C216" s="36">
        <v>45</v>
      </c>
      <c r="D216" s="15">
        <v>1</v>
      </c>
      <c r="E216"/>
      <c r="F216"/>
      <c r="G216"/>
      <c r="H216"/>
      <c r="I216"/>
      <c r="J216"/>
      <c r="K216"/>
    </row>
    <row r="217" spans="1:11">
      <c r="A217" s="43"/>
      <c r="B217" s="43"/>
      <c r="C217" s="36">
        <v>54</v>
      </c>
      <c r="D217" s="15">
        <v>1</v>
      </c>
      <c r="E217"/>
      <c r="F217"/>
      <c r="G217"/>
      <c r="H217"/>
      <c r="I217"/>
      <c r="J217"/>
      <c r="K217"/>
    </row>
    <row r="218" spans="1:11">
      <c r="A218" s="43"/>
      <c r="B218" s="43"/>
      <c r="C218" s="36">
        <v>63</v>
      </c>
      <c r="D218" s="15">
        <v>1</v>
      </c>
      <c r="E218"/>
      <c r="F218"/>
      <c r="G218"/>
      <c r="H218"/>
      <c r="I218"/>
      <c r="J218"/>
      <c r="K218"/>
    </row>
    <row r="219" spans="1:11">
      <c r="A219" s="36" t="s">
        <v>581</v>
      </c>
      <c r="B219" s="36" t="s">
        <v>396</v>
      </c>
      <c r="C219" s="36">
        <v>36</v>
      </c>
      <c r="D219" s="15">
        <v>1</v>
      </c>
      <c r="E219"/>
      <c r="F219"/>
      <c r="G219"/>
      <c r="H219"/>
      <c r="I219"/>
      <c r="J219"/>
      <c r="K219"/>
    </row>
    <row r="220" spans="1:11">
      <c r="A220" s="43"/>
      <c r="B220" s="43"/>
      <c r="C220" s="36">
        <v>45</v>
      </c>
      <c r="D220" s="15">
        <v>1</v>
      </c>
      <c r="E220"/>
      <c r="F220"/>
      <c r="G220"/>
      <c r="H220"/>
      <c r="I220"/>
      <c r="J220"/>
      <c r="K220"/>
    </row>
    <row r="221" spans="1:11">
      <c r="A221" s="43"/>
      <c r="B221" s="43"/>
      <c r="C221" s="36">
        <v>54</v>
      </c>
      <c r="D221" s="15">
        <v>1</v>
      </c>
      <c r="E221"/>
      <c r="F221"/>
      <c r="G221"/>
      <c r="H221"/>
      <c r="I221"/>
      <c r="J221"/>
      <c r="K221"/>
    </row>
    <row r="222" spans="1:11">
      <c r="A222" s="43"/>
      <c r="B222" s="43"/>
      <c r="C222" s="36">
        <v>63</v>
      </c>
      <c r="D222" s="15">
        <v>1</v>
      </c>
      <c r="E222"/>
      <c r="F222"/>
      <c r="G222"/>
      <c r="H222"/>
      <c r="I222"/>
      <c r="J222"/>
      <c r="K222"/>
    </row>
    <row r="223" spans="1:11">
      <c r="A223" s="36" t="s">
        <v>582</v>
      </c>
      <c r="B223" s="36" t="s">
        <v>397</v>
      </c>
      <c r="C223" s="36">
        <v>36</v>
      </c>
      <c r="D223" s="15">
        <v>1</v>
      </c>
      <c r="E223"/>
      <c r="F223"/>
      <c r="G223"/>
      <c r="H223"/>
      <c r="I223"/>
      <c r="J223"/>
      <c r="K223"/>
    </row>
    <row r="224" spans="1:11">
      <c r="A224" s="43"/>
      <c r="B224" s="43"/>
      <c r="C224" s="36">
        <v>45</v>
      </c>
      <c r="D224" s="15">
        <v>1</v>
      </c>
      <c r="E224"/>
      <c r="F224"/>
      <c r="G224"/>
      <c r="H224"/>
      <c r="I224"/>
      <c r="J224"/>
      <c r="K224"/>
    </row>
    <row r="225" spans="1:11">
      <c r="A225" s="43"/>
      <c r="B225" s="43"/>
      <c r="C225" s="36">
        <v>54</v>
      </c>
      <c r="D225" s="15">
        <v>1</v>
      </c>
      <c r="E225"/>
      <c r="F225"/>
      <c r="G225"/>
      <c r="H225"/>
      <c r="I225"/>
      <c r="J225"/>
      <c r="K225"/>
    </row>
    <row r="226" spans="1:11">
      <c r="A226" s="43"/>
      <c r="B226" s="43"/>
      <c r="C226" s="36">
        <v>63</v>
      </c>
      <c r="D226" s="15">
        <v>1</v>
      </c>
      <c r="E226"/>
      <c r="F226"/>
      <c r="G226"/>
      <c r="H226"/>
      <c r="I226"/>
      <c r="J226"/>
      <c r="K226"/>
    </row>
    <row r="227" spans="1:11">
      <c r="A227" s="36" t="s">
        <v>583</v>
      </c>
      <c r="B227" s="36" t="s">
        <v>398</v>
      </c>
      <c r="C227" s="36">
        <v>36</v>
      </c>
      <c r="D227" s="15">
        <v>1</v>
      </c>
      <c r="E227"/>
      <c r="F227"/>
      <c r="G227"/>
      <c r="H227"/>
      <c r="I227"/>
      <c r="J227"/>
      <c r="K227"/>
    </row>
    <row r="228" spans="1:11">
      <c r="A228" s="43"/>
      <c r="B228" s="43"/>
      <c r="C228" s="36">
        <v>45</v>
      </c>
      <c r="D228" s="15">
        <v>1</v>
      </c>
      <c r="E228"/>
      <c r="F228"/>
      <c r="G228"/>
      <c r="H228"/>
      <c r="I228"/>
      <c r="J228"/>
      <c r="K228"/>
    </row>
    <row r="229" spans="1:11">
      <c r="A229" s="43"/>
      <c r="B229" s="43"/>
      <c r="C229" s="36">
        <v>54</v>
      </c>
      <c r="D229" s="15">
        <v>1</v>
      </c>
      <c r="E229"/>
      <c r="F229"/>
      <c r="G229"/>
      <c r="H229"/>
      <c r="I229"/>
      <c r="J229"/>
      <c r="K229"/>
    </row>
    <row r="230" spans="1:11">
      <c r="A230" s="43"/>
      <c r="B230" s="43"/>
      <c r="C230" s="36">
        <v>63</v>
      </c>
      <c r="D230" s="15">
        <v>1</v>
      </c>
      <c r="E230"/>
      <c r="F230"/>
      <c r="G230"/>
      <c r="H230"/>
      <c r="I230"/>
      <c r="J230"/>
      <c r="K230"/>
    </row>
    <row r="231" spans="1:11">
      <c r="A231" s="36" t="s">
        <v>584</v>
      </c>
      <c r="B231" s="36" t="s">
        <v>399</v>
      </c>
      <c r="C231" s="36">
        <v>36</v>
      </c>
      <c r="D231" s="15">
        <v>1</v>
      </c>
      <c r="E231"/>
      <c r="F231"/>
      <c r="G231"/>
      <c r="H231"/>
      <c r="I231"/>
      <c r="J231"/>
      <c r="K231"/>
    </row>
    <row r="232" spans="1:11">
      <c r="A232" s="43"/>
      <c r="B232" s="43"/>
      <c r="C232" s="36">
        <v>45</v>
      </c>
      <c r="D232" s="15">
        <v>1</v>
      </c>
      <c r="E232"/>
      <c r="F232"/>
      <c r="G232"/>
      <c r="H232"/>
      <c r="I232"/>
      <c r="J232"/>
      <c r="K232"/>
    </row>
    <row r="233" spans="1:11">
      <c r="A233" s="43"/>
      <c r="B233" s="43"/>
      <c r="C233" s="36">
        <v>54</v>
      </c>
      <c r="D233" s="15">
        <v>1</v>
      </c>
      <c r="E233"/>
      <c r="F233"/>
      <c r="G233"/>
      <c r="H233"/>
      <c r="I233"/>
      <c r="J233"/>
      <c r="K233"/>
    </row>
    <row r="234" spans="1:11">
      <c r="A234" s="43"/>
      <c r="B234" s="43"/>
      <c r="C234" s="36">
        <v>63</v>
      </c>
      <c r="D234" s="15">
        <v>1</v>
      </c>
      <c r="E234"/>
      <c r="F234"/>
      <c r="G234"/>
      <c r="H234"/>
      <c r="I234"/>
      <c r="J234"/>
      <c r="K234"/>
    </row>
    <row r="235" spans="1:11">
      <c r="A235" s="36" t="s">
        <v>585</v>
      </c>
      <c r="B235" s="36" t="s">
        <v>400</v>
      </c>
      <c r="C235" s="36">
        <v>36</v>
      </c>
      <c r="D235" s="15">
        <v>1</v>
      </c>
      <c r="E235"/>
      <c r="F235"/>
      <c r="G235"/>
      <c r="H235"/>
      <c r="I235"/>
      <c r="J235"/>
      <c r="K235"/>
    </row>
    <row r="236" spans="1:11">
      <c r="A236" s="43"/>
      <c r="B236" s="43"/>
      <c r="C236" s="36">
        <v>45</v>
      </c>
      <c r="D236" s="15">
        <v>1</v>
      </c>
      <c r="E236"/>
      <c r="F236"/>
      <c r="G236"/>
      <c r="H236"/>
      <c r="I236"/>
      <c r="J236"/>
      <c r="K236"/>
    </row>
    <row r="237" spans="1:11">
      <c r="A237" s="43"/>
      <c r="B237" s="43"/>
      <c r="C237" s="36">
        <v>54</v>
      </c>
      <c r="D237" s="15">
        <v>1</v>
      </c>
      <c r="E237"/>
      <c r="F237"/>
      <c r="G237"/>
      <c r="H237"/>
      <c r="I237"/>
      <c r="J237"/>
      <c r="K237"/>
    </row>
    <row r="238" spans="1:11">
      <c r="A238" s="43"/>
      <c r="B238" s="43"/>
      <c r="C238" s="36">
        <v>63</v>
      </c>
      <c r="D238" s="15">
        <v>1</v>
      </c>
      <c r="E238"/>
      <c r="F238"/>
      <c r="G238"/>
      <c r="H238"/>
      <c r="I238"/>
      <c r="J238"/>
      <c r="K238"/>
    </row>
    <row r="239" spans="1:11">
      <c r="A239" s="36" t="s">
        <v>586</v>
      </c>
      <c r="B239" s="36" t="s">
        <v>401</v>
      </c>
      <c r="C239" s="36">
        <v>36</v>
      </c>
      <c r="D239" s="15">
        <v>1</v>
      </c>
      <c r="E239"/>
      <c r="F239"/>
      <c r="G239"/>
      <c r="H239"/>
      <c r="I239"/>
      <c r="J239"/>
      <c r="K239"/>
    </row>
    <row r="240" spans="1:11">
      <c r="A240" s="43"/>
      <c r="B240" s="43"/>
      <c r="C240" s="36">
        <v>45</v>
      </c>
      <c r="D240" s="15">
        <v>1</v>
      </c>
      <c r="E240"/>
      <c r="F240"/>
      <c r="G240"/>
      <c r="H240"/>
      <c r="I240"/>
      <c r="J240"/>
      <c r="K240"/>
    </row>
    <row r="241" spans="1:11">
      <c r="A241" s="43"/>
      <c r="B241" s="43"/>
      <c r="C241" s="36">
        <v>54</v>
      </c>
      <c r="D241" s="15">
        <v>1</v>
      </c>
      <c r="E241"/>
      <c r="F241"/>
      <c r="G241"/>
      <c r="H241"/>
      <c r="I241"/>
      <c r="J241"/>
      <c r="K241"/>
    </row>
    <row r="242" spans="1:11">
      <c r="A242" s="43"/>
      <c r="B242" s="43"/>
      <c r="C242" s="36">
        <v>63</v>
      </c>
      <c r="D242" s="15">
        <v>1</v>
      </c>
      <c r="E242"/>
      <c r="F242"/>
      <c r="G242"/>
      <c r="H242"/>
      <c r="I242"/>
      <c r="J242"/>
      <c r="K242"/>
    </row>
    <row r="243" spans="1:11">
      <c r="A243" s="36" t="s">
        <v>587</v>
      </c>
      <c r="B243" s="36" t="s">
        <v>402</v>
      </c>
      <c r="C243" s="36">
        <v>36</v>
      </c>
      <c r="D243" s="15">
        <v>1</v>
      </c>
      <c r="E243"/>
      <c r="F243"/>
      <c r="G243"/>
      <c r="H243"/>
      <c r="I243"/>
      <c r="J243"/>
      <c r="K243"/>
    </row>
    <row r="244" spans="1:11">
      <c r="A244" s="43"/>
      <c r="B244" s="43"/>
      <c r="C244" s="36">
        <v>45</v>
      </c>
      <c r="D244" s="15">
        <v>1</v>
      </c>
      <c r="E244"/>
      <c r="F244"/>
      <c r="G244"/>
      <c r="H244"/>
      <c r="I244"/>
      <c r="J244"/>
      <c r="K244"/>
    </row>
    <row r="245" spans="1:11">
      <c r="A245" s="43"/>
      <c r="B245" s="43"/>
      <c r="C245" s="36">
        <v>54</v>
      </c>
      <c r="D245" s="15">
        <v>1</v>
      </c>
      <c r="E245"/>
      <c r="F245"/>
      <c r="G245"/>
      <c r="H245"/>
      <c r="I245"/>
      <c r="J245"/>
      <c r="K245"/>
    </row>
    <row r="246" spans="1:11">
      <c r="A246" s="43"/>
      <c r="B246" s="43"/>
      <c r="C246" s="36">
        <v>63</v>
      </c>
      <c r="D246" s="15">
        <v>1</v>
      </c>
      <c r="E246"/>
      <c r="F246"/>
      <c r="G246"/>
      <c r="H246"/>
      <c r="I246"/>
      <c r="J246"/>
      <c r="K246"/>
    </row>
    <row r="247" spans="1:11">
      <c r="A247" s="36" t="s">
        <v>433</v>
      </c>
      <c r="B247" s="36" t="s">
        <v>66</v>
      </c>
      <c r="C247" s="36">
        <v>36</v>
      </c>
      <c r="D247" s="15">
        <v>2</v>
      </c>
      <c r="E247"/>
      <c r="F247"/>
      <c r="G247"/>
      <c r="H247"/>
      <c r="I247"/>
      <c r="J247"/>
      <c r="K247"/>
    </row>
    <row r="248" spans="1:11">
      <c r="A248" s="43"/>
      <c r="B248" s="43"/>
      <c r="C248" s="36">
        <v>45</v>
      </c>
      <c r="D248" s="15">
        <v>2</v>
      </c>
      <c r="E248"/>
      <c r="F248"/>
      <c r="G248"/>
      <c r="H248"/>
      <c r="I248"/>
      <c r="J248"/>
      <c r="K248"/>
    </row>
    <row r="249" spans="1:11">
      <c r="A249" s="36" t="s">
        <v>588</v>
      </c>
      <c r="B249" s="36" t="s">
        <v>67</v>
      </c>
      <c r="C249" s="36">
        <v>36</v>
      </c>
      <c r="D249" s="15">
        <v>2</v>
      </c>
      <c r="E249"/>
      <c r="F249"/>
      <c r="G249"/>
      <c r="H249"/>
      <c r="I249"/>
      <c r="J249"/>
      <c r="K249"/>
    </row>
    <row r="250" spans="1:11">
      <c r="A250" s="43"/>
      <c r="B250" s="43"/>
      <c r="C250" s="36">
        <v>45</v>
      </c>
      <c r="D250" s="15">
        <v>2</v>
      </c>
      <c r="E250"/>
      <c r="F250"/>
      <c r="G250"/>
      <c r="H250"/>
      <c r="I250"/>
      <c r="J250"/>
      <c r="K250"/>
    </row>
    <row r="251" spans="1:11">
      <c r="A251" s="36" t="s">
        <v>589</v>
      </c>
      <c r="B251" s="36" t="s">
        <v>68</v>
      </c>
      <c r="C251" s="36">
        <v>36</v>
      </c>
      <c r="D251" s="15">
        <v>2</v>
      </c>
      <c r="E251"/>
      <c r="F251"/>
      <c r="G251"/>
      <c r="H251"/>
      <c r="I251"/>
      <c r="J251"/>
      <c r="K251"/>
    </row>
    <row r="252" spans="1:11">
      <c r="A252" s="43"/>
      <c r="B252" s="43"/>
      <c r="C252" s="36">
        <v>45</v>
      </c>
      <c r="D252" s="15">
        <v>2</v>
      </c>
      <c r="E252"/>
      <c r="F252"/>
      <c r="G252"/>
      <c r="H252"/>
      <c r="I252"/>
      <c r="J252"/>
      <c r="K252"/>
    </row>
    <row r="253" spans="1:11">
      <c r="A253" s="36" t="s">
        <v>590</v>
      </c>
      <c r="B253" s="36" t="s">
        <v>69</v>
      </c>
      <c r="C253" s="36">
        <v>36</v>
      </c>
      <c r="D253" s="15">
        <v>2</v>
      </c>
      <c r="E253"/>
      <c r="F253"/>
      <c r="G253"/>
      <c r="H253"/>
      <c r="I253"/>
      <c r="J253"/>
      <c r="K253"/>
    </row>
    <row r="254" spans="1:11">
      <c r="A254" s="43"/>
      <c r="B254" s="43"/>
      <c r="C254" s="36">
        <v>45</v>
      </c>
      <c r="D254" s="15">
        <v>2</v>
      </c>
      <c r="E254"/>
      <c r="F254"/>
      <c r="G254"/>
      <c r="H254"/>
      <c r="I254"/>
      <c r="J254"/>
      <c r="K254"/>
    </row>
    <row r="255" spans="1:11">
      <c r="A255" s="36" t="s">
        <v>591</v>
      </c>
      <c r="B255" s="36" t="s">
        <v>70</v>
      </c>
      <c r="C255" s="36">
        <v>36</v>
      </c>
      <c r="D255" s="15">
        <v>2</v>
      </c>
      <c r="E255"/>
      <c r="F255"/>
      <c r="G255"/>
      <c r="H255"/>
      <c r="I255"/>
      <c r="J255"/>
      <c r="K255"/>
    </row>
    <row r="256" spans="1:11">
      <c r="A256" s="43"/>
      <c r="B256" s="43"/>
      <c r="C256" s="36">
        <v>45</v>
      </c>
      <c r="D256" s="15">
        <v>2</v>
      </c>
      <c r="E256"/>
      <c r="F256"/>
      <c r="G256"/>
      <c r="H256"/>
      <c r="I256"/>
      <c r="J256"/>
      <c r="K256"/>
    </row>
    <row r="257" spans="1:11">
      <c r="A257" s="36" t="s">
        <v>592</v>
      </c>
      <c r="B257" s="36" t="s">
        <v>71</v>
      </c>
      <c r="C257" s="36">
        <v>36</v>
      </c>
      <c r="D257" s="15">
        <v>2</v>
      </c>
      <c r="E257"/>
      <c r="F257"/>
      <c r="G257"/>
      <c r="H257"/>
      <c r="I257"/>
      <c r="J257"/>
      <c r="K257"/>
    </row>
    <row r="258" spans="1:11">
      <c r="A258" s="43"/>
      <c r="B258" s="43"/>
      <c r="C258" s="36">
        <v>45</v>
      </c>
      <c r="D258" s="15">
        <v>2</v>
      </c>
      <c r="E258"/>
      <c r="F258"/>
      <c r="G258"/>
      <c r="H258"/>
      <c r="I258"/>
      <c r="J258"/>
      <c r="K258"/>
    </row>
    <row r="259" spans="1:11">
      <c r="A259" s="36" t="s">
        <v>593</v>
      </c>
      <c r="B259" s="36" t="s">
        <v>72</v>
      </c>
      <c r="C259" s="36">
        <v>36</v>
      </c>
      <c r="D259" s="15">
        <v>2</v>
      </c>
      <c r="E259"/>
      <c r="F259"/>
      <c r="G259"/>
      <c r="H259"/>
      <c r="I259"/>
      <c r="J259"/>
      <c r="K259"/>
    </row>
    <row r="260" spans="1:11">
      <c r="A260" s="43"/>
      <c r="B260" s="43"/>
      <c r="C260" s="36">
        <v>45</v>
      </c>
      <c r="D260" s="15">
        <v>2</v>
      </c>
      <c r="E260"/>
      <c r="F260"/>
      <c r="G260"/>
      <c r="H260"/>
      <c r="I260"/>
      <c r="J260"/>
      <c r="K260"/>
    </row>
    <row r="261" spans="1:11">
      <c r="A261" s="36" t="s">
        <v>435</v>
      </c>
      <c r="B261" s="36" t="s">
        <v>73</v>
      </c>
      <c r="C261" s="36">
        <v>54</v>
      </c>
      <c r="D261" s="15">
        <v>3</v>
      </c>
      <c r="E261"/>
      <c r="F261"/>
      <c r="G261"/>
      <c r="H261"/>
      <c r="I261"/>
      <c r="J261"/>
      <c r="K261"/>
    </row>
    <row r="262" spans="1:11">
      <c r="A262" s="36" t="s">
        <v>594</v>
      </c>
      <c r="B262" s="36" t="s">
        <v>74</v>
      </c>
      <c r="C262" s="36">
        <v>54</v>
      </c>
      <c r="D262" s="15">
        <v>3</v>
      </c>
      <c r="E262"/>
      <c r="F262"/>
      <c r="G262"/>
      <c r="H262"/>
      <c r="I262"/>
      <c r="J262"/>
      <c r="K262"/>
    </row>
    <row r="263" spans="1:11">
      <c r="A263" s="43"/>
      <c r="B263" s="43"/>
      <c r="C263" s="36">
        <v>63</v>
      </c>
      <c r="D263" s="15">
        <v>3</v>
      </c>
      <c r="E263"/>
      <c r="F263"/>
      <c r="G263"/>
      <c r="H263"/>
      <c r="I263"/>
      <c r="J263"/>
      <c r="K263"/>
    </row>
    <row r="264" spans="1:11">
      <c r="A264" s="36" t="s">
        <v>595</v>
      </c>
      <c r="B264" s="36" t="s">
        <v>75</v>
      </c>
      <c r="C264" s="36">
        <v>54</v>
      </c>
      <c r="D264" s="15">
        <v>3</v>
      </c>
      <c r="E264"/>
      <c r="F264"/>
      <c r="G264"/>
      <c r="H264"/>
      <c r="I264"/>
      <c r="J264"/>
      <c r="K264"/>
    </row>
    <row r="265" spans="1:11">
      <c r="A265" s="43"/>
      <c r="B265" s="43"/>
      <c r="C265" s="36">
        <v>63</v>
      </c>
      <c r="D265" s="15">
        <v>3</v>
      </c>
      <c r="E265"/>
      <c r="F265"/>
      <c r="G265"/>
      <c r="H265"/>
      <c r="I265"/>
      <c r="J265"/>
      <c r="K265"/>
    </row>
    <row r="266" spans="1:11">
      <c r="A266" s="36" t="s">
        <v>596</v>
      </c>
      <c r="B266" s="36" t="s">
        <v>76</v>
      </c>
      <c r="C266" s="36">
        <v>54</v>
      </c>
      <c r="D266" s="15">
        <v>3</v>
      </c>
      <c r="E266"/>
      <c r="F266"/>
      <c r="G266"/>
      <c r="H266"/>
      <c r="I266"/>
      <c r="J266"/>
      <c r="K266"/>
    </row>
    <row r="267" spans="1:11">
      <c r="A267" s="43"/>
      <c r="B267" s="43"/>
      <c r="C267" s="36">
        <v>63</v>
      </c>
      <c r="D267" s="15">
        <v>3</v>
      </c>
      <c r="E267"/>
      <c r="F267"/>
      <c r="G267"/>
      <c r="H267"/>
      <c r="I267"/>
      <c r="J267"/>
      <c r="K267"/>
    </row>
    <row r="268" spans="1:11">
      <c r="A268" s="36" t="s">
        <v>597</v>
      </c>
      <c r="B268" s="36" t="s">
        <v>77</v>
      </c>
      <c r="C268" s="36">
        <v>54</v>
      </c>
      <c r="D268" s="15">
        <v>3</v>
      </c>
      <c r="E268"/>
      <c r="F268"/>
      <c r="G268"/>
      <c r="H268"/>
      <c r="I268"/>
      <c r="J268"/>
      <c r="K268"/>
    </row>
    <row r="269" spans="1:11">
      <c r="A269" s="43"/>
      <c r="B269" s="43"/>
      <c r="C269" s="36">
        <v>63</v>
      </c>
      <c r="D269" s="15">
        <v>3</v>
      </c>
      <c r="E269"/>
      <c r="F269"/>
      <c r="G269"/>
      <c r="H269"/>
      <c r="I269"/>
      <c r="J269"/>
      <c r="K269"/>
    </row>
    <row r="270" spans="1:11">
      <c r="A270" s="36" t="s">
        <v>598</v>
      </c>
      <c r="B270" s="36" t="s">
        <v>78</v>
      </c>
      <c r="C270" s="36">
        <v>54</v>
      </c>
      <c r="D270" s="15">
        <v>3</v>
      </c>
      <c r="E270"/>
      <c r="F270"/>
      <c r="G270"/>
      <c r="H270"/>
      <c r="I270"/>
      <c r="J270"/>
      <c r="K270"/>
    </row>
    <row r="271" spans="1:11">
      <c r="A271" s="43"/>
      <c r="B271" s="43"/>
      <c r="C271" s="36">
        <v>63</v>
      </c>
      <c r="D271" s="15">
        <v>3</v>
      </c>
      <c r="E271"/>
      <c r="F271"/>
      <c r="G271"/>
      <c r="H271"/>
      <c r="I271"/>
      <c r="J271"/>
      <c r="K271"/>
    </row>
    <row r="272" spans="1:11">
      <c r="A272" s="36" t="s">
        <v>599</v>
      </c>
      <c r="B272" s="36" t="s">
        <v>79</v>
      </c>
      <c r="C272" s="36">
        <v>54</v>
      </c>
      <c r="D272" s="15">
        <v>3</v>
      </c>
      <c r="E272"/>
      <c r="F272"/>
      <c r="G272"/>
      <c r="H272"/>
      <c r="I272"/>
      <c r="J272"/>
      <c r="K272"/>
    </row>
    <row r="273" spans="1:11">
      <c r="A273" s="43"/>
      <c r="B273" s="43"/>
      <c r="C273" s="36">
        <v>63</v>
      </c>
      <c r="D273" s="15">
        <v>3</v>
      </c>
      <c r="E273"/>
      <c r="F273"/>
      <c r="G273"/>
      <c r="H273"/>
      <c r="I273"/>
      <c r="J273"/>
      <c r="K273"/>
    </row>
    <row r="274" spans="1:11">
      <c r="A274" s="36" t="s">
        <v>600</v>
      </c>
      <c r="B274" s="36" t="s">
        <v>80</v>
      </c>
      <c r="C274" s="36">
        <v>54</v>
      </c>
      <c r="D274" s="15">
        <v>3</v>
      </c>
      <c r="E274"/>
      <c r="F274"/>
      <c r="G274"/>
      <c r="H274"/>
      <c r="I274"/>
      <c r="J274"/>
      <c r="K274"/>
    </row>
    <row r="275" spans="1:11">
      <c r="A275" s="43"/>
      <c r="B275" s="43"/>
      <c r="C275" s="36">
        <v>63</v>
      </c>
      <c r="D275" s="15">
        <v>3</v>
      </c>
      <c r="E275"/>
      <c r="F275"/>
      <c r="G275"/>
      <c r="H275"/>
      <c r="I275"/>
      <c r="J275"/>
      <c r="K275"/>
    </row>
    <row r="276" spans="1:11">
      <c r="A276" s="36" t="s">
        <v>601</v>
      </c>
      <c r="B276" s="36" t="s">
        <v>81</v>
      </c>
      <c r="C276" s="36">
        <v>54</v>
      </c>
      <c r="D276" s="15">
        <v>3</v>
      </c>
      <c r="E276"/>
      <c r="F276"/>
      <c r="G276"/>
      <c r="H276"/>
      <c r="I276"/>
      <c r="J276"/>
      <c r="K276"/>
    </row>
    <row r="277" spans="1:11">
      <c r="A277" s="43"/>
      <c r="B277" s="43"/>
      <c r="C277" s="36">
        <v>63</v>
      </c>
      <c r="D277" s="15">
        <v>3</v>
      </c>
      <c r="E277"/>
      <c r="F277"/>
      <c r="G277"/>
      <c r="H277"/>
      <c r="I277"/>
      <c r="J277"/>
      <c r="K277"/>
    </row>
    <row r="278" spans="1:11">
      <c r="A278" s="36" t="s">
        <v>602</v>
      </c>
      <c r="B278" s="36" t="s">
        <v>82</v>
      </c>
      <c r="C278" s="36">
        <v>54</v>
      </c>
      <c r="D278" s="15">
        <v>3</v>
      </c>
      <c r="E278"/>
      <c r="F278"/>
      <c r="G278"/>
      <c r="H278"/>
      <c r="I278"/>
      <c r="J278"/>
      <c r="K278"/>
    </row>
    <row r="279" spans="1:11">
      <c r="A279" s="43"/>
      <c r="B279" s="43"/>
      <c r="C279" s="36">
        <v>63</v>
      </c>
      <c r="D279" s="15">
        <v>3</v>
      </c>
      <c r="E279"/>
      <c r="F279"/>
      <c r="G279"/>
      <c r="H279"/>
      <c r="I279"/>
      <c r="J279"/>
      <c r="K279"/>
    </row>
    <row r="280" spans="1:11">
      <c r="A280" s="36" t="s">
        <v>603</v>
      </c>
      <c r="B280" s="36" t="s">
        <v>83</v>
      </c>
      <c r="C280" s="36">
        <v>54</v>
      </c>
      <c r="D280" s="15">
        <v>3</v>
      </c>
      <c r="E280"/>
      <c r="F280"/>
      <c r="G280"/>
      <c r="H280"/>
      <c r="I280"/>
      <c r="J280"/>
      <c r="K280"/>
    </row>
    <row r="281" spans="1:11">
      <c r="A281" s="43"/>
      <c r="B281" s="43"/>
      <c r="C281" s="36">
        <v>63</v>
      </c>
      <c r="D281" s="15">
        <v>3</v>
      </c>
      <c r="E281"/>
      <c r="F281"/>
      <c r="G281"/>
      <c r="H281"/>
      <c r="I281"/>
      <c r="J281"/>
      <c r="K281"/>
    </row>
    <row r="282" spans="1:11">
      <c r="A282" s="36" t="s">
        <v>604</v>
      </c>
      <c r="B282" s="36" t="s">
        <v>84</v>
      </c>
      <c r="C282" s="36">
        <v>54</v>
      </c>
      <c r="D282" s="15">
        <v>3</v>
      </c>
      <c r="E282"/>
      <c r="F282"/>
      <c r="G282"/>
      <c r="H282"/>
      <c r="I282"/>
      <c r="J282"/>
      <c r="K282"/>
    </row>
    <row r="283" spans="1:11">
      <c r="A283" s="43"/>
      <c r="B283" s="43"/>
      <c r="C283" s="36">
        <v>63</v>
      </c>
      <c r="D283" s="15">
        <v>3</v>
      </c>
      <c r="E283"/>
      <c r="F283"/>
      <c r="G283"/>
      <c r="H283"/>
      <c r="I283"/>
      <c r="J283"/>
      <c r="K283"/>
    </row>
    <row r="284" spans="1:11">
      <c r="A284" s="36" t="s">
        <v>605</v>
      </c>
      <c r="B284" s="36" t="s">
        <v>85</v>
      </c>
      <c r="C284" s="36">
        <v>54</v>
      </c>
      <c r="D284" s="15">
        <v>3</v>
      </c>
      <c r="E284"/>
      <c r="F284"/>
      <c r="G284"/>
      <c r="H284"/>
      <c r="I284"/>
      <c r="J284"/>
      <c r="K284"/>
    </row>
    <row r="285" spans="1:11">
      <c r="A285" s="43"/>
      <c r="B285" s="43"/>
      <c r="C285" s="36">
        <v>63</v>
      </c>
      <c r="D285" s="15">
        <v>3</v>
      </c>
      <c r="E285"/>
      <c r="F285"/>
      <c r="G285"/>
      <c r="H285"/>
      <c r="I285"/>
      <c r="J285"/>
      <c r="K285"/>
    </row>
    <row r="286" spans="1:11">
      <c r="A286" s="36" t="s">
        <v>606</v>
      </c>
      <c r="B286" s="36" t="s">
        <v>86</v>
      </c>
      <c r="C286" s="36">
        <v>54</v>
      </c>
      <c r="D286" s="15">
        <v>3</v>
      </c>
      <c r="E286"/>
      <c r="F286"/>
      <c r="G286"/>
      <c r="H286"/>
      <c r="I286"/>
      <c r="J286"/>
      <c r="K286"/>
    </row>
    <row r="287" spans="1:11">
      <c r="A287" s="43"/>
      <c r="B287" s="43"/>
      <c r="C287" s="36">
        <v>63</v>
      </c>
      <c r="D287" s="15">
        <v>3</v>
      </c>
      <c r="E287"/>
      <c r="F287"/>
      <c r="G287"/>
      <c r="H287"/>
      <c r="I287"/>
      <c r="J287"/>
      <c r="K287"/>
    </row>
    <row r="288" spans="1:11">
      <c r="A288" s="36" t="s">
        <v>419</v>
      </c>
      <c r="B288" s="36" t="s">
        <v>629</v>
      </c>
      <c r="C288" s="36">
        <v>30</v>
      </c>
      <c r="D288" s="15">
        <v>1</v>
      </c>
      <c r="E288"/>
      <c r="F288"/>
      <c r="G288"/>
      <c r="H288"/>
      <c r="I288"/>
      <c r="J288"/>
      <c r="K288"/>
    </row>
    <row r="289" spans="1:11">
      <c r="A289" s="43"/>
      <c r="B289" s="43"/>
      <c r="C289" s="36">
        <v>36</v>
      </c>
      <c r="D289" s="15">
        <v>3</v>
      </c>
      <c r="E289"/>
      <c r="F289"/>
      <c r="G289"/>
      <c r="H289"/>
      <c r="I289"/>
      <c r="J289"/>
      <c r="K289"/>
    </row>
    <row r="290" spans="1:11">
      <c r="A290" s="43"/>
      <c r="B290" s="43"/>
      <c r="C290" s="36">
        <v>41</v>
      </c>
      <c r="D290" s="15">
        <v>3</v>
      </c>
      <c r="E290"/>
      <c r="F290"/>
      <c r="G290"/>
      <c r="H290"/>
      <c r="I290"/>
      <c r="J290"/>
      <c r="K290"/>
    </row>
    <row r="291" spans="1:11">
      <c r="A291" s="43"/>
      <c r="B291" s="43"/>
      <c r="C291" s="36">
        <v>45</v>
      </c>
      <c r="D291" s="15">
        <v>3</v>
      </c>
      <c r="E291"/>
      <c r="F291"/>
      <c r="G291"/>
      <c r="H291"/>
      <c r="I291"/>
      <c r="J291"/>
      <c r="K291"/>
    </row>
    <row r="292" spans="1:11">
      <c r="A292" s="43"/>
      <c r="B292" s="43"/>
      <c r="C292" s="36">
        <v>54</v>
      </c>
      <c r="D292" s="15">
        <v>1</v>
      </c>
      <c r="E292"/>
      <c r="F292"/>
      <c r="G292"/>
      <c r="H292"/>
      <c r="I292"/>
      <c r="J292"/>
      <c r="K292"/>
    </row>
    <row r="293" spans="1:11">
      <c r="A293" s="36" t="s">
        <v>443</v>
      </c>
      <c r="B293" s="36" t="s">
        <v>289</v>
      </c>
      <c r="C293" s="36">
        <v>30</v>
      </c>
      <c r="D293" s="15">
        <v>1</v>
      </c>
      <c r="E293"/>
      <c r="F293"/>
      <c r="G293"/>
      <c r="H293"/>
      <c r="I293"/>
      <c r="J293"/>
      <c r="K293"/>
    </row>
    <row r="294" spans="1:11">
      <c r="A294" s="43"/>
      <c r="B294" s="43"/>
      <c r="C294" s="36">
        <v>36</v>
      </c>
      <c r="D294" s="15">
        <v>3</v>
      </c>
      <c r="E294"/>
      <c r="F294"/>
      <c r="G294"/>
      <c r="H294"/>
      <c r="I294"/>
      <c r="J294"/>
      <c r="K294"/>
    </row>
    <row r="295" spans="1:11">
      <c r="A295" s="43"/>
      <c r="B295" s="43"/>
      <c r="C295" s="36">
        <v>41</v>
      </c>
      <c r="D295" s="15">
        <v>3</v>
      </c>
      <c r="E295"/>
      <c r="F295"/>
      <c r="G295"/>
      <c r="H295"/>
      <c r="I295"/>
      <c r="J295"/>
      <c r="K295"/>
    </row>
    <row r="296" spans="1:11">
      <c r="A296" s="43"/>
      <c r="B296" s="43"/>
      <c r="C296" s="36">
        <v>45</v>
      </c>
      <c r="D296" s="15">
        <v>3</v>
      </c>
      <c r="E296"/>
      <c r="F296"/>
      <c r="G296"/>
      <c r="H296"/>
      <c r="I296"/>
      <c r="J296"/>
      <c r="K296"/>
    </row>
    <row r="297" spans="1:11">
      <c r="A297" s="43"/>
      <c r="B297" s="43"/>
      <c r="C297" s="36">
        <v>54</v>
      </c>
      <c r="D297" s="15">
        <v>1</v>
      </c>
      <c r="E297"/>
      <c r="F297"/>
      <c r="G297"/>
      <c r="H297"/>
      <c r="I297"/>
      <c r="J297"/>
      <c r="K297"/>
    </row>
    <row r="298" spans="1:11">
      <c r="A298" s="36" t="s">
        <v>444</v>
      </c>
      <c r="B298" s="36" t="s">
        <v>290</v>
      </c>
      <c r="C298" s="36">
        <v>30</v>
      </c>
      <c r="D298" s="15">
        <v>1</v>
      </c>
      <c r="E298"/>
      <c r="F298"/>
      <c r="G298"/>
      <c r="H298"/>
      <c r="I298"/>
      <c r="J298"/>
      <c r="K298"/>
    </row>
    <row r="299" spans="1:11">
      <c r="A299" s="43"/>
      <c r="B299" s="43"/>
      <c r="C299" s="36">
        <v>36</v>
      </c>
      <c r="D299" s="15">
        <v>3</v>
      </c>
      <c r="E299"/>
      <c r="F299"/>
      <c r="G299"/>
      <c r="H299"/>
      <c r="I299"/>
      <c r="J299"/>
      <c r="K299"/>
    </row>
    <row r="300" spans="1:11">
      <c r="A300" s="43"/>
      <c r="B300" s="43"/>
      <c r="C300" s="36">
        <v>41</v>
      </c>
      <c r="D300" s="15">
        <v>3</v>
      </c>
      <c r="E300"/>
      <c r="F300"/>
      <c r="G300"/>
      <c r="H300"/>
      <c r="I300"/>
      <c r="J300"/>
      <c r="K300"/>
    </row>
    <row r="301" spans="1:11">
      <c r="A301" s="43"/>
      <c r="B301" s="43"/>
      <c r="C301" s="36">
        <v>45</v>
      </c>
      <c r="D301" s="15">
        <v>3</v>
      </c>
      <c r="E301"/>
      <c r="F301"/>
      <c r="G301"/>
      <c r="H301"/>
      <c r="I301"/>
      <c r="J301"/>
      <c r="K301"/>
    </row>
    <row r="302" spans="1:11">
      <c r="A302" s="43"/>
      <c r="B302" s="43"/>
      <c r="C302" s="36">
        <v>54</v>
      </c>
      <c r="D302" s="15">
        <v>1</v>
      </c>
      <c r="E302"/>
      <c r="F302"/>
      <c r="G302"/>
      <c r="H302"/>
      <c r="I302"/>
      <c r="J302"/>
      <c r="K302"/>
    </row>
    <row r="303" spans="1:11">
      <c r="A303" s="36" t="s">
        <v>445</v>
      </c>
      <c r="B303" s="36" t="s">
        <v>291</v>
      </c>
      <c r="C303" s="36">
        <v>30</v>
      </c>
      <c r="D303" s="15">
        <v>0</v>
      </c>
      <c r="E303"/>
      <c r="F303"/>
      <c r="G303"/>
      <c r="H303"/>
      <c r="I303"/>
      <c r="J303"/>
      <c r="K303"/>
    </row>
    <row r="304" spans="1:11">
      <c r="A304" s="43"/>
      <c r="B304" s="43"/>
      <c r="C304" s="36">
        <v>36</v>
      </c>
      <c r="D304" s="15">
        <v>3</v>
      </c>
      <c r="E304"/>
      <c r="F304"/>
      <c r="G304"/>
      <c r="H304"/>
      <c r="I304"/>
      <c r="J304"/>
      <c r="K304"/>
    </row>
    <row r="305" spans="1:11">
      <c r="A305" s="43"/>
      <c r="B305" s="43"/>
      <c r="C305" s="36">
        <v>45</v>
      </c>
      <c r="D305" s="15">
        <v>3</v>
      </c>
      <c r="E305"/>
      <c r="F305"/>
      <c r="G305"/>
      <c r="H305"/>
      <c r="I305"/>
      <c r="J305"/>
      <c r="K305"/>
    </row>
    <row r="306" spans="1:11">
      <c r="A306" s="43"/>
      <c r="B306" s="43"/>
      <c r="C306" s="36">
        <v>54</v>
      </c>
      <c r="D306" s="15">
        <v>1</v>
      </c>
      <c r="E306"/>
      <c r="F306"/>
      <c r="G306"/>
      <c r="H306"/>
      <c r="I306"/>
      <c r="J306"/>
      <c r="K306"/>
    </row>
    <row r="307" spans="1:11">
      <c r="A307" s="36" t="s">
        <v>446</v>
      </c>
      <c r="B307" s="36" t="s">
        <v>292</v>
      </c>
      <c r="C307" s="36">
        <v>45</v>
      </c>
      <c r="D307" s="15">
        <v>1</v>
      </c>
      <c r="E307"/>
      <c r="F307"/>
      <c r="G307"/>
      <c r="H307"/>
      <c r="I307"/>
      <c r="J307"/>
      <c r="K307"/>
    </row>
    <row r="308" spans="1:11">
      <c r="A308" s="43"/>
      <c r="B308" s="43"/>
      <c r="C308" s="36">
        <v>54</v>
      </c>
      <c r="D308" s="15">
        <v>1</v>
      </c>
      <c r="E308"/>
      <c r="F308"/>
      <c r="G308"/>
      <c r="H308"/>
      <c r="I308"/>
      <c r="J308"/>
      <c r="K308"/>
    </row>
    <row r="309" spans="1:11">
      <c r="A309" s="36" t="s">
        <v>447</v>
      </c>
      <c r="B309" s="36" t="s">
        <v>293</v>
      </c>
      <c r="C309" s="36">
        <v>45</v>
      </c>
      <c r="D309" s="15">
        <v>1</v>
      </c>
      <c r="E309"/>
      <c r="F309"/>
      <c r="G309"/>
      <c r="H309"/>
      <c r="I309"/>
      <c r="J309"/>
      <c r="K309"/>
    </row>
    <row r="310" spans="1:11">
      <c r="A310" s="43"/>
      <c r="B310" s="43"/>
      <c r="C310" s="36">
        <v>54</v>
      </c>
      <c r="D310" s="15">
        <v>1</v>
      </c>
      <c r="E310"/>
      <c r="F310"/>
      <c r="G310"/>
      <c r="H310"/>
      <c r="I310"/>
      <c r="J310"/>
      <c r="K310"/>
    </row>
    <row r="311" spans="1:11">
      <c r="A311" s="36" t="s">
        <v>448</v>
      </c>
      <c r="B311" s="36" t="s">
        <v>294</v>
      </c>
      <c r="C311" s="36">
        <v>36</v>
      </c>
      <c r="D311" s="15">
        <v>2</v>
      </c>
      <c r="E311"/>
      <c r="F311"/>
      <c r="G311"/>
      <c r="H311"/>
      <c r="I311"/>
      <c r="J311"/>
      <c r="K311"/>
    </row>
    <row r="312" spans="1:11">
      <c r="A312" s="43"/>
      <c r="B312" s="43"/>
      <c r="C312" s="36">
        <v>45</v>
      </c>
      <c r="D312" s="15">
        <v>2</v>
      </c>
      <c r="E312"/>
      <c r="F312"/>
      <c r="G312"/>
      <c r="H312"/>
      <c r="I312"/>
      <c r="J312"/>
      <c r="K312"/>
    </row>
    <row r="313" spans="1:11">
      <c r="A313" s="43"/>
      <c r="B313" s="43"/>
      <c r="C313" s="36">
        <v>54</v>
      </c>
      <c r="D313" s="15">
        <v>1</v>
      </c>
      <c r="E313"/>
      <c r="F313"/>
      <c r="G313"/>
      <c r="H313"/>
      <c r="I313"/>
      <c r="J313"/>
      <c r="K313"/>
    </row>
    <row r="314" spans="1:11">
      <c r="A314" s="36" t="s">
        <v>449</v>
      </c>
      <c r="B314" s="36" t="s">
        <v>295</v>
      </c>
      <c r="C314" s="36">
        <v>36</v>
      </c>
      <c r="D314" s="15">
        <v>2</v>
      </c>
      <c r="E314"/>
      <c r="F314"/>
      <c r="G314"/>
      <c r="H314"/>
      <c r="I314"/>
      <c r="J314"/>
      <c r="K314"/>
    </row>
    <row r="315" spans="1:11">
      <c r="A315" s="43"/>
      <c r="B315" s="43"/>
      <c r="C315" s="36">
        <v>45</v>
      </c>
      <c r="D315" s="15">
        <v>2</v>
      </c>
      <c r="E315"/>
      <c r="F315"/>
      <c r="G315"/>
      <c r="H315"/>
      <c r="I315"/>
      <c r="J315"/>
      <c r="K315"/>
    </row>
    <row r="316" spans="1:11">
      <c r="A316" s="43"/>
      <c r="B316" s="43"/>
      <c r="C316" s="36">
        <v>54</v>
      </c>
      <c r="D316" s="15">
        <v>1</v>
      </c>
      <c r="E316"/>
      <c r="F316"/>
      <c r="G316"/>
      <c r="H316"/>
      <c r="I316"/>
      <c r="J316"/>
      <c r="K316"/>
    </row>
    <row r="317" spans="1:11">
      <c r="A317" s="36" t="s">
        <v>450</v>
      </c>
      <c r="B317" s="36" t="s">
        <v>296</v>
      </c>
      <c r="C317" s="36">
        <v>30</v>
      </c>
      <c r="D317" s="15">
        <v>1</v>
      </c>
      <c r="E317"/>
      <c r="F317"/>
      <c r="G317"/>
      <c r="H317"/>
      <c r="I317"/>
      <c r="J317"/>
      <c r="K317"/>
    </row>
    <row r="318" spans="1:11">
      <c r="A318" s="43"/>
      <c r="B318" s="43"/>
      <c r="C318" s="36">
        <v>36</v>
      </c>
      <c r="D318" s="15">
        <v>2</v>
      </c>
      <c r="E318"/>
      <c r="F318"/>
      <c r="G318"/>
      <c r="H318"/>
      <c r="I318"/>
      <c r="J318"/>
      <c r="K318"/>
    </row>
    <row r="319" spans="1:11">
      <c r="A319" s="43"/>
      <c r="B319" s="43"/>
      <c r="C319" s="36">
        <v>45</v>
      </c>
      <c r="D319" s="15">
        <v>2</v>
      </c>
      <c r="E319"/>
      <c r="F319"/>
      <c r="G319"/>
      <c r="H319"/>
      <c r="I319"/>
      <c r="J319"/>
      <c r="K319"/>
    </row>
    <row r="320" spans="1:11">
      <c r="A320" s="43"/>
      <c r="B320" s="43"/>
      <c r="C320" s="36">
        <v>54</v>
      </c>
      <c r="D320" s="15">
        <v>1</v>
      </c>
      <c r="E320"/>
      <c r="F320"/>
      <c r="G320"/>
      <c r="H320"/>
      <c r="I320"/>
      <c r="J320"/>
      <c r="K320"/>
    </row>
    <row r="321" spans="1:11">
      <c r="A321" s="36" t="s">
        <v>451</v>
      </c>
      <c r="B321" s="36" t="s">
        <v>630</v>
      </c>
      <c r="C321" s="36">
        <v>36</v>
      </c>
      <c r="D321" s="15">
        <v>2</v>
      </c>
      <c r="E321"/>
      <c r="F321"/>
      <c r="G321"/>
      <c r="H321"/>
      <c r="I321"/>
      <c r="J321"/>
      <c r="K321"/>
    </row>
    <row r="322" spans="1:11">
      <c r="A322" s="43"/>
      <c r="B322" s="43"/>
      <c r="C322" s="36">
        <v>45</v>
      </c>
      <c r="D322" s="15">
        <v>2</v>
      </c>
      <c r="E322"/>
      <c r="F322"/>
      <c r="G322"/>
      <c r="H322"/>
      <c r="I322"/>
      <c r="J322"/>
      <c r="K322"/>
    </row>
    <row r="323" spans="1:11">
      <c r="A323" s="43"/>
      <c r="B323" s="43"/>
      <c r="C323" s="36">
        <v>54</v>
      </c>
      <c r="D323" s="15">
        <v>1</v>
      </c>
      <c r="E323"/>
      <c r="F323"/>
      <c r="G323"/>
      <c r="H323"/>
      <c r="I323"/>
      <c r="J323"/>
      <c r="K323"/>
    </row>
    <row r="324" spans="1:11">
      <c r="A324" s="36" t="s">
        <v>452</v>
      </c>
      <c r="B324" s="36" t="s">
        <v>297</v>
      </c>
      <c r="C324" s="36">
        <v>36</v>
      </c>
      <c r="D324" s="15">
        <v>2</v>
      </c>
      <c r="E324"/>
      <c r="F324"/>
      <c r="G324"/>
      <c r="H324"/>
      <c r="I324"/>
      <c r="J324"/>
      <c r="K324"/>
    </row>
    <row r="325" spans="1:11">
      <c r="A325" s="43"/>
      <c r="B325" s="43"/>
      <c r="C325" s="36">
        <v>45</v>
      </c>
      <c r="D325" s="15">
        <v>2</v>
      </c>
      <c r="E325"/>
      <c r="F325"/>
      <c r="G325"/>
      <c r="H325"/>
      <c r="I325"/>
      <c r="J325"/>
      <c r="K325"/>
    </row>
    <row r="326" spans="1:11">
      <c r="A326" s="43"/>
      <c r="B326" s="43"/>
      <c r="C326" s="36">
        <v>54</v>
      </c>
      <c r="D326" s="15">
        <v>1</v>
      </c>
      <c r="E326"/>
      <c r="F326"/>
      <c r="G326"/>
      <c r="H326"/>
      <c r="I326"/>
      <c r="J326"/>
      <c r="K326"/>
    </row>
    <row r="327" spans="1:11">
      <c r="A327" s="36" t="s">
        <v>453</v>
      </c>
      <c r="B327" s="36" t="s">
        <v>298</v>
      </c>
      <c r="C327" s="36">
        <v>36</v>
      </c>
      <c r="D327" s="15">
        <v>2</v>
      </c>
      <c r="E327"/>
      <c r="F327"/>
      <c r="G327"/>
      <c r="H327"/>
      <c r="I327"/>
      <c r="J327"/>
      <c r="K327"/>
    </row>
    <row r="328" spans="1:11">
      <c r="A328" s="43"/>
      <c r="B328" s="43"/>
      <c r="C328" s="36">
        <v>45</v>
      </c>
      <c r="D328" s="15">
        <v>2</v>
      </c>
      <c r="E328"/>
      <c r="F328"/>
      <c r="G328"/>
      <c r="H328"/>
      <c r="I328"/>
      <c r="J328"/>
      <c r="K328"/>
    </row>
    <row r="329" spans="1:11">
      <c r="A329" s="43"/>
      <c r="B329" s="43"/>
      <c r="C329" s="36">
        <v>54</v>
      </c>
      <c r="D329" s="15">
        <v>1</v>
      </c>
      <c r="E329"/>
      <c r="F329"/>
      <c r="G329"/>
      <c r="H329"/>
      <c r="I329"/>
      <c r="J329"/>
      <c r="K329"/>
    </row>
    <row r="330" spans="1:11">
      <c r="A330" s="36" t="s">
        <v>454</v>
      </c>
      <c r="B330" s="36" t="s">
        <v>299</v>
      </c>
      <c r="C330" s="36">
        <v>30</v>
      </c>
      <c r="D330" s="15">
        <v>1</v>
      </c>
      <c r="E330"/>
      <c r="F330"/>
      <c r="G330"/>
      <c r="H330"/>
      <c r="I330"/>
      <c r="J330"/>
      <c r="K330"/>
    </row>
    <row r="331" spans="1:11">
      <c r="A331" s="43"/>
      <c r="B331" s="43"/>
      <c r="C331" s="36">
        <v>36</v>
      </c>
      <c r="D331" s="15">
        <v>2</v>
      </c>
      <c r="E331"/>
      <c r="F331"/>
      <c r="G331"/>
      <c r="H331"/>
      <c r="I331"/>
      <c r="J331"/>
      <c r="K331"/>
    </row>
    <row r="332" spans="1:11">
      <c r="A332" s="43"/>
      <c r="B332" s="43"/>
      <c r="C332" s="36">
        <v>45</v>
      </c>
      <c r="D332" s="15">
        <v>2</v>
      </c>
      <c r="E332"/>
      <c r="F332"/>
      <c r="G332"/>
      <c r="H332"/>
      <c r="I332"/>
      <c r="J332"/>
      <c r="K332"/>
    </row>
    <row r="333" spans="1:11">
      <c r="A333" s="43"/>
      <c r="B333" s="43"/>
      <c r="C333" s="36">
        <v>54</v>
      </c>
      <c r="D333" s="15">
        <v>1</v>
      </c>
      <c r="E333"/>
      <c r="F333"/>
      <c r="G333"/>
      <c r="H333"/>
      <c r="I333"/>
      <c r="J333"/>
      <c r="K333"/>
    </row>
    <row r="334" spans="1:11">
      <c r="A334" s="36" t="s">
        <v>455</v>
      </c>
      <c r="B334" s="36" t="s">
        <v>300</v>
      </c>
      <c r="C334" s="36">
        <v>36</v>
      </c>
      <c r="D334" s="15">
        <v>2</v>
      </c>
      <c r="E334"/>
      <c r="F334"/>
      <c r="G334"/>
      <c r="H334"/>
      <c r="I334"/>
      <c r="J334"/>
      <c r="K334"/>
    </row>
    <row r="335" spans="1:11">
      <c r="A335" s="43"/>
      <c r="B335" s="43"/>
      <c r="C335" s="36">
        <v>45</v>
      </c>
      <c r="D335" s="15">
        <v>2</v>
      </c>
      <c r="E335"/>
      <c r="F335"/>
      <c r="G335"/>
      <c r="H335"/>
      <c r="I335"/>
      <c r="J335"/>
      <c r="K335"/>
    </row>
    <row r="336" spans="1:11">
      <c r="A336" s="43"/>
      <c r="B336" s="43"/>
      <c r="C336" s="36">
        <v>54</v>
      </c>
      <c r="D336" s="15">
        <v>1</v>
      </c>
      <c r="E336"/>
      <c r="F336"/>
      <c r="G336"/>
      <c r="H336"/>
      <c r="I336"/>
      <c r="J336"/>
      <c r="K336"/>
    </row>
    <row r="337" spans="1:11">
      <c r="A337" s="36" t="s">
        <v>456</v>
      </c>
      <c r="B337" s="36" t="s">
        <v>301</v>
      </c>
      <c r="C337" s="36">
        <v>36</v>
      </c>
      <c r="D337" s="15">
        <v>2</v>
      </c>
      <c r="E337"/>
      <c r="F337"/>
      <c r="G337"/>
      <c r="H337"/>
      <c r="I337"/>
      <c r="J337"/>
      <c r="K337"/>
    </row>
    <row r="338" spans="1:11">
      <c r="A338" s="43"/>
      <c r="B338" s="43"/>
      <c r="C338" s="36">
        <v>45</v>
      </c>
      <c r="D338" s="15">
        <v>2</v>
      </c>
      <c r="E338"/>
      <c r="F338"/>
      <c r="G338"/>
      <c r="H338"/>
      <c r="I338"/>
      <c r="J338"/>
      <c r="K338"/>
    </row>
    <row r="339" spans="1:11">
      <c r="A339" s="43"/>
      <c r="B339" s="43"/>
      <c r="C339" s="36">
        <v>54</v>
      </c>
      <c r="D339" s="15">
        <v>1</v>
      </c>
      <c r="E339"/>
      <c r="F339"/>
      <c r="G339"/>
      <c r="H339"/>
      <c r="I339"/>
      <c r="J339"/>
      <c r="K339"/>
    </row>
    <row r="340" spans="1:11">
      <c r="A340" s="36" t="s">
        <v>457</v>
      </c>
      <c r="B340" s="36" t="s">
        <v>302</v>
      </c>
      <c r="C340" s="36">
        <v>36</v>
      </c>
      <c r="D340" s="15">
        <v>2</v>
      </c>
      <c r="E340"/>
      <c r="F340"/>
      <c r="G340"/>
      <c r="H340"/>
      <c r="I340"/>
      <c r="J340"/>
      <c r="K340"/>
    </row>
    <row r="341" spans="1:11">
      <c r="A341" s="43"/>
      <c r="B341" s="43"/>
      <c r="C341" s="36">
        <v>45</v>
      </c>
      <c r="D341" s="15">
        <v>2</v>
      </c>
      <c r="E341"/>
      <c r="F341"/>
      <c r="G341"/>
      <c r="H341"/>
      <c r="I341"/>
      <c r="J341"/>
      <c r="K341"/>
    </row>
    <row r="342" spans="1:11">
      <c r="A342" s="43"/>
      <c r="B342" s="43"/>
      <c r="C342" s="36">
        <v>54</v>
      </c>
      <c r="D342" s="15">
        <v>1</v>
      </c>
      <c r="E342"/>
      <c r="F342"/>
      <c r="G342"/>
      <c r="H342"/>
      <c r="I342"/>
      <c r="J342"/>
      <c r="K342"/>
    </row>
    <row r="343" spans="1:11">
      <c r="A343" s="36" t="s">
        <v>458</v>
      </c>
      <c r="B343" s="36" t="s">
        <v>303</v>
      </c>
      <c r="C343" s="36">
        <v>45</v>
      </c>
      <c r="D343" s="15">
        <v>1</v>
      </c>
      <c r="E343"/>
      <c r="F343"/>
      <c r="G343"/>
      <c r="H343"/>
      <c r="I343"/>
      <c r="J343"/>
      <c r="K343"/>
    </row>
    <row r="344" spans="1:11">
      <c r="A344" s="43"/>
      <c r="B344" s="43"/>
      <c r="C344" s="36">
        <v>54</v>
      </c>
      <c r="D344" s="15">
        <v>1</v>
      </c>
      <c r="E344"/>
      <c r="F344"/>
      <c r="G344"/>
      <c r="H344"/>
      <c r="I344"/>
      <c r="J344"/>
      <c r="K344"/>
    </row>
    <row r="345" spans="1:11">
      <c r="A345" s="36" t="s">
        <v>459</v>
      </c>
      <c r="B345" s="36" t="s">
        <v>304</v>
      </c>
      <c r="C345" s="36">
        <v>30</v>
      </c>
      <c r="D345" s="15">
        <v>1</v>
      </c>
      <c r="E345"/>
      <c r="F345"/>
      <c r="G345"/>
      <c r="H345"/>
      <c r="I345"/>
      <c r="J345"/>
      <c r="K345"/>
    </row>
    <row r="346" spans="1:11">
      <c r="A346" s="43"/>
      <c r="B346" s="43"/>
      <c r="C346" s="36">
        <v>45</v>
      </c>
      <c r="D346" s="15">
        <v>2</v>
      </c>
      <c r="E346"/>
      <c r="F346"/>
      <c r="G346"/>
      <c r="H346"/>
      <c r="I346"/>
      <c r="J346"/>
      <c r="K346"/>
    </row>
    <row r="347" spans="1:11">
      <c r="A347" s="43"/>
      <c r="B347" s="43"/>
      <c r="C347" s="36">
        <v>54</v>
      </c>
      <c r="D347" s="15">
        <v>1</v>
      </c>
      <c r="E347"/>
      <c r="F347"/>
      <c r="G347"/>
      <c r="H347"/>
      <c r="I347"/>
      <c r="J347"/>
      <c r="K347"/>
    </row>
    <row r="348" spans="1:11">
      <c r="A348" s="36" t="s">
        <v>460</v>
      </c>
      <c r="B348" s="36" t="s">
        <v>305</v>
      </c>
      <c r="C348" s="36">
        <v>45</v>
      </c>
      <c r="D348" s="15">
        <v>1</v>
      </c>
      <c r="E348"/>
      <c r="F348"/>
      <c r="G348"/>
      <c r="H348"/>
      <c r="I348"/>
      <c r="J348"/>
      <c r="K348"/>
    </row>
    <row r="349" spans="1:11">
      <c r="A349" s="43"/>
      <c r="B349" s="43"/>
      <c r="C349" s="36">
        <v>54</v>
      </c>
      <c r="D349" s="15">
        <v>1</v>
      </c>
      <c r="E349"/>
      <c r="F349"/>
      <c r="G349"/>
      <c r="H349"/>
      <c r="I349"/>
      <c r="J349"/>
      <c r="K349"/>
    </row>
    <row r="350" spans="1:11">
      <c r="A350" s="36" t="s">
        <v>461</v>
      </c>
      <c r="B350" s="36" t="s">
        <v>306</v>
      </c>
      <c r="C350" s="36">
        <v>36</v>
      </c>
      <c r="D350" s="15">
        <v>2</v>
      </c>
      <c r="E350"/>
      <c r="F350"/>
      <c r="G350"/>
      <c r="H350"/>
      <c r="I350"/>
      <c r="J350"/>
      <c r="K350"/>
    </row>
    <row r="351" spans="1:11">
      <c r="A351" s="43"/>
      <c r="B351" s="43"/>
      <c r="C351" s="36">
        <v>45</v>
      </c>
      <c r="D351" s="15">
        <v>2</v>
      </c>
      <c r="E351"/>
      <c r="F351"/>
      <c r="G351"/>
      <c r="H351"/>
      <c r="I351"/>
      <c r="J351"/>
      <c r="K351"/>
    </row>
    <row r="352" spans="1:11">
      <c r="A352" s="43"/>
      <c r="B352" s="43"/>
      <c r="C352" s="36">
        <v>54</v>
      </c>
      <c r="D352" s="15">
        <v>1</v>
      </c>
      <c r="E352"/>
      <c r="F352"/>
      <c r="G352"/>
      <c r="H352"/>
      <c r="I352"/>
      <c r="J352"/>
      <c r="K352"/>
    </row>
    <row r="353" spans="1:11">
      <c r="A353" s="36" t="s">
        <v>462</v>
      </c>
      <c r="B353" s="36" t="s">
        <v>307</v>
      </c>
      <c r="C353" s="36">
        <v>36</v>
      </c>
      <c r="D353" s="15">
        <v>1</v>
      </c>
      <c r="E353"/>
      <c r="F353"/>
      <c r="G353"/>
      <c r="H353"/>
      <c r="I353"/>
      <c r="J353"/>
      <c r="K353"/>
    </row>
    <row r="354" spans="1:11">
      <c r="A354" s="43"/>
      <c r="B354" s="43"/>
      <c r="C354" s="36">
        <v>45</v>
      </c>
      <c r="D354" s="15">
        <v>1</v>
      </c>
      <c r="E354"/>
      <c r="F354"/>
      <c r="G354"/>
      <c r="H354"/>
      <c r="I354"/>
      <c r="J354"/>
      <c r="K354"/>
    </row>
    <row r="355" spans="1:11">
      <c r="A355" s="43"/>
      <c r="B355" s="43"/>
      <c r="C355" s="36">
        <v>54</v>
      </c>
      <c r="D355" s="15">
        <v>1</v>
      </c>
      <c r="E355"/>
      <c r="F355"/>
      <c r="G355"/>
      <c r="H355"/>
      <c r="I355"/>
      <c r="J355"/>
      <c r="K355"/>
    </row>
    <row r="356" spans="1:11">
      <c r="A356" s="36" t="s">
        <v>463</v>
      </c>
      <c r="B356" s="36" t="s">
        <v>308</v>
      </c>
      <c r="C356" s="36">
        <v>45</v>
      </c>
      <c r="D356" s="15">
        <v>1</v>
      </c>
      <c r="E356"/>
      <c r="F356"/>
      <c r="G356"/>
      <c r="H356"/>
      <c r="I356"/>
      <c r="J356"/>
      <c r="K356"/>
    </row>
    <row r="357" spans="1:11">
      <c r="A357" s="43"/>
      <c r="B357" s="43"/>
      <c r="C357" s="36">
        <v>54</v>
      </c>
      <c r="D357" s="15">
        <v>1</v>
      </c>
      <c r="E357"/>
      <c r="F357"/>
      <c r="G357"/>
      <c r="H357"/>
      <c r="I357"/>
      <c r="J357"/>
      <c r="K357"/>
    </row>
    <row r="358" spans="1:11">
      <c r="A358" s="36" t="s">
        <v>464</v>
      </c>
      <c r="B358" s="36" t="s">
        <v>309</v>
      </c>
      <c r="C358" s="36">
        <v>45</v>
      </c>
      <c r="D358" s="15">
        <v>1</v>
      </c>
      <c r="E358"/>
      <c r="F358"/>
      <c r="G358"/>
      <c r="H358"/>
      <c r="I358"/>
      <c r="J358"/>
      <c r="K358"/>
    </row>
    <row r="359" spans="1:11">
      <c r="A359" s="43"/>
      <c r="B359" s="43"/>
      <c r="C359" s="36">
        <v>54</v>
      </c>
      <c r="D359" s="15">
        <v>1</v>
      </c>
      <c r="E359"/>
      <c r="F359"/>
      <c r="G359"/>
      <c r="H359"/>
      <c r="I359"/>
      <c r="J359"/>
      <c r="K359"/>
    </row>
    <row r="360" spans="1:11">
      <c r="A360" s="36" t="s">
        <v>465</v>
      </c>
      <c r="B360" s="36" t="s">
        <v>310</v>
      </c>
      <c r="C360" s="36">
        <v>45</v>
      </c>
      <c r="D360" s="15">
        <v>1</v>
      </c>
      <c r="E360"/>
      <c r="F360"/>
      <c r="G360"/>
      <c r="H360"/>
      <c r="I360"/>
      <c r="J360"/>
      <c r="K360"/>
    </row>
    <row r="361" spans="1:11">
      <c r="A361" s="43"/>
      <c r="B361" s="43"/>
      <c r="C361" s="36">
        <v>54</v>
      </c>
      <c r="D361" s="15">
        <v>1</v>
      </c>
      <c r="E361"/>
      <c r="F361"/>
      <c r="G361"/>
      <c r="H361"/>
      <c r="I361"/>
      <c r="J361"/>
      <c r="K361"/>
    </row>
    <row r="362" spans="1:11">
      <c r="A362" s="36" t="s">
        <v>466</v>
      </c>
      <c r="B362" s="36" t="s">
        <v>311</v>
      </c>
      <c r="C362" s="36">
        <v>45</v>
      </c>
      <c r="D362" s="15">
        <v>1</v>
      </c>
      <c r="E362"/>
      <c r="F362"/>
      <c r="G362"/>
      <c r="H362"/>
      <c r="I362"/>
      <c r="J362"/>
      <c r="K362"/>
    </row>
    <row r="363" spans="1:11">
      <c r="A363" s="43"/>
      <c r="B363" s="43"/>
      <c r="C363" s="36">
        <v>54</v>
      </c>
      <c r="D363" s="15">
        <v>1</v>
      </c>
      <c r="E363"/>
      <c r="F363"/>
      <c r="G363"/>
      <c r="H363"/>
      <c r="I363"/>
      <c r="J363"/>
      <c r="K363"/>
    </row>
    <row r="364" spans="1:11">
      <c r="A364" s="36" t="s">
        <v>467</v>
      </c>
      <c r="B364" s="36" t="s">
        <v>312</v>
      </c>
      <c r="C364" s="36">
        <v>45</v>
      </c>
      <c r="D364" s="15">
        <v>1</v>
      </c>
      <c r="E364"/>
      <c r="F364"/>
      <c r="G364"/>
      <c r="H364"/>
      <c r="I364"/>
      <c r="J364"/>
      <c r="K364"/>
    </row>
    <row r="365" spans="1:11">
      <c r="A365" s="43"/>
      <c r="B365" s="43"/>
      <c r="C365" s="36">
        <v>54</v>
      </c>
      <c r="D365" s="15">
        <v>1</v>
      </c>
      <c r="E365"/>
      <c r="F365"/>
      <c r="G365"/>
      <c r="H365"/>
      <c r="I365"/>
      <c r="J365"/>
      <c r="K365"/>
    </row>
    <row r="366" spans="1:11">
      <c r="A366" s="36" t="s">
        <v>468</v>
      </c>
      <c r="B366" s="36" t="s">
        <v>313</v>
      </c>
      <c r="C366" s="36">
        <v>36</v>
      </c>
      <c r="D366" s="15">
        <v>1</v>
      </c>
      <c r="E366"/>
      <c r="F366"/>
      <c r="G366"/>
      <c r="H366"/>
      <c r="I366"/>
      <c r="J366"/>
      <c r="K366"/>
    </row>
    <row r="367" spans="1:11">
      <c r="A367" s="43"/>
      <c r="B367" s="43"/>
      <c r="C367" s="36">
        <v>45</v>
      </c>
      <c r="D367" s="15">
        <v>1</v>
      </c>
      <c r="E367"/>
      <c r="F367"/>
      <c r="G367"/>
      <c r="H367"/>
      <c r="I367"/>
      <c r="J367"/>
      <c r="K367"/>
    </row>
    <row r="368" spans="1:11">
      <c r="A368" s="43"/>
      <c r="B368" s="43"/>
      <c r="C368" s="36">
        <v>54</v>
      </c>
      <c r="D368" s="15">
        <v>1</v>
      </c>
      <c r="E368"/>
      <c r="F368"/>
      <c r="G368"/>
      <c r="H368"/>
      <c r="I368"/>
      <c r="J368"/>
      <c r="K368"/>
    </row>
    <row r="369" spans="1:11">
      <c r="A369" s="36" t="s">
        <v>469</v>
      </c>
      <c r="B369" s="36" t="s">
        <v>314</v>
      </c>
      <c r="C369" s="36">
        <v>36</v>
      </c>
      <c r="D369" s="15">
        <v>1</v>
      </c>
      <c r="E369"/>
      <c r="F369"/>
      <c r="G369"/>
      <c r="H369"/>
      <c r="I369"/>
      <c r="J369"/>
      <c r="K369"/>
    </row>
    <row r="370" spans="1:11">
      <c r="A370" s="43"/>
      <c r="B370" s="43"/>
      <c r="C370" s="36">
        <v>45</v>
      </c>
      <c r="D370" s="15">
        <v>1</v>
      </c>
      <c r="E370"/>
      <c r="F370"/>
      <c r="G370"/>
      <c r="H370"/>
      <c r="I370"/>
      <c r="J370"/>
      <c r="K370"/>
    </row>
    <row r="371" spans="1:11">
      <c r="A371" s="43"/>
      <c r="B371" s="43"/>
      <c r="C371" s="36">
        <v>54</v>
      </c>
      <c r="D371" s="15">
        <v>1</v>
      </c>
      <c r="E371"/>
      <c r="F371"/>
      <c r="G371"/>
      <c r="H371"/>
      <c r="I371"/>
      <c r="J371"/>
      <c r="K371"/>
    </row>
    <row r="372" spans="1:11">
      <c r="A372" s="36" t="s">
        <v>470</v>
      </c>
      <c r="B372" s="36" t="s">
        <v>315</v>
      </c>
      <c r="C372" s="36">
        <v>45</v>
      </c>
      <c r="D372" s="15">
        <v>1</v>
      </c>
      <c r="E372"/>
      <c r="F372"/>
      <c r="G372"/>
      <c r="H372"/>
      <c r="I372"/>
      <c r="J372"/>
      <c r="K372"/>
    </row>
    <row r="373" spans="1:11">
      <c r="A373" s="43"/>
      <c r="B373" s="43"/>
      <c r="C373" s="36">
        <v>54</v>
      </c>
      <c r="D373" s="15">
        <v>1</v>
      </c>
      <c r="E373"/>
      <c r="F373"/>
      <c r="G373"/>
      <c r="H373"/>
      <c r="I373"/>
      <c r="J373"/>
      <c r="K373"/>
    </row>
    <row r="374" spans="1:11">
      <c r="A374" s="36" t="s">
        <v>471</v>
      </c>
      <c r="B374" s="36" t="s">
        <v>316</v>
      </c>
      <c r="C374" s="36">
        <v>45</v>
      </c>
      <c r="D374" s="15">
        <v>1</v>
      </c>
      <c r="E374"/>
      <c r="F374"/>
      <c r="G374"/>
      <c r="H374"/>
      <c r="I374"/>
      <c r="J374"/>
      <c r="K374"/>
    </row>
    <row r="375" spans="1:11">
      <c r="A375" s="43"/>
      <c r="B375" s="43"/>
      <c r="C375" s="36">
        <v>54</v>
      </c>
      <c r="D375" s="15">
        <v>1</v>
      </c>
      <c r="E375"/>
      <c r="F375"/>
      <c r="G375"/>
      <c r="H375"/>
      <c r="I375"/>
      <c r="J375"/>
      <c r="K375"/>
    </row>
    <row r="376" spans="1:11">
      <c r="A376" s="36" t="s">
        <v>472</v>
      </c>
      <c r="B376" s="36" t="s">
        <v>317</v>
      </c>
      <c r="C376" s="36">
        <v>45</v>
      </c>
      <c r="D376" s="15">
        <v>1</v>
      </c>
      <c r="E376"/>
      <c r="F376"/>
      <c r="G376"/>
      <c r="H376"/>
      <c r="I376"/>
      <c r="J376"/>
      <c r="K376"/>
    </row>
    <row r="377" spans="1:11">
      <c r="A377" s="43"/>
      <c r="B377" s="43"/>
      <c r="C377" s="36">
        <v>54</v>
      </c>
      <c r="D377" s="15">
        <v>1</v>
      </c>
      <c r="E377"/>
      <c r="F377"/>
      <c r="G377"/>
      <c r="H377"/>
      <c r="I377"/>
      <c r="J377"/>
      <c r="K377"/>
    </row>
    <row r="378" spans="1:11">
      <c r="A378" s="36" t="s">
        <v>473</v>
      </c>
      <c r="B378" s="36" t="s">
        <v>318</v>
      </c>
      <c r="C378" s="36">
        <v>36</v>
      </c>
      <c r="D378" s="15">
        <v>1</v>
      </c>
      <c r="E378"/>
      <c r="F378"/>
      <c r="G378"/>
      <c r="H378"/>
      <c r="I378"/>
      <c r="J378"/>
      <c r="K378"/>
    </row>
    <row r="379" spans="1:11">
      <c r="A379" s="36" t="s">
        <v>474</v>
      </c>
      <c r="B379" s="36" t="s">
        <v>319</v>
      </c>
      <c r="C379" s="36">
        <v>36</v>
      </c>
      <c r="D379" s="15">
        <v>1</v>
      </c>
      <c r="E379"/>
      <c r="F379"/>
      <c r="G379"/>
      <c r="H379"/>
      <c r="I379"/>
      <c r="J379"/>
      <c r="K379"/>
    </row>
    <row r="380" spans="1:11">
      <c r="A380" s="36" t="s">
        <v>475</v>
      </c>
      <c r="B380" s="36" t="s">
        <v>320</v>
      </c>
      <c r="C380" s="36">
        <v>30</v>
      </c>
      <c r="D380" s="15">
        <v>1</v>
      </c>
      <c r="E380"/>
      <c r="F380"/>
      <c r="G380"/>
      <c r="H380"/>
      <c r="I380"/>
      <c r="J380"/>
      <c r="K380"/>
    </row>
    <row r="381" spans="1:11">
      <c r="A381" s="43"/>
      <c r="B381" s="43"/>
      <c r="C381" s="36">
        <v>36</v>
      </c>
      <c r="D381" s="15">
        <v>2</v>
      </c>
      <c r="E381"/>
      <c r="F381"/>
      <c r="G381"/>
      <c r="H381"/>
      <c r="I381"/>
      <c r="J381"/>
      <c r="K381"/>
    </row>
    <row r="382" spans="1:11">
      <c r="A382" s="43"/>
      <c r="B382" s="43"/>
      <c r="C382" s="36">
        <v>45</v>
      </c>
      <c r="D382" s="15">
        <v>1</v>
      </c>
      <c r="E382"/>
      <c r="F382"/>
      <c r="G382"/>
      <c r="H382"/>
      <c r="I382"/>
      <c r="J382"/>
      <c r="K382"/>
    </row>
    <row r="383" spans="1:11">
      <c r="A383" s="36" t="s">
        <v>476</v>
      </c>
      <c r="B383" s="36" t="s">
        <v>321</v>
      </c>
      <c r="C383" s="36">
        <v>30</v>
      </c>
      <c r="D383" s="15">
        <v>1</v>
      </c>
      <c r="E383"/>
      <c r="F383"/>
      <c r="G383"/>
      <c r="H383"/>
      <c r="I383"/>
      <c r="J383"/>
      <c r="K383"/>
    </row>
    <row r="384" spans="1:11">
      <c r="A384" s="43"/>
      <c r="B384" s="43"/>
      <c r="C384" s="36">
        <v>36</v>
      </c>
      <c r="D384" s="15">
        <v>3</v>
      </c>
      <c r="E384"/>
      <c r="F384"/>
      <c r="G384"/>
      <c r="H384"/>
      <c r="I384"/>
      <c r="J384"/>
      <c r="K384"/>
    </row>
    <row r="385" spans="1:11">
      <c r="A385" s="43"/>
      <c r="B385" s="43"/>
      <c r="C385" s="36">
        <v>41</v>
      </c>
      <c r="D385" s="15">
        <v>3</v>
      </c>
      <c r="E385"/>
      <c r="F385"/>
      <c r="G385"/>
      <c r="H385"/>
      <c r="I385"/>
      <c r="J385"/>
      <c r="K385"/>
    </row>
    <row r="386" spans="1:11">
      <c r="A386" s="43"/>
      <c r="B386" s="43"/>
      <c r="C386" s="36">
        <v>45</v>
      </c>
      <c r="D386" s="15">
        <v>3</v>
      </c>
      <c r="E386"/>
      <c r="F386"/>
      <c r="G386"/>
      <c r="H386"/>
      <c r="I386"/>
      <c r="J386"/>
      <c r="K386"/>
    </row>
    <row r="387" spans="1:11">
      <c r="A387" s="43"/>
      <c r="B387" s="43"/>
      <c r="C387" s="36">
        <v>54</v>
      </c>
      <c r="D387" s="15">
        <v>2</v>
      </c>
      <c r="E387"/>
      <c r="F387"/>
      <c r="G387"/>
      <c r="H387"/>
      <c r="I387"/>
      <c r="J387"/>
      <c r="K387"/>
    </row>
    <row r="388" spans="1:11">
      <c r="A388" s="36" t="s">
        <v>477</v>
      </c>
      <c r="B388" s="36" t="s">
        <v>322</v>
      </c>
      <c r="C388" s="36">
        <v>30</v>
      </c>
      <c r="D388" s="15">
        <v>1</v>
      </c>
      <c r="E388"/>
      <c r="F388"/>
      <c r="G388"/>
      <c r="H388"/>
      <c r="I388"/>
      <c r="J388"/>
      <c r="K388"/>
    </row>
    <row r="389" spans="1:11">
      <c r="A389" s="43"/>
      <c r="B389" s="43"/>
      <c r="C389" s="36">
        <v>36</v>
      </c>
      <c r="D389" s="15">
        <v>3</v>
      </c>
      <c r="E389"/>
      <c r="F389"/>
      <c r="G389"/>
      <c r="H389"/>
      <c r="I389"/>
      <c r="J389"/>
      <c r="K389"/>
    </row>
    <row r="390" spans="1:11">
      <c r="A390" s="43"/>
      <c r="B390" s="43"/>
      <c r="C390" s="36">
        <v>41</v>
      </c>
      <c r="D390" s="15">
        <v>3</v>
      </c>
      <c r="E390"/>
      <c r="F390"/>
      <c r="G390"/>
      <c r="H390"/>
      <c r="I390"/>
      <c r="J390"/>
      <c r="K390"/>
    </row>
    <row r="391" spans="1:11">
      <c r="A391" s="43"/>
      <c r="B391" s="43"/>
      <c r="C391" s="36">
        <v>45</v>
      </c>
      <c r="D391" s="15">
        <v>3</v>
      </c>
      <c r="E391"/>
      <c r="F391"/>
      <c r="G391"/>
      <c r="H391"/>
      <c r="I391"/>
      <c r="J391"/>
      <c r="K391"/>
    </row>
    <row r="392" spans="1:11">
      <c r="A392" s="43"/>
      <c r="B392" s="43"/>
      <c r="C392" s="36">
        <v>54</v>
      </c>
      <c r="D392" s="15">
        <v>2</v>
      </c>
      <c r="E392"/>
      <c r="F392"/>
      <c r="G392"/>
      <c r="H392"/>
      <c r="I392"/>
      <c r="J392"/>
      <c r="K392"/>
    </row>
    <row r="393" spans="1:11">
      <c r="A393" s="36" t="s">
        <v>478</v>
      </c>
      <c r="B393" s="36" t="s">
        <v>323</v>
      </c>
      <c r="C393" s="36">
        <v>30</v>
      </c>
      <c r="D393" s="15">
        <v>2</v>
      </c>
      <c r="E393"/>
      <c r="F393"/>
      <c r="G393"/>
      <c r="H393"/>
      <c r="I393"/>
      <c r="J393"/>
      <c r="K393"/>
    </row>
    <row r="394" spans="1:11">
      <c r="A394" s="43"/>
      <c r="B394" s="43"/>
      <c r="C394" s="36">
        <v>36</v>
      </c>
      <c r="D394" s="15">
        <v>2</v>
      </c>
      <c r="E394"/>
      <c r="F394"/>
      <c r="G394"/>
      <c r="H394"/>
      <c r="I394"/>
      <c r="J394"/>
      <c r="K394"/>
    </row>
    <row r="395" spans="1:11">
      <c r="A395" s="43"/>
      <c r="B395" s="43"/>
      <c r="C395" s="36">
        <v>45</v>
      </c>
      <c r="D395" s="15">
        <v>2</v>
      </c>
      <c r="E395"/>
      <c r="F395"/>
      <c r="G395"/>
      <c r="H395"/>
      <c r="I395"/>
      <c r="J395"/>
      <c r="K395"/>
    </row>
    <row r="396" spans="1:11">
      <c r="A396" s="36" t="s">
        <v>479</v>
      </c>
      <c r="B396" s="36" t="s">
        <v>324</v>
      </c>
      <c r="C396" s="36">
        <v>30</v>
      </c>
      <c r="D396" s="15">
        <v>2</v>
      </c>
      <c r="E396"/>
      <c r="F396"/>
      <c r="G396"/>
      <c r="H396"/>
      <c r="I396"/>
      <c r="J396"/>
      <c r="K396"/>
    </row>
    <row r="397" spans="1:11">
      <c r="A397" s="43"/>
      <c r="B397" s="43"/>
      <c r="C397" s="36">
        <v>36</v>
      </c>
      <c r="D397" s="15">
        <v>2</v>
      </c>
      <c r="E397"/>
      <c r="F397"/>
      <c r="G397"/>
      <c r="H397"/>
      <c r="I397"/>
      <c r="J397"/>
      <c r="K397"/>
    </row>
    <row r="398" spans="1:11">
      <c r="A398" s="43"/>
      <c r="B398" s="43"/>
      <c r="C398" s="36">
        <v>45</v>
      </c>
      <c r="D398" s="15">
        <v>2</v>
      </c>
      <c r="E398"/>
      <c r="F398"/>
      <c r="G398"/>
      <c r="H398"/>
      <c r="I398"/>
      <c r="J398"/>
      <c r="K398"/>
    </row>
    <row r="399" spans="1:11">
      <c r="A399" s="36" t="s">
        <v>480</v>
      </c>
      <c r="B399" s="36" t="s">
        <v>325</v>
      </c>
      <c r="C399" s="36">
        <v>30</v>
      </c>
      <c r="D399" s="15">
        <v>1</v>
      </c>
      <c r="E399"/>
      <c r="F399"/>
      <c r="G399"/>
      <c r="H399"/>
      <c r="I399"/>
      <c r="J399"/>
      <c r="K399"/>
    </row>
    <row r="400" spans="1:11">
      <c r="A400" s="43"/>
      <c r="B400" s="43"/>
      <c r="C400" s="36">
        <v>36</v>
      </c>
      <c r="D400" s="15">
        <v>1</v>
      </c>
      <c r="E400"/>
      <c r="F400"/>
      <c r="G400"/>
      <c r="H400"/>
      <c r="I400"/>
      <c r="J400"/>
      <c r="K400"/>
    </row>
    <row r="401" spans="1:11">
      <c r="A401" s="43"/>
      <c r="B401" s="43"/>
      <c r="C401" s="36">
        <v>45</v>
      </c>
      <c r="D401" s="15">
        <v>1</v>
      </c>
      <c r="E401"/>
      <c r="F401"/>
      <c r="G401"/>
      <c r="H401"/>
      <c r="I401"/>
      <c r="J401"/>
      <c r="K401"/>
    </row>
    <row r="402" spans="1:11">
      <c r="A402" s="36" t="s">
        <v>425</v>
      </c>
      <c r="B402" s="36" t="s">
        <v>31</v>
      </c>
      <c r="C402" s="36">
        <v>41</v>
      </c>
      <c r="D402" s="15">
        <v>2</v>
      </c>
      <c r="E402"/>
      <c r="F402"/>
      <c r="G402"/>
      <c r="H402"/>
      <c r="I402"/>
      <c r="J402"/>
      <c r="K402"/>
    </row>
    <row r="403" spans="1:11">
      <c r="A403" s="43"/>
      <c r="B403" s="43"/>
      <c r="C403" s="36">
        <v>45</v>
      </c>
      <c r="D403" s="15">
        <v>2</v>
      </c>
      <c r="E403"/>
      <c r="F403"/>
      <c r="G403"/>
      <c r="H403"/>
      <c r="I403"/>
      <c r="J403"/>
      <c r="K403"/>
    </row>
    <row r="404" spans="1:11">
      <c r="A404" s="43"/>
      <c r="B404" s="43"/>
      <c r="C404" s="36">
        <v>54</v>
      </c>
      <c r="D404" s="15">
        <v>1</v>
      </c>
      <c r="E404"/>
      <c r="F404"/>
      <c r="G404"/>
      <c r="H404"/>
      <c r="I404"/>
      <c r="J404"/>
      <c r="K404"/>
    </row>
    <row r="405" spans="1:11">
      <c r="A405" s="36" t="s">
        <v>538</v>
      </c>
      <c r="B405" s="36" t="s">
        <v>384</v>
      </c>
      <c r="C405" s="36">
        <v>41</v>
      </c>
      <c r="D405" s="15">
        <v>2</v>
      </c>
      <c r="E405"/>
      <c r="F405"/>
      <c r="G405"/>
      <c r="H405"/>
      <c r="I405"/>
      <c r="J405"/>
      <c r="K405"/>
    </row>
    <row r="406" spans="1:11">
      <c r="A406" s="43"/>
      <c r="B406" s="43"/>
      <c r="C406" s="36">
        <v>45</v>
      </c>
      <c r="D406" s="15">
        <v>2</v>
      </c>
      <c r="E406"/>
      <c r="F406"/>
      <c r="G406"/>
      <c r="H406"/>
      <c r="I406"/>
      <c r="J406"/>
      <c r="K406"/>
    </row>
    <row r="407" spans="1:11">
      <c r="A407" s="43"/>
      <c r="B407" s="43"/>
      <c r="C407" s="36">
        <v>54</v>
      </c>
      <c r="D407" s="15">
        <v>1</v>
      </c>
      <c r="E407"/>
      <c r="F407"/>
      <c r="G407"/>
      <c r="H407"/>
      <c r="I407"/>
      <c r="J407"/>
      <c r="K407"/>
    </row>
    <row r="408" spans="1:11">
      <c r="A408" s="36" t="s">
        <v>539</v>
      </c>
      <c r="B408" s="36" t="s">
        <v>32</v>
      </c>
      <c r="C408" s="36">
        <v>45</v>
      </c>
      <c r="D408" s="15">
        <v>2</v>
      </c>
      <c r="E408"/>
      <c r="F408"/>
      <c r="G408"/>
      <c r="H408"/>
      <c r="I408"/>
      <c r="J408"/>
      <c r="K408"/>
    </row>
    <row r="409" spans="1:11">
      <c r="A409" s="43"/>
      <c r="B409" s="43"/>
      <c r="C409" s="36">
        <v>54</v>
      </c>
      <c r="D409" s="15">
        <v>1</v>
      </c>
      <c r="E409"/>
      <c r="F409"/>
      <c r="G409"/>
      <c r="H409"/>
      <c r="I409"/>
      <c r="J409"/>
      <c r="K409"/>
    </row>
    <row r="410" spans="1:11">
      <c r="A410" s="36" t="s">
        <v>540</v>
      </c>
      <c r="B410" s="36" t="s">
        <v>33</v>
      </c>
      <c r="C410" s="36">
        <v>45</v>
      </c>
      <c r="D410" s="15">
        <v>2</v>
      </c>
      <c r="E410"/>
      <c r="F410"/>
      <c r="G410"/>
      <c r="H410"/>
      <c r="I410"/>
      <c r="J410"/>
      <c r="K410"/>
    </row>
    <row r="411" spans="1:11">
      <c r="A411" s="43"/>
      <c r="B411" s="43"/>
      <c r="C411" s="36">
        <v>54</v>
      </c>
      <c r="D411" s="15">
        <v>1</v>
      </c>
      <c r="E411"/>
      <c r="F411"/>
      <c r="G411"/>
      <c r="H411"/>
      <c r="I411"/>
      <c r="J411"/>
      <c r="K411"/>
    </row>
    <row r="412" spans="1:11">
      <c r="A412" s="36" t="s">
        <v>541</v>
      </c>
      <c r="B412" s="36" t="s">
        <v>34</v>
      </c>
      <c r="C412" s="36">
        <v>41</v>
      </c>
      <c r="D412" s="15">
        <v>2</v>
      </c>
      <c r="E412"/>
      <c r="F412"/>
      <c r="G412"/>
      <c r="H412"/>
      <c r="I412"/>
      <c r="J412"/>
      <c r="K412"/>
    </row>
    <row r="413" spans="1:11">
      <c r="A413" s="43"/>
      <c r="B413" s="43"/>
      <c r="C413" s="36">
        <v>45</v>
      </c>
      <c r="D413" s="15">
        <v>2</v>
      </c>
      <c r="E413"/>
      <c r="F413"/>
      <c r="G413"/>
      <c r="H413"/>
      <c r="I413"/>
      <c r="J413"/>
      <c r="K413"/>
    </row>
    <row r="414" spans="1:11">
      <c r="A414" s="43"/>
      <c r="B414" s="43"/>
      <c r="C414" s="36">
        <v>54</v>
      </c>
      <c r="D414" s="15">
        <v>1</v>
      </c>
      <c r="E414"/>
      <c r="F414"/>
      <c r="G414"/>
      <c r="H414"/>
      <c r="I414"/>
      <c r="J414"/>
      <c r="K414"/>
    </row>
    <row r="415" spans="1:11">
      <c r="A415" s="36" t="s">
        <v>542</v>
      </c>
      <c r="B415" s="36" t="s">
        <v>35</v>
      </c>
      <c r="C415" s="36">
        <v>41</v>
      </c>
      <c r="D415" s="15">
        <v>2</v>
      </c>
      <c r="E415"/>
      <c r="F415"/>
      <c r="G415"/>
      <c r="H415"/>
      <c r="I415"/>
      <c r="J415"/>
      <c r="K415"/>
    </row>
    <row r="416" spans="1:11">
      <c r="A416" s="43"/>
      <c r="B416" s="43"/>
      <c r="C416" s="36">
        <v>45</v>
      </c>
      <c r="D416" s="15">
        <v>2</v>
      </c>
      <c r="E416"/>
      <c r="F416"/>
      <c r="G416"/>
      <c r="H416"/>
      <c r="I416"/>
      <c r="J416"/>
      <c r="K416"/>
    </row>
    <row r="417" spans="1:11">
      <c r="A417" s="43"/>
      <c r="B417" s="43"/>
      <c r="C417" s="36">
        <v>54</v>
      </c>
      <c r="D417" s="15">
        <v>1</v>
      </c>
      <c r="E417"/>
      <c r="F417"/>
      <c r="G417"/>
      <c r="H417"/>
      <c r="I417"/>
      <c r="J417"/>
      <c r="K417"/>
    </row>
    <row r="418" spans="1:11">
      <c r="A418" s="36" t="s">
        <v>543</v>
      </c>
      <c r="B418" s="36" t="s">
        <v>36</v>
      </c>
      <c r="C418" s="36">
        <v>45</v>
      </c>
      <c r="D418" s="15">
        <v>1</v>
      </c>
      <c r="E418"/>
      <c r="F418"/>
      <c r="G418"/>
      <c r="H418"/>
      <c r="I418"/>
      <c r="J418"/>
      <c r="K418"/>
    </row>
    <row r="419" spans="1:11">
      <c r="A419" s="43"/>
      <c r="B419" s="43"/>
      <c r="C419" s="36">
        <v>54</v>
      </c>
      <c r="D419" s="15">
        <v>1</v>
      </c>
      <c r="E419"/>
      <c r="F419"/>
      <c r="G419"/>
      <c r="H419"/>
      <c r="I419"/>
      <c r="J419"/>
      <c r="K419"/>
    </row>
    <row r="420" spans="1:11">
      <c r="A420" s="36" t="s">
        <v>544</v>
      </c>
      <c r="B420" s="36" t="s">
        <v>37</v>
      </c>
      <c r="C420" s="36">
        <v>45</v>
      </c>
      <c r="D420" s="15">
        <v>1</v>
      </c>
      <c r="E420"/>
      <c r="F420"/>
      <c r="G420"/>
      <c r="H420"/>
      <c r="I420"/>
      <c r="J420"/>
      <c r="K420"/>
    </row>
    <row r="421" spans="1:11">
      <c r="A421" s="43"/>
      <c r="B421" s="43"/>
      <c r="C421" s="36">
        <v>54</v>
      </c>
      <c r="D421" s="15">
        <v>1</v>
      </c>
      <c r="E421"/>
      <c r="F421"/>
      <c r="G421"/>
      <c r="H421"/>
      <c r="I421"/>
      <c r="J421"/>
      <c r="K421"/>
    </row>
    <row r="422" spans="1:11">
      <c r="A422" s="36" t="s">
        <v>545</v>
      </c>
      <c r="B422" s="36" t="s">
        <v>38</v>
      </c>
      <c r="C422" s="36">
        <v>45</v>
      </c>
      <c r="D422" s="15">
        <v>1</v>
      </c>
      <c r="E422"/>
      <c r="F422"/>
      <c r="G422"/>
      <c r="H422"/>
      <c r="I422"/>
      <c r="J422"/>
      <c r="K422"/>
    </row>
    <row r="423" spans="1:11">
      <c r="A423" s="43"/>
      <c r="B423" s="43"/>
      <c r="C423" s="36">
        <v>54</v>
      </c>
      <c r="D423" s="15">
        <v>1</v>
      </c>
      <c r="E423"/>
      <c r="F423"/>
      <c r="G423"/>
      <c r="H423"/>
      <c r="I423"/>
      <c r="J423"/>
      <c r="K423"/>
    </row>
    <row r="424" spans="1:11">
      <c r="A424" s="36" t="s">
        <v>546</v>
      </c>
      <c r="B424" s="36" t="s">
        <v>39</v>
      </c>
      <c r="C424" s="36">
        <v>45</v>
      </c>
      <c r="D424" s="15">
        <v>1</v>
      </c>
      <c r="E424"/>
      <c r="F424"/>
      <c r="G424"/>
      <c r="H424"/>
      <c r="I424"/>
      <c r="J424"/>
      <c r="K424"/>
    </row>
    <row r="425" spans="1:11">
      <c r="A425" s="43"/>
      <c r="B425" s="43"/>
      <c r="C425" s="36">
        <v>54</v>
      </c>
      <c r="D425" s="15">
        <v>1</v>
      </c>
      <c r="E425"/>
      <c r="F425"/>
      <c r="G425"/>
      <c r="H425"/>
      <c r="I425"/>
      <c r="J425"/>
      <c r="K425"/>
    </row>
    <row r="426" spans="1:11">
      <c r="A426" s="36" t="s">
        <v>547</v>
      </c>
      <c r="B426" s="36" t="s">
        <v>40</v>
      </c>
      <c r="C426" s="36">
        <v>45</v>
      </c>
      <c r="D426" s="15">
        <v>1</v>
      </c>
      <c r="E426"/>
      <c r="F426"/>
      <c r="G426"/>
      <c r="H426"/>
      <c r="I426"/>
      <c r="J426"/>
      <c r="K426"/>
    </row>
    <row r="427" spans="1:11">
      <c r="A427" s="43"/>
      <c r="B427" s="43"/>
      <c r="C427" s="36">
        <v>54</v>
      </c>
      <c r="D427" s="15">
        <v>1</v>
      </c>
      <c r="E427"/>
      <c r="F427"/>
      <c r="G427"/>
      <c r="H427"/>
      <c r="I427"/>
      <c r="J427"/>
      <c r="K427"/>
    </row>
    <row r="428" spans="1:11">
      <c r="A428" s="36" t="s">
        <v>548</v>
      </c>
      <c r="B428" s="36" t="s">
        <v>385</v>
      </c>
      <c r="C428" s="36">
        <v>45</v>
      </c>
      <c r="D428" s="15">
        <v>1</v>
      </c>
      <c r="E428"/>
      <c r="F428"/>
      <c r="G428"/>
      <c r="H428"/>
      <c r="I428"/>
      <c r="J428"/>
      <c r="K428"/>
    </row>
    <row r="429" spans="1:11">
      <c r="A429" s="43"/>
      <c r="B429" s="43"/>
      <c r="C429" s="36">
        <v>54</v>
      </c>
      <c r="D429" s="15">
        <v>1</v>
      </c>
      <c r="E429"/>
      <c r="F429"/>
      <c r="G429"/>
      <c r="H429"/>
      <c r="I429"/>
      <c r="J429"/>
      <c r="K429"/>
    </row>
    <row r="430" spans="1:11">
      <c r="A430" s="36" t="s">
        <v>549</v>
      </c>
      <c r="B430" s="36" t="s">
        <v>386</v>
      </c>
      <c r="C430" s="36">
        <v>45</v>
      </c>
      <c r="D430" s="15">
        <v>1</v>
      </c>
      <c r="E430"/>
      <c r="F430"/>
      <c r="G430"/>
      <c r="H430"/>
      <c r="I430"/>
      <c r="J430"/>
      <c r="K430"/>
    </row>
    <row r="431" spans="1:11">
      <c r="A431" s="43"/>
      <c r="B431" s="43"/>
      <c r="C431" s="36">
        <v>54</v>
      </c>
      <c r="D431" s="15">
        <v>1</v>
      </c>
      <c r="E431"/>
      <c r="F431"/>
      <c r="G431"/>
      <c r="H431"/>
      <c r="I431"/>
      <c r="J431"/>
      <c r="K431"/>
    </row>
    <row r="432" spans="1:11">
      <c r="A432" s="36" t="s">
        <v>550</v>
      </c>
      <c r="B432" s="36" t="s">
        <v>387</v>
      </c>
      <c r="C432" s="36">
        <v>45</v>
      </c>
      <c r="D432" s="15">
        <v>1</v>
      </c>
      <c r="E432"/>
      <c r="F432"/>
      <c r="G432"/>
      <c r="H432"/>
      <c r="I432"/>
      <c r="J432"/>
      <c r="K432"/>
    </row>
    <row r="433" spans="1:11">
      <c r="A433" s="43"/>
      <c r="B433" s="43"/>
      <c r="C433" s="36">
        <v>54</v>
      </c>
      <c r="D433" s="15">
        <v>1</v>
      </c>
      <c r="E433"/>
      <c r="F433"/>
      <c r="G433"/>
      <c r="H433"/>
      <c r="I433"/>
      <c r="J433"/>
      <c r="K433"/>
    </row>
    <row r="434" spans="1:11">
      <c r="A434" s="36" t="s">
        <v>551</v>
      </c>
      <c r="B434" s="36" t="s">
        <v>41</v>
      </c>
      <c r="C434" s="36">
        <v>45</v>
      </c>
      <c r="D434" s="15">
        <v>1</v>
      </c>
      <c r="E434"/>
      <c r="F434"/>
      <c r="G434"/>
      <c r="H434"/>
      <c r="I434"/>
      <c r="J434"/>
      <c r="K434"/>
    </row>
    <row r="435" spans="1:11">
      <c r="A435" s="43"/>
      <c r="B435" s="43"/>
      <c r="C435" s="36">
        <v>54</v>
      </c>
      <c r="D435" s="15">
        <v>1</v>
      </c>
      <c r="E435"/>
      <c r="F435"/>
      <c r="G435"/>
      <c r="H435"/>
      <c r="I435"/>
      <c r="J435"/>
      <c r="K435"/>
    </row>
    <row r="436" spans="1:11">
      <c r="A436" s="36" t="s">
        <v>552</v>
      </c>
      <c r="B436" s="36" t="s">
        <v>42</v>
      </c>
      <c r="C436" s="36">
        <v>45</v>
      </c>
      <c r="D436" s="15">
        <v>1</v>
      </c>
      <c r="E436"/>
      <c r="F436"/>
      <c r="G436"/>
      <c r="H436"/>
      <c r="I436"/>
      <c r="J436"/>
      <c r="K436"/>
    </row>
    <row r="437" spans="1:11">
      <c r="A437" s="43"/>
      <c r="B437" s="43"/>
      <c r="C437" s="36">
        <v>54</v>
      </c>
      <c r="D437" s="15">
        <v>1</v>
      </c>
      <c r="E437"/>
      <c r="F437"/>
      <c r="G437"/>
      <c r="H437"/>
      <c r="I437"/>
      <c r="J437"/>
      <c r="K437"/>
    </row>
    <row r="438" spans="1:11">
      <c r="A438" s="36" t="s">
        <v>429</v>
      </c>
      <c r="B438" s="36" t="s">
        <v>53</v>
      </c>
      <c r="C438" s="36">
        <v>36</v>
      </c>
      <c r="D438" s="15">
        <v>3</v>
      </c>
      <c r="E438"/>
      <c r="F438"/>
      <c r="G438"/>
      <c r="H438"/>
      <c r="I438"/>
      <c r="J438"/>
      <c r="K438"/>
    </row>
    <row r="439" spans="1:11">
      <c r="A439" s="36" t="s">
        <v>562</v>
      </c>
      <c r="B439" s="36" t="s">
        <v>54</v>
      </c>
      <c r="C439" s="36">
        <v>36</v>
      </c>
      <c r="D439" s="15">
        <v>3</v>
      </c>
      <c r="E439"/>
      <c r="F439"/>
      <c r="G439"/>
      <c r="H439"/>
      <c r="I439"/>
      <c r="J439"/>
      <c r="K439"/>
    </row>
    <row r="440" spans="1:11">
      <c r="A440" s="36" t="s">
        <v>563</v>
      </c>
      <c r="B440" s="36" t="s">
        <v>55</v>
      </c>
      <c r="C440" s="36">
        <v>36</v>
      </c>
      <c r="D440" s="15">
        <v>3</v>
      </c>
      <c r="E440"/>
      <c r="F440"/>
      <c r="G440"/>
      <c r="H440"/>
      <c r="I440"/>
      <c r="J440"/>
      <c r="K440"/>
    </row>
    <row r="441" spans="1:11">
      <c r="A441" s="36" t="s">
        <v>564</v>
      </c>
      <c r="B441" s="36" t="s">
        <v>56</v>
      </c>
      <c r="C441" s="36">
        <v>36</v>
      </c>
      <c r="D441" s="15">
        <v>3</v>
      </c>
      <c r="E441"/>
      <c r="F441"/>
      <c r="G441"/>
      <c r="H441"/>
      <c r="I441"/>
      <c r="J441"/>
      <c r="K441"/>
    </row>
    <row r="442" spans="1:11">
      <c r="A442" s="36" t="s">
        <v>565</v>
      </c>
      <c r="B442" s="36" t="s">
        <v>57</v>
      </c>
      <c r="C442" s="36">
        <v>36</v>
      </c>
      <c r="D442" s="15">
        <v>3</v>
      </c>
      <c r="E442"/>
      <c r="F442"/>
      <c r="G442"/>
      <c r="H442"/>
      <c r="I442"/>
      <c r="J442"/>
      <c r="K442"/>
    </row>
    <row r="443" spans="1:11">
      <c r="A443" s="36" t="s">
        <v>566</v>
      </c>
      <c r="B443" s="36" t="s">
        <v>58</v>
      </c>
      <c r="C443" s="36">
        <v>36</v>
      </c>
      <c r="D443" s="15">
        <v>3</v>
      </c>
      <c r="E443"/>
      <c r="F443"/>
      <c r="G443"/>
      <c r="H443"/>
      <c r="I443"/>
      <c r="J443"/>
      <c r="K443"/>
    </row>
    <row r="444" spans="1:11">
      <c r="A444" s="36" t="s">
        <v>567</v>
      </c>
      <c r="B444" s="36" t="s">
        <v>59</v>
      </c>
      <c r="C444" s="36">
        <v>36</v>
      </c>
      <c r="D444" s="15">
        <v>3</v>
      </c>
      <c r="E444"/>
      <c r="F444"/>
      <c r="G444"/>
      <c r="H444"/>
      <c r="I444"/>
      <c r="J444"/>
      <c r="K444"/>
    </row>
    <row r="445" spans="1:11">
      <c r="A445" s="36" t="s">
        <v>568</v>
      </c>
      <c r="B445" s="36" t="s">
        <v>60</v>
      </c>
      <c r="C445" s="36">
        <v>36</v>
      </c>
      <c r="D445" s="15">
        <v>3</v>
      </c>
      <c r="E445"/>
      <c r="F445"/>
      <c r="G445"/>
      <c r="H445"/>
      <c r="I445"/>
      <c r="J445"/>
      <c r="K445"/>
    </row>
    <row r="446" spans="1:11">
      <c r="A446" s="36" t="s">
        <v>569</v>
      </c>
      <c r="B446" s="36" t="s">
        <v>61</v>
      </c>
      <c r="C446" s="36">
        <v>36</v>
      </c>
      <c r="D446" s="15">
        <v>3</v>
      </c>
      <c r="E446"/>
      <c r="F446"/>
      <c r="G446"/>
      <c r="H446"/>
      <c r="I446"/>
      <c r="J446"/>
      <c r="K446"/>
    </row>
    <row r="447" spans="1:11">
      <c r="A447" s="36" t="s">
        <v>570</v>
      </c>
      <c r="B447" s="36" t="s">
        <v>62</v>
      </c>
      <c r="C447" s="36">
        <v>36</v>
      </c>
      <c r="D447" s="15">
        <v>3</v>
      </c>
      <c r="E447"/>
      <c r="F447"/>
      <c r="G447"/>
      <c r="H447"/>
      <c r="I447"/>
      <c r="J447"/>
      <c r="K447"/>
    </row>
    <row r="448" spans="1:11">
      <c r="A448" s="36" t="s">
        <v>571</v>
      </c>
      <c r="B448" s="36" t="s">
        <v>63</v>
      </c>
      <c r="C448" s="36">
        <v>36</v>
      </c>
      <c r="D448" s="15">
        <v>3</v>
      </c>
      <c r="E448"/>
      <c r="F448"/>
      <c r="G448"/>
      <c r="H448"/>
      <c r="I448"/>
      <c r="J448"/>
      <c r="K448"/>
    </row>
    <row r="449" spans="1:11">
      <c r="A449" s="36" t="s">
        <v>572</v>
      </c>
      <c r="B449" s="36" t="s">
        <v>64</v>
      </c>
      <c r="C449" s="36">
        <v>36</v>
      </c>
      <c r="D449" s="15">
        <v>3</v>
      </c>
      <c r="E449"/>
      <c r="F449"/>
      <c r="G449"/>
      <c r="H449"/>
      <c r="I449"/>
      <c r="J449"/>
      <c r="K449"/>
    </row>
    <row r="450" spans="1:11">
      <c r="A450" s="36" t="s">
        <v>573</v>
      </c>
      <c r="B450" s="36" t="s">
        <v>65</v>
      </c>
      <c r="C450" s="36">
        <v>36</v>
      </c>
      <c r="D450" s="15">
        <v>3</v>
      </c>
      <c r="E450"/>
      <c r="F450"/>
      <c r="G450"/>
      <c r="H450"/>
      <c r="I450"/>
      <c r="J450"/>
      <c r="K450"/>
    </row>
    <row r="451" spans="1:11">
      <c r="A451" s="36" t="s">
        <v>439</v>
      </c>
      <c r="B451" s="36" t="s">
        <v>87</v>
      </c>
      <c r="C451" s="36">
        <v>45</v>
      </c>
      <c r="D451" s="15">
        <v>3</v>
      </c>
      <c r="E451"/>
      <c r="F451"/>
      <c r="G451"/>
      <c r="H451"/>
      <c r="I451"/>
      <c r="J451"/>
      <c r="K451"/>
    </row>
    <row r="452" spans="1:11">
      <c r="A452" s="43"/>
      <c r="B452" s="43"/>
      <c r="C452" s="36">
        <v>54</v>
      </c>
      <c r="D452" s="15">
        <v>3</v>
      </c>
      <c r="E452"/>
      <c r="F452"/>
      <c r="G452"/>
      <c r="H452"/>
      <c r="I452"/>
      <c r="J452"/>
      <c r="K452"/>
    </row>
    <row r="453" spans="1:11">
      <c r="A453" s="36" t="s">
        <v>614</v>
      </c>
      <c r="B453" s="36" t="s">
        <v>88</v>
      </c>
      <c r="C453" s="36">
        <v>45</v>
      </c>
      <c r="D453" s="15">
        <v>3</v>
      </c>
      <c r="E453"/>
      <c r="F453"/>
      <c r="G453"/>
      <c r="H453"/>
      <c r="I453"/>
      <c r="J453"/>
      <c r="K453"/>
    </row>
    <row r="454" spans="1:11">
      <c r="A454" s="43"/>
      <c r="B454" s="43"/>
      <c r="C454" s="36">
        <v>54</v>
      </c>
      <c r="D454" s="15">
        <v>3</v>
      </c>
      <c r="E454"/>
      <c r="F454"/>
      <c r="G454"/>
      <c r="H454"/>
      <c r="I454"/>
      <c r="J454"/>
      <c r="K454"/>
    </row>
    <row r="455" spans="1:11">
      <c r="A455" s="36" t="s">
        <v>615</v>
      </c>
      <c r="B455" s="36" t="s">
        <v>89</v>
      </c>
      <c r="C455" s="36">
        <v>45</v>
      </c>
      <c r="D455" s="15">
        <v>3</v>
      </c>
      <c r="E455"/>
      <c r="F455"/>
      <c r="G455"/>
      <c r="H455"/>
      <c r="I455"/>
      <c r="J455"/>
      <c r="K455"/>
    </row>
    <row r="456" spans="1:11">
      <c r="A456" s="43"/>
      <c r="B456" s="43"/>
      <c r="C456" s="36">
        <v>54</v>
      </c>
      <c r="D456" s="15">
        <v>3</v>
      </c>
      <c r="E456"/>
      <c r="F456"/>
      <c r="G456"/>
      <c r="H456"/>
      <c r="I456"/>
      <c r="J456"/>
      <c r="K456"/>
    </row>
    <row r="457" spans="1:11">
      <c r="A457" s="36" t="s">
        <v>616</v>
      </c>
      <c r="B457" s="36" t="s">
        <v>90</v>
      </c>
      <c r="C457" s="36">
        <v>45</v>
      </c>
      <c r="D457" s="15">
        <v>3</v>
      </c>
      <c r="E457"/>
      <c r="F457"/>
      <c r="G457"/>
      <c r="H457"/>
      <c r="I457"/>
      <c r="J457"/>
      <c r="K457"/>
    </row>
    <row r="458" spans="1:11">
      <c r="A458" s="43"/>
      <c r="B458" s="43"/>
      <c r="C458" s="36">
        <v>54</v>
      </c>
      <c r="D458" s="15">
        <v>3</v>
      </c>
      <c r="E458"/>
      <c r="F458"/>
      <c r="G458"/>
      <c r="H458"/>
      <c r="I458"/>
      <c r="J458"/>
      <c r="K458"/>
    </row>
    <row r="459" spans="1:11">
      <c r="A459" s="36" t="s">
        <v>617</v>
      </c>
      <c r="B459" s="36" t="s">
        <v>91</v>
      </c>
      <c r="C459" s="36">
        <v>45</v>
      </c>
      <c r="D459" s="15">
        <v>3</v>
      </c>
      <c r="E459"/>
      <c r="F459"/>
      <c r="G459"/>
      <c r="H459"/>
      <c r="I459"/>
      <c r="J459"/>
      <c r="K459"/>
    </row>
    <row r="460" spans="1:11">
      <c r="A460" s="43"/>
      <c r="B460" s="43"/>
      <c r="C460" s="36">
        <v>54</v>
      </c>
      <c r="D460" s="15">
        <v>3</v>
      </c>
      <c r="E460"/>
      <c r="F460"/>
      <c r="G460"/>
      <c r="H460"/>
      <c r="I460"/>
      <c r="J460"/>
      <c r="K460"/>
    </row>
    <row r="461" spans="1:11">
      <c r="A461" s="36" t="s">
        <v>618</v>
      </c>
      <c r="B461" s="36" t="s">
        <v>92</v>
      </c>
      <c r="C461" s="36">
        <v>45</v>
      </c>
      <c r="D461" s="15">
        <v>3</v>
      </c>
      <c r="E461"/>
      <c r="F461"/>
      <c r="G461"/>
      <c r="H461"/>
      <c r="I461"/>
      <c r="J461"/>
      <c r="K461"/>
    </row>
    <row r="462" spans="1:11">
      <c r="A462" s="43"/>
      <c r="B462" s="43"/>
      <c r="C462" s="36">
        <v>54</v>
      </c>
      <c r="D462" s="15">
        <v>3</v>
      </c>
      <c r="E462"/>
      <c r="F462"/>
      <c r="G462"/>
      <c r="H462"/>
      <c r="I462"/>
      <c r="J462"/>
      <c r="K462"/>
    </row>
    <row r="463" spans="1:11">
      <c r="A463" s="36" t="s">
        <v>619</v>
      </c>
      <c r="B463" s="36" t="s">
        <v>93</v>
      </c>
      <c r="C463" s="36">
        <v>45</v>
      </c>
      <c r="D463" s="15">
        <v>3</v>
      </c>
      <c r="E463"/>
      <c r="F463"/>
      <c r="G463"/>
      <c r="H463"/>
      <c r="I463"/>
      <c r="J463"/>
      <c r="K463"/>
    </row>
    <row r="464" spans="1:11">
      <c r="A464" s="43"/>
      <c r="B464" s="43"/>
      <c r="C464" s="36">
        <v>54</v>
      </c>
      <c r="D464" s="15">
        <v>3</v>
      </c>
      <c r="E464"/>
      <c r="F464"/>
      <c r="G464"/>
      <c r="H464"/>
      <c r="I464"/>
      <c r="J464"/>
      <c r="K464"/>
    </row>
    <row r="465" spans="1:11">
      <c r="A465" s="36" t="s">
        <v>620</v>
      </c>
      <c r="B465" s="36" t="s">
        <v>94</v>
      </c>
      <c r="C465" s="36">
        <v>45</v>
      </c>
      <c r="D465" s="15">
        <v>3</v>
      </c>
      <c r="E465"/>
      <c r="F465"/>
      <c r="G465"/>
      <c r="H465"/>
      <c r="I465"/>
      <c r="J465"/>
      <c r="K465"/>
    </row>
    <row r="466" spans="1:11">
      <c r="A466" s="43"/>
      <c r="B466" s="43"/>
      <c r="C466" s="36">
        <v>54</v>
      </c>
      <c r="D466" s="15">
        <v>3</v>
      </c>
      <c r="E466"/>
      <c r="F466"/>
      <c r="G466"/>
      <c r="H466"/>
      <c r="I466"/>
      <c r="J466"/>
      <c r="K466"/>
    </row>
    <row r="467" spans="1:11">
      <c r="A467" s="36" t="s">
        <v>621</v>
      </c>
      <c r="B467" s="36" t="s">
        <v>95</v>
      </c>
      <c r="C467" s="36">
        <v>45</v>
      </c>
      <c r="D467" s="15">
        <v>3</v>
      </c>
      <c r="E467"/>
      <c r="F467"/>
      <c r="G467"/>
      <c r="H467"/>
      <c r="I467"/>
      <c r="J467"/>
      <c r="K467"/>
    </row>
    <row r="468" spans="1:11">
      <c r="A468" s="43"/>
      <c r="B468" s="43"/>
      <c r="C468" s="36">
        <v>54</v>
      </c>
      <c r="D468" s="15">
        <v>3</v>
      </c>
      <c r="E468"/>
      <c r="F468"/>
      <c r="G468"/>
      <c r="H468"/>
      <c r="I468"/>
      <c r="J468"/>
      <c r="K468"/>
    </row>
    <row r="469" spans="1:11">
      <c r="A469" s="36" t="s">
        <v>622</v>
      </c>
      <c r="B469" s="36" t="s">
        <v>96</v>
      </c>
      <c r="C469" s="36">
        <v>45</v>
      </c>
      <c r="D469" s="15">
        <v>3</v>
      </c>
      <c r="E469"/>
      <c r="F469"/>
      <c r="G469"/>
      <c r="H469"/>
      <c r="I469"/>
      <c r="J469"/>
      <c r="K469"/>
    </row>
    <row r="470" spans="1:11">
      <c r="A470" s="43"/>
      <c r="B470" s="43"/>
      <c r="C470" s="36">
        <v>54</v>
      </c>
      <c r="D470" s="15">
        <v>3</v>
      </c>
      <c r="E470"/>
      <c r="F470"/>
      <c r="G470"/>
      <c r="H470"/>
      <c r="I470"/>
      <c r="J470"/>
      <c r="K470"/>
    </row>
    <row r="471" spans="1:11">
      <c r="A471" s="36" t="s">
        <v>441</v>
      </c>
      <c r="B471" s="36" t="s">
        <v>411</v>
      </c>
      <c r="C471" s="36">
        <v>45</v>
      </c>
      <c r="D471" s="15">
        <v>6</v>
      </c>
      <c r="E471"/>
      <c r="F471"/>
      <c r="G471"/>
      <c r="H471"/>
      <c r="I471"/>
      <c r="J471"/>
      <c r="K471"/>
    </row>
    <row r="472" spans="1:11">
      <c r="A472" s="43"/>
      <c r="B472" s="43"/>
      <c r="C472" s="36">
        <v>54</v>
      </c>
      <c r="D472" s="15">
        <v>3</v>
      </c>
      <c r="E472"/>
      <c r="F472"/>
      <c r="G472"/>
      <c r="H472"/>
      <c r="I472"/>
      <c r="J472"/>
      <c r="K472"/>
    </row>
    <row r="473" spans="1:11">
      <c r="A473" s="36" t="s">
        <v>427</v>
      </c>
      <c r="B473" s="36" t="s">
        <v>43</v>
      </c>
      <c r="C473" s="36">
        <v>45</v>
      </c>
      <c r="D473" s="15">
        <v>2</v>
      </c>
      <c r="E473"/>
      <c r="F473"/>
      <c r="G473"/>
      <c r="H473"/>
      <c r="I473"/>
      <c r="J473"/>
      <c r="K473"/>
    </row>
    <row r="474" spans="1:11">
      <c r="A474" s="43"/>
      <c r="B474" s="43"/>
      <c r="C474" s="36">
        <v>54</v>
      </c>
      <c r="D474" s="15">
        <v>2</v>
      </c>
      <c r="E474"/>
      <c r="F474"/>
      <c r="G474"/>
      <c r="H474"/>
      <c r="I474"/>
      <c r="J474"/>
      <c r="K474"/>
    </row>
    <row r="475" spans="1:11">
      <c r="A475" s="36" t="s">
        <v>553</v>
      </c>
      <c r="B475" s="36" t="s">
        <v>44</v>
      </c>
      <c r="C475" s="36">
        <v>45</v>
      </c>
      <c r="D475" s="15">
        <v>1</v>
      </c>
      <c r="E475"/>
      <c r="F475"/>
      <c r="G475"/>
      <c r="H475"/>
      <c r="I475"/>
      <c r="J475"/>
      <c r="K475"/>
    </row>
    <row r="476" spans="1:11">
      <c r="A476" s="43"/>
      <c r="B476" s="43"/>
      <c r="C476" s="36">
        <v>54</v>
      </c>
      <c r="D476" s="15">
        <v>1</v>
      </c>
      <c r="E476"/>
      <c r="F476"/>
      <c r="G476"/>
      <c r="H476"/>
      <c r="I476"/>
      <c r="J476"/>
      <c r="K476"/>
    </row>
    <row r="477" spans="1:11">
      <c r="A477" s="36" t="s">
        <v>554</v>
      </c>
      <c r="B477" s="36" t="s">
        <v>45</v>
      </c>
      <c r="C477" s="36">
        <v>45</v>
      </c>
      <c r="D477" s="15">
        <v>0</v>
      </c>
      <c r="E477"/>
      <c r="F477"/>
      <c r="G477"/>
      <c r="H477"/>
      <c r="I477"/>
      <c r="J477"/>
      <c r="K477"/>
    </row>
    <row r="478" spans="1:11">
      <c r="A478" s="43"/>
      <c r="B478" s="43"/>
      <c r="C478" s="36">
        <v>54</v>
      </c>
      <c r="D478" s="15">
        <v>2</v>
      </c>
      <c r="E478"/>
      <c r="F478"/>
      <c r="G478"/>
      <c r="H478"/>
      <c r="I478"/>
      <c r="J478"/>
      <c r="K478"/>
    </row>
    <row r="479" spans="1:11">
      <c r="A479" s="36" t="s">
        <v>555</v>
      </c>
      <c r="B479" s="36" t="s">
        <v>46</v>
      </c>
      <c r="C479" s="36">
        <v>45</v>
      </c>
      <c r="D479" s="15">
        <v>1</v>
      </c>
      <c r="E479"/>
      <c r="F479"/>
      <c r="G479"/>
      <c r="H479"/>
      <c r="I479"/>
      <c r="J479"/>
      <c r="K479"/>
    </row>
    <row r="480" spans="1:11">
      <c r="A480" s="43"/>
      <c r="B480" s="43"/>
      <c r="C480" s="36">
        <v>54</v>
      </c>
      <c r="D480" s="15">
        <v>1</v>
      </c>
      <c r="E480"/>
      <c r="F480"/>
      <c r="G480"/>
      <c r="H480"/>
      <c r="I480"/>
      <c r="J480"/>
      <c r="K480"/>
    </row>
    <row r="481" spans="1:11">
      <c r="A481" s="36" t="s">
        <v>556</v>
      </c>
      <c r="B481" s="36" t="s">
        <v>47</v>
      </c>
      <c r="C481" s="36">
        <v>45</v>
      </c>
      <c r="D481" s="15">
        <v>3</v>
      </c>
      <c r="E481"/>
      <c r="F481"/>
      <c r="G481"/>
      <c r="H481"/>
      <c r="I481"/>
      <c r="J481"/>
      <c r="K481"/>
    </row>
    <row r="482" spans="1:11">
      <c r="A482" s="43"/>
      <c r="B482" s="43"/>
      <c r="C482" s="36">
        <v>54</v>
      </c>
      <c r="D482" s="15">
        <v>0</v>
      </c>
      <c r="E482"/>
      <c r="F482"/>
      <c r="G482"/>
      <c r="H482"/>
      <c r="I482"/>
      <c r="J482"/>
      <c r="K482"/>
    </row>
    <row r="483" spans="1:11">
      <c r="A483" s="36" t="s">
        <v>557</v>
      </c>
      <c r="B483" s="36" t="s">
        <v>48</v>
      </c>
      <c r="C483" s="36">
        <v>45</v>
      </c>
      <c r="D483" s="15">
        <v>1</v>
      </c>
      <c r="E483"/>
      <c r="F483"/>
      <c r="G483"/>
      <c r="H483"/>
      <c r="I483"/>
      <c r="J483"/>
      <c r="K483"/>
    </row>
    <row r="484" spans="1:11">
      <c r="A484" s="43"/>
      <c r="B484" s="43"/>
      <c r="C484" s="36">
        <v>54</v>
      </c>
      <c r="D484" s="15">
        <v>1</v>
      </c>
      <c r="E484"/>
      <c r="F484"/>
      <c r="G484"/>
      <c r="H484"/>
      <c r="I484"/>
      <c r="J484"/>
      <c r="K484"/>
    </row>
    <row r="485" spans="1:11">
      <c r="A485" s="36" t="s">
        <v>558</v>
      </c>
      <c r="B485" s="36" t="s">
        <v>49</v>
      </c>
      <c r="C485" s="36">
        <v>45</v>
      </c>
      <c r="D485" s="15">
        <v>2</v>
      </c>
      <c r="E485"/>
      <c r="F485"/>
      <c r="G485"/>
      <c r="H485"/>
      <c r="I485"/>
      <c r="J485"/>
      <c r="K485"/>
    </row>
    <row r="486" spans="1:11">
      <c r="A486" s="43"/>
      <c r="B486" s="43"/>
      <c r="C486" s="36">
        <v>54</v>
      </c>
      <c r="D486" s="15">
        <v>2</v>
      </c>
      <c r="E486"/>
      <c r="F486"/>
      <c r="G486"/>
      <c r="H486"/>
      <c r="I486"/>
      <c r="J486"/>
      <c r="K486"/>
    </row>
    <row r="487" spans="1:11">
      <c r="A487" s="36" t="s">
        <v>559</v>
      </c>
      <c r="B487" s="36" t="s">
        <v>50</v>
      </c>
      <c r="C487" s="36">
        <v>45</v>
      </c>
      <c r="D487" s="15">
        <v>2</v>
      </c>
      <c r="E487"/>
      <c r="F487"/>
      <c r="G487"/>
      <c r="H487"/>
      <c r="I487"/>
      <c r="J487"/>
      <c r="K487"/>
    </row>
    <row r="488" spans="1:11">
      <c r="A488" s="43"/>
      <c r="B488" s="43"/>
      <c r="C488" s="36">
        <v>54</v>
      </c>
      <c r="D488" s="15">
        <v>2</v>
      </c>
      <c r="E488"/>
      <c r="F488"/>
      <c r="G488"/>
      <c r="H488"/>
      <c r="I488"/>
      <c r="J488"/>
      <c r="K488"/>
    </row>
    <row r="489" spans="1:11">
      <c r="A489" s="36" t="s">
        <v>560</v>
      </c>
      <c r="B489" s="36" t="s">
        <v>51</v>
      </c>
      <c r="C489" s="36">
        <v>45</v>
      </c>
      <c r="D489" s="15">
        <v>2</v>
      </c>
      <c r="E489"/>
      <c r="F489"/>
      <c r="G489"/>
      <c r="H489"/>
      <c r="I489"/>
      <c r="J489"/>
      <c r="K489"/>
    </row>
    <row r="490" spans="1:11">
      <c r="A490" s="43"/>
      <c r="B490" s="43"/>
      <c r="C490" s="36">
        <v>54</v>
      </c>
      <c r="D490" s="15">
        <v>2</v>
      </c>
      <c r="E490"/>
      <c r="F490"/>
      <c r="G490"/>
      <c r="H490"/>
      <c r="I490"/>
      <c r="J490"/>
      <c r="K490"/>
    </row>
    <row r="491" spans="1:11">
      <c r="A491" s="36" t="s">
        <v>561</v>
      </c>
      <c r="B491" s="36" t="s">
        <v>52</v>
      </c>
      <c r="C491" s="36">
        <v>45</v>
      </c>
      <c r="D491" s="15">
        <v>2</v>
      </c>
      <c r="E491"/>
      <c r="F491"/>
      <c r="G491"/>
      <c r="H491"/>
      <c r="I491"/>
      <c r="J491"/>
      <c r="K491"/>
    </row>
    <row r="492" spans="1:11">
      <c r="A492" s="43"/>
      <c r="B492" s="43"/>
      <c r="C492" s="36">
        <v>54</v>
      </c>
      <c r="D492" s="15">
        <v>1</v>
      </c>
      <c r="E492"/>
      <c r="F492"/>
      <c r="G492"/>
      <c r="H492"/>
      <c r="I492"/>
      <c r="J492"/>
      <c r="K492"/>
    </row>
    <row r="493" spans="1:11">
      <c r="A493" s="36" t="s">
        <v>21</v>
      </c>
      <c r="B493" s="36" t="s">
        <v>636</v>
      </c>
      <c r="C493" s="36" t="s">
        <v>21</v>
      </c>
      <c r="D493" s="15">
        <v>0</v>
      </c>
      <c r="E493"/>
      <c r="F493"/>
      <c r="G493"/>
      <c r="H493"/>
      <c r="I493"/>
      <c r="J493"/>
      <c r="K493"/>
    </row>
    <row r="494" spans="1:11">
      <c r="A494" s="43"/>
      <c r="B494" s="36" t="s">
        <v>21</v>
      </c>
      <c r="C494" s="36" t="s">
        <v>21</v>
      </c>
      <c r="D494" s="15"/>
      <c r="E494"/>
      <c r="F494"/>
      <c r="G494"/>
      <c r="H494"/>
      <c r="I494"/>
      <c r="J494"/>
      <c r="K494"/>
    </row>
    <row r="495" spans="1:11">
      <c r="A495" s="14" t="s">
        <v>22</v>
      </c>
      <c r="B495" s="44"/>
      <c r="C495" s="44"/>
      <c r="D495" s="15">
        <v>942</v>
      </c>
      <c r="E495"/>
      <c r="F495"/>
      <c r="G495"/>
      <c r="H495"/>
      <c r="I495"/>
      <c r="J495"/>
      <c r="K495"/>
    </row>
    <row r="496" spans="1:11" ht="16.5">
      <c r="A496"/>
      <c r="B496"/>
      <c r="C496"/>
      <c r="D496"/>
      <c r="E496"/>
      <c r="F496"/>
      <c r="G496"/>
      <c r="H496"/>
      <c r="I496"/>
      <c r="J496"/>
      <c r="K496"/>
    </row>
    <row r="497" spans="1:4" ht="16.5">
      <c r="A497"/>
      <c r="B497"/>
      <c r="C497"/>
      <c r="D497"/>
    </row>
    <row r="498" spans="1:4" ht="16.5">
      <c r="A498"/>
      <c r="B498"/>
      <c r="C498"/>
      <c r="D498"/>
    </row>
    <row r="499" spans="1:4" ht="16.5">
      <c r="A499"/>
      <c r="B499"/>
      <c r="C499"/>
      <c r="D499"/>
    </row>
    <row r="500" spans="1:4" ht="16.5">
      <c r="A500"/>
      <c r="B500"/>
      <c r="C500"/>
      <c r="D500"/>
    </row>
    <row r="501" spans="1:4" ht="16.5">
      <c r="A501"/>
      <c r="B501"/>
      <c r="C501"/>
      <c r="D501"/>
    </row>
    <row r="502" spans="1:4" ht="16.5">
      <c r="A502"/>
      <c r="B502"/>
      <c r="C502"/>
      <c r="D502"/>
    </row>
    <row r="503" spans="1:4" ht="16.5">
      <c r="A503"/>
      <c r="B503"/>
      <c r="C503"/>
      <c r="D503"/>
    </row>
    <row r="504" spans="1:4" ht="16.5">
      <c r="A504"/>
      <c r="B504"/>
      <c r="C504"/>
      <c r="D504"/>
    </row>
    <row r="505" spans="1:4" ht="16.5">
      <c r="A505"/>
      <c r="B505"/>
      <c r="C505"/>
      <c r="D505"/>
    </row>
    <row r="506" spans="1:4" ht="16.5">
      <c r="A506"/>
      <c r="B506"/>
      <c r="C506"/>
      <c r="D506"/>
    </row>
    <row r="507" spans="1:4" ht="16.5">
      <c r="A507"/>
      <c r="B507"/>
      <c r="C507"/>
      <c r="D507"/>
    </row>
    <row r="508" spans="1:4" ht="16.5">
      <c r="A508"/>
      <c r="B508"/>
      <c r="C508"/>
      <c r="D508"/>
    </row>
    <row r="509" spans="1:4" ht="16.5">
      <c r="A509"/>
      <c r="B509"/>
      <c r="C509"/>
      <c r="D509"/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492"/>
  <sheetViews>
    <sheetView topLeftCell="A178" workbookViewId="0">
      <selection activeCell="E193" sqref="E193:E197"/>
    </sheetView>
  </sheetViews>
  <sheetFormatPr defaultRowHeight="16.5"/>
  <cols>
    <col min="2" max="2" width="40.375" style="9" customWidth="1"/>
    <col min="3" max="3" width="13.75" style="9" bestFit="1" customWidth="1"/>
    <col min="4" max="4" width="13.75" style="9" customWidth="1"/>
    <col min="5" max="5" width="13.75" style="8" customWidth="1"/>
    <col min="6" max="6" width="24.75" style="9" bestFit="1" customWidth="1"/>
  </cols>
  <sheetData>
    <row r="1" spans="1:8">
      <c r="A1" t="s">
        <v>288</v>
      </c>
      <c r="B1" s="1" t="s">
        <v>28</v>
      </c>
      <c r="C1" s="2" t="s">
        <v>0</v>
      </c>
      <c r="D1" s="3" t="s">
        <v>415</v>
      </c>
      <c r="E1" s="23" t="s">
        <v>416</v>
      </c>
      <c r="F1" s="4" t="s">
        <v>1</v>
      </c>
    </row>
    <row r="2" spans="1:8">
      <c r="A2" t="s">
        <v>420</v>
      </c>
      <c r="B2" s="7" t="s">
        <v>413</v>
      </c>
      <c r="C2" s="5">
        <v>5.95</v>
      </c>
      <c r="D2" s="5">
        <f t="shared" ref="D2:D21" si="0">C2*0.4</f>
        <v>2.3800000000000003</v>
      </c>
      <c r="E2" s="24">
        <v>7000</v>
      </c>
      <c r="F2" s="4" t="s">
        <v>5</v>
      </c>
      <c r="G2" t="s">
        <v>97</v>
      </c>
      <c r="H2" t="s">
        <v>420</v>
      </c>
    </row>
    <row r="3" spans="1:8">
      <c r="A3" s="43" t="s">
        <v>443</v>
      </c>
      <c r="B3" s="21" t="s">
        <v>289</v>
      </c>
      <c r="C3" s="47">
        <v>5.95</v>
      </c>
      <c r="D3" s="47">
        <f t="shared" si="0"/>
        <v>2.3800000000000003</v>
      </c>
      <c r="E3" s="24">
        <v>7000</v>
      </c>
      <c r="F3" s="4" t="s">
        <v>5</v>
      </c>
      <c r="G3" t="s">
        <v>98</v>
      </c>
      <c r="H3" t="s">
        <v>443</v>
      </c>
    </row>
    <row r="4" spans="1:8">
      <c r="A4" s="43" t="s">
        <v>444</v>
      </c>
      <c r="B4" s="21" t="s">
        <v>290</v>
      </c>
      <c r="C4" s="47">
        <v>5.95</v>
      </c>
      <c r="D4" s="47">
        <f t="shared" si="0"/>
        <v>2.3800000000000003</v>
      </c>
      <c r="E4" s="24">
        <v>7000</v>
      </c>
      <c r="F4" s="4" t="s">
        <v>5</v>
      </c>
      <c r="G4" t="s">
        <v>99</v>
      </c>
      <c r="H4" t="s">
        <v>444</v>
      </c>
    </row>
    <row r="5" spans="1:8">
      <c r="A5" s="43" t="s">
        <v>445</v>
      </c>
      <c r="B5" s="21" t="s">
        <v>291</v>
      </c>
      <c r="C5" s="47">
        <v>5.95</v>
      </c>
      <c r="D5" s="47">
        <f t="shared" si="0"/>
        <v>2.3800000000000003</v>
      </c>
      <c r="E5" s="24">
        <v>7000</v>
      </c>
      <c r="F5" s="4" t="s">
        <v>5</v>
      </c>
      <c r="G5" t="s">
        <v>100</v>
      </c>
      <c r="H5" t="s">
        <v>445</v>
      </c>
    </row>
    <row r="6" spans="1:8">
      <c r="A6" s="43" t="s">
        <v>446</v>
      </c>
      <c r="B6" s="21" t="s">
        <v>292</v>
      </c>
      <c r="C6" s="47">
        <v>5.95</v>
      </c>
      <c r="D6" s="47">
        <f t="shared" si="0"/>
        <v>2.3800000000000003</v>
      </c>
      <c r="E6" s="24">
        <v>7000</v>
      </c>
      <c r="F6" s="4" t="s">
        <v>5</v>
      </c>
      <c r="G6" t="s">
        <v>101</v>
      </c>
      <c r="H6" t="s">
        <v>446</v>
      </c>
    </row>
    <row r="7" spans="1:8">
      <c r="A7" s="43" t="s">
        <v>447</v>
      </c>
      <c r="B7" s="21" t="s">
        <v>293</v>
      </c>
      <c r="C7" s="47">
        <v>5.95</v>
      </c>
      <c r="D7" s="47">
        <f t="shared" si="0"/>
        <v>2.3800000000000003</v>
      </c>
      <c r="E7" s="24">
        <v>7000</v>
      </c>
      <c r="F7" s="4" t="s">
        <v>5</v>
      </c>
      <c r="G7" t="s">
        <v>102</v>
      </c>
      <c r="H7" t="s">
        <v>447</v>
      </c>
    </row>
    <row r="8" spans="1:8">
      <c r="A8" s="43" t="s">
        <v>448</v>
      </c>
      <c r="B8" s="21" t="s">
        <v>294</v>
      </c>
      <c r="C8" s="47">
        <v>5.95</v>
      </c>
      <c r="D8" s="47">
        <f t="shared" si="0"/>
        <v>2.3800000000000003</v>
      </c>
      <c r="E8" s="24">
        <v>7000</v>
      </c>
      <c r="F8" s="4" t="s">
        <v>5</v>
      </c>
      <c r="G8" t="s">
        <v>103</v>
      </c>
      <c r="H8" t="s">
        <v>448</v>
      </c>
    </row>
    <row r="9" spans="1:8">
      <c r="A9" s="43" t="s">
        <v>449</v>
      </c>
      <c r="B9" s="21" t="s">
        <v>295</v>
      </c>
      <c r="C9" s="47">
        <v>5.95</v>
      </c>
      <c r="D9" s="47">
        <f t="shared" si="0"/>
        <v>2.3800000000000003</v>
      </c>
      <c r="E9" s="24">
        <v>7000</v>
      </c>
      <c r="F9" s="4" t="s">
        <v>5</v>
      </c>
      <c r="G9" t="s">
        <v>104</v>
      </c>
      <c r="H9" t="s">
        <v>449</v>
      </c>
    </row>
    <row r="10" spans="1:8">
      <c r="A10" s="43" t="s">
        <v>450</v>
      </c>
      <c r="B10" s="21" t="s">
        <v>296</v>
      </c>
      <c r="C10" s="47">
        <v>5.95</v>
      </c>
      <c r="D10" s="47">
        <f t="shared" si="0"/>
        <v>2.3800000000000003</v>
      </c>
      <c r="E10" s="24">
        <v>7000</v>
      </c>
      <c r="F10" s="4" t="s">
        <v>5</v>
      </c>
      <c r="G10" t="s">
        <v>105</v>
      </c>
      <c r="H10" t="s">
        <v>450</v>
      </c>
    </row>
    <row r="11" spans="1:8">
      <c r="A11" s="43" t="s">
        <v>451</v>
      </c>
      <c r="B11" s="21" t="s">
        <v>412</v>
      </c>
      <c r="C11" s="47">
        <v>5.95</v>
      </c>
      <c r="D11" s="47">
        <f t="shared" si="0"/>
        <v>2.3800000000000003</v>
      </c>
      <c r="E11" s="24">
        <v>7000</v>
      </c>
      <c r="F11" s="4" t="s">
        <v>5</v>
      </c>
      <c r="G11" t="s">
        <v>106</v>
      </c>
      <c r="H11" t="s">
        <v>451</v>
      </c>
    </row>
    <row r="12" spans="1:8">
      <c r="A12" s="43" t="s">
        <v>452</v>
      </c>
      <c r="B12" s="21" t="s">
        <v>297</v>
      </c>
      <c r="C12" s="47">
        <v>5.95</v>
      </c>
      <c r="D12" s="47">
        <f t="shared" si="0"/>
        <v>2.3800000000000003</v>
      </c>
      <c r="E12" s="24">
        <v>7000</v>
      </c>
      <c r="F12" s="4" t="s">
        <v>5</v>
      </c>
      <c r="G12" t="s">
        <v>107</v>
      </c>
      <c r="H12" t="s">
        <v>452</v>
      </c>
    </row>
    <row r="13" spans="1:8">
      <c r="A13" s="43" t="s">
        <v>453</v>
      </c>
      <c r="B13" s="21" t="s">
        <v>298</v>
      </c>
      <c r="C13" s="47">
        <v>5.95</v>
      </c>
      <c r="D13" s="47">
        <f t="shared" si="0"/>
        <v>2.3800000000000003</v>
      </c>
      <c r="E13" s="24">
        <v>7000</v>
      </c>
      <c r="F13" s="4" t="s">
        <v>5</v>
      </c>
      <c r="G13" t="s">
        <v>108</v>
      </c>
      <c r="H13" t="s">
        <v>453</v>
      </c>
    </row>
    <row r="14" spans="1:8">
      <c r="A14" s="43" t="s">
        <v>454</v>
      </c>
      <c r="B14" s="21" t="s">
        <v>299</v>
      </c>
      <c r="C14" s="47">
        <v>5.95</v>
      </c>
      <c r="D14" s="47">
        <f t="shared" si="0"/>
        <v>2.3800000000000003</v>
      </c>
      <c r="E14" s="24">
        <v>7000</v>
      </c>
      <c r="F14" s="4" t="s">
        <v>5</v>
      </c>
      <c r="G14" t="s">
        <v>109</v>
      </c>
      <c r="H14" t="s">
        <v>454</v>
      </c>
    </row>
    <row r="15" spans="1:8">
      <c r="A15" s="43" t="s">
        <v>455</v>
      </c>
      <c r="B15" s="21" t="s">
        <v>300</v>
      </c>
      <c r="C15" s="47">
        <v>5.95</v>
      </c>
      <c r="D15" s="47">
        <f t="shared" si="0"/>
        <v>2.3800000000000003</v>
      </c>
      <c r="E15" s="24">
        <v>7000</v>
      </c>
      <c r="F15" s="4" t="s">
        <v>5</v>
      </c>
      <c r="G15" t="s">
        <v>110</v>
      </c>
      <c r="H15" t="s">
        <v>455</v>
      </c>
    </row>
    <row r="16" spans="1:8">
      <c r="A16" s="43" t="s">
        <v>456</v>
      </c>
      <c r="B16" s="21" t="s">
        <v>301</v>
      </c>
      <c r="C16" s="47">
        <v>5.95</v>
      </c>
      <c r="D16" s="47">
        <f t="shared" si="0"/>
        <v>2.3800000000000003</v>
      </c>
      <c r="E16" s="24">
        <v>7000</v>
      </c>
      <c r="F16" s="4" t="s">
        <v>5</v>
      </c>
      <c r="G16" t="s">
        <v>111</v>
      </c>
      <c r="H16" t="s">
        <v>456</v>
      </c>
    </row>
    <row r="17" spans="1:8">
      <c r="A17" s="43" t="s">
        <v>457</v>
      </c>
      <c r="B17" s="21" t="s">
        <v>302</v>
      </c>
      <c r="C17" s="47">
        <v>5.95</v>
      </c>
      <c r="D17" s="47">
        <f t="shared" si="0"/>
        <v>2.3800000000000003</v>
      </c>
      <c r="E17" s="24">
        <v>7000</v>
      </c>
      <c r="F17" s="4" t="s">
        <v>5</v>
      </c>
      <c r="G17" t="s">
        <v>112</v>
      </c>
      <c r="H17" t="s">
        <v>457</v>
      </c>
    </row>
    <row r="18" spans="1:8">
      <c r="A18" s="43" t="s">
        <v>458</v>
      </c>
      <c r="B18" s="21" t="s">
        <v>303</v>
      </c>
      <c r="C18" s="47">
        <v>5.95</v>
      </c>
      <c r="D18" s="47">
        <f t="shared" si="0"/>
        <v>2.3800000000000003</v>
      </c>
      <c r="E18" s="24">
        <v>7000</v>
      </c>
      <c r="F18" s="4" t="s">
        <v>5</v>
      </c>
      <c r="G18" t="s">
        <v>113</v>
      </c>
      <c r="H18" t="s">
        <v>458</v>
      </c>
    </row>
    <row r="19" spans="1:8">
      <c r="A19" s="43" t="s">
        <v>459</v>
      </c>
      <c r="B19" s="21" t="s">
        <v>304</v>
      </c>
      <c r="C19" s="47">
        <v>5.95</v>
      </c>
      <c r="D19" s="47">
        <f t="shared" si="0"/>
        <v>2.3800000000000003</v>
      </c>
      <c r="E19" s="24">
        <v>7000</v>
      </c>
      <c r="F19" s="4" t="s">
        <v>5</v>
      </c>
      <c r="G19" t="s">
        <v>114</v>
      </c>
      <c r="H19" t="s">
        <v>459</v>
      </c>
    </row>
    <row r="20" spans="1:8">
      <c r="A20" s="43" t="s">
        <v>460</v>
      </c>
      <c r="B20" s="21" t="s">
        <v>305</v>
      </c>
      <c r="C20" s="47">
        <v>5.95</v>
      </c>
      <c r="D20" s="47">
        <f t="shared" si="0"/>
        <v>2.3800000000000003</v>
      </c>
      <c r="E20" s="24">
        <v>7000</v>
      </c>
      <c r="F20" s="4" t="s">
        <v>5</v>
      </c>
      <c r="G20" t="s">
        <v>115</v>
      </c>
      <c r="H20" t="s">
        <v>460</v>
      </c>
    </row>
    <row r="21" spans="1:8">
      <c r="A21" s="43" t="s">
        <v>461</v>
      </c>
      <c r="B21" s="21" t="s">
        <v>306</v>
      </c>
      <c r="C21" s="47">
        <v>5.95</v>
      </c>
      <c r="D21" s="47">
        <f t="shared" si="0"/>
        <v>2.3800000000000003</v>
      </c>
      <c r="E21" s="24">
        <v>7000</v>
      </c>
      <c r="F21" s="4" t="s">
        <v>5</v>
      </c>
      <c r="G21" t="s">
        <v>116</v>
      </c>
      <c r="H21" t="s">
        <v>461</v>
      </c>
    </row>
    <row r="22" spans="1:8">
      <c r="A22" s="43" t="s">
        <v>462</v>
      </c>
      <c r="B22" s="21" t="s">
        <v>307</v>
      </c>
      <c r="C22" s="47">
        <v>5.95</v>
      </c>
      <c r="D22" s="47">
        <f t="shared" ref="D22:D43" si="1">C22*0.4</f>
        <v>2.3800000000000003</v>
      </c>
      <c r="E22" s="24">
        <v>7000</v>
      </c>
      <c r="F22" s="4" t="s">
        <v>5</v>
      </c>
      <c r="G22" t="s">
        <v>117</v>
      </c>
      <c r="H22" t="s">
        <v>462</v>
      </c>
    </row>
    <row r="23" spans="1:8">
      <c r="A23" s="43" t="s">
        <v>463</v>
      </c>
      <c r="B23" s="21" t="s">
        <v>308</v>
      </c>
      <c r="C23" s="47">
        <v>5.95</v>
      </c>
      <c r="D23" s="47">
        <f t="shared" si="1"/>
        <v>2.3800000000000003</v>
      </c>
      <c r="E23" s="24">
        <v>7000</v>
      </c>
      <c r="F23" s="4" t="s">
        <v>5</v>
      </c>
      <c r="G23" t="s">
        <v>118</v>
      </c>
      <c r="H23" t="s">
        <v>463</v>
      </c>
    </row>
    <row r="24" spans="1:8">
      <c r="A24" s="43" t="s">
        <v>464</v>
      </c>
      <c r="B24" s="21" t="s">
        <v>309</v>
      </c>
      <c r="C24" s="47">
        <v>5.95</v>
      </c>
      <c r="D24" s="47">
        <f t="shared" si="1"/>
        <v>2.3800000000000003</v>
      </c>
      <c r="E24" s="24">
        <v>7000</v>
      </c>
      <c r="F24" s="4" t="s">
        <v>5</v>
      </c>
      <c r="G24" t="s">
        <v>119</v>
      </c>
      <c r="H24" t="s">
        <v>464</v>
      </c>
    </row>
    <row r="25" spans="1:8">
      <c r="A25" s="43" t="s">
        <v>465</v>
      </c>
      <c r="B25" s="21" t="s">
        <v>310</v>
      </c>
      <c r="C25" s="47">
        <v>5.95</v>
      </c>
      <c r="D25" s="47">
        <f t="shared" si="1"/>
        <v>2.3800000000000003</v>
      </c>
      <c r="E25" s="24">
        <v>7000</v>
      </c>
      <c r="F25" s="4" t="s">
        <v>5</v>
      </c>
      <c r="G25" t="s">
        <v>120</v>
      </c>
      <c r="H25" t="s">
        <v>465</v>
      </c>
    </row>
    <row r="26" spans="1:8">
      <c r="A26" s="43" t="s">
        <v>466</v>
      </c>
      <c r="B26" s="21" t="s">
        <v>311</v>
      </c>
      <c r="C26" s="47">
        <v>5.95</v>
      </c>
      <c r="D26" s="47">
        <f t="shared" si="1"/>
        <v>2.3800000000000003</v>
      </c>
      <c r="E26" s="24">
        <v>7000</v>
      </c>
      <c r="F26" s="4" t="s">
        <v>5</v>
      </c>
      <c r="G26" t="s">
        <v>121</v>
      </c>
      <c r="H26" t="s">
        <v>466</v>
      </c>
    </row>
    <row r="27" spans="1:8">
      <c r="A27" s="43" t="s">
        <v>467</v>
      </c>
      <c r="B27" s="21" t="s">
        <v>312</v>
      </c>
      <c r="C27" s="47">
        <v>5.95</v>
      </c>
      <c r="D27" s="47">
        <f t="shared" si="1"/>
        <v>2.3800000000000003</v>
      </c>
      <c r="E27" s="24">
        <v>7000</v>
      </c>
      <c r="F27" s="4" t="s">
        <v>5</v>
      </c>
      <c r="G27" t="s">
        <v>122</v>
      </c>
      <c r="H27" t="s">
        <v>467</v>
      </c>
    </row>
    <row r="28" spans="1:8">
      <c r="A28" s="43" t="s">
        <v>468</v>
      </c>
      <c r="B28" s="21" t="s">
        <v>313</v>
      </c>
      <c r="C28" s="47">
        <v>5.95</v>
      </c>
      <c r="D28" s="47">
        <f t="shared" si="1"/>
        <v>2.3800000000000003</v>
      </c>
      <c r="E28" s="24">
        <v>7000</v>
      </c>
      <c r="F28" s="4" t="s">
        <v>5</v>
      </c>
      <c r="G28" t="s">
        <v>123</v>
      </c>
      <c r="H28" t="s">
        <v>468</v>
      </c>
    </row>
    <row r="29" spans="1:8">
      <c r="A29" s="43" t="s">
        <v>469</v>
      </c>
      <c r="B29" s="21" t="s">
        <v>314</v>
      </c>
      <c r="C29" s="47">
        <v>5.95</v>
      </c>
      <c r="D29" s="47">
        <f t="shared" si="1"/>
        <v>2.3800000000000003</v>
      </c>
      <c r="E29" s="24">
        <v>7000</v>
      </c>
      <c r="F29" s="4" t="s">
        <v>5</v>
      </c>
      <c r="G29" t="s">
        <v>124</v>
      </c>
      <c r="H29" t="s">
        <v>469</v>
      </c>
    </row>
    <row r="30" spans="1:8">
      <c r="A30" s="43" t="s">
        <v>470</v>
      </c>
      <c r="B30" s="21" t="s">
        <v>315</v>
      </c>
      <c r="C30" s="47">
        <v>5.95</v>
      </c>
      <c r="D30" s="47">
        <f t="shared" si="1"/>
        <v>2.3800000000000003</v>
      </c>
      <c r="E30" s="24">
        <v>7000</v>
      </c>
      <c r="F30" s="4" t="s">
        <v>5</v>
      </c>
      <c r="G30" t="s">
        <v>125</v>
      </c>
      <c r="H30" t="s">
        <v>470</v>
      </c>
    </row>
    <row r="31" spans="1:8">
      <c r="A31" s="43" t="s">
        <v>471</v>
      </c>
      <c r="B31" s="21" t="s">
        <v>316</v>
      </c>
      <c r="C31" s="47">
        <v>5.95</v>
      </c>
      <c r="D31" s="47">
        <f t="shared" si="1"/>
        <v>2.3800000000000003</v>
      </c>
      <c r="E31" s="24">
        <v>7000</v>
      </c>
      <c r="F31" s="4" t="s">
        <v>5</v>
      </c>
      <c r="G31" t="s">
        <v>126</v>
      </c>
      <c r="H31" t="s">
        <v>471</v>
      </c>
    </row>
    <row r="32" spans="1:8">
      <c r="A32" s="43" t="s">
        <v>472</v>
      </c>
      <c r="B32" s="21" t="s">
        <v>317</v>
      </c>
      <c r="C32" s="47">
        <v>5.95</v>
      </c>
      <c r="D32" s="47">
        <f t="shared" si="1"/>
        <v>2.3800000000000003</v>
      </c>
      <c r="E32" s="24">
        <v>7000</v>
      </c>
      <c r="F32" s="4" t="s">
        <v>5</v>
      </c>
      <c r="G32" t="s">
        <v>127</v>
      </c>
      <c r="H32" t="s">
        <v>472</v>
      </c>
    </row>
    <row r="33" spans="1:8">
      <c r="A33" s="43" t="s">
        <v>473</v>
      </c>
      <c r="B33" s="21" t="s">
        <v>318</v>
      </c>
      <c r="C33" s="47">
        <v>5.95</v>
      </c>
      <c r="D33" s="47">
        <f t="shared" si="1"/>
        <v>2.3800000000000003</v>
      </c>
      <c r="E33" s="24">
        <v>7000</v>
      </c>
      <c r="F33" s="4" t="s">
        <v>5</v>
      </c>
      <c r="G33" t="s">
        <v>128</v>
      </c>
      <c r="H33" t="s">
        <v>473</v>
      </c>
    </row>
    <row r="34" spans="1:8">
      <c r="A34" s="43" t="s">
        <v>474</v>
      </c>
      <c r="B34" s="21" t="s">
        <v>319</v>
      </c>
      <c r="C34" s="47">
        <v>5.95</v>
      </c>
      <c r="D34" s="47">
        <f t="shared" si="1"/>
        <v>2.3800000000000003</v>
      </c>
      <c r="E34" s="24">
        <v>7000</v>
      </c>
      <c r="F34" s="4" t="s">
        <v>5</v>
      </c>
      <c r="G34" t="s">
        <v>129</v>
      </c>
      <c r="H34" t="s">
        <v>474</v>
      </c>
    </row>
    <row r="35" spans="1:8">
      <c r="A35" s="43" t="s">
        <v>475</v>
      </c>
      <c r="B35" s="21" t="s">
        <v>320</v>
      </c>
      <c r="C35" s="47">
        <v>5.95</v>
      </c>
      <c r="D35" s="47">
        <f t="shared" si="1"/>
        <v>2.3800000000000003</v>
      </c>
      <c r="E35" s="24">
        <v>7000</v>
      </c>
      <c r="F35" s="4" t="s">
        <v>5</v>
      </c>
      <c r="G35" t="s">
        <v>130</v>
      </c>
      <c r="H35" t="s">
        <v>475</v>
      </c>
    </row>
    <row r="36" spans="1:8">
      <c r="A36" s="43" t="s">
        <v>476</v>
      </c>
      <c r="B36" s="21" t="s">
        <v>321</v>
      </c>
      <c r="C36" s="47">
        <v>5.95</v>
      </c>
      <c r="D36" s="47">
        <f t="shared" si="1"/>
        <v>2.3800000000000003</v>
      </c>
      <c r="E36" s="24">
        <v>7000</v>
      </c>
      <c r="F36" s="4" t="s">
        <v>5</v>
      </c>
      <c r="G36" t="s">
        <v>131</v>
      </c>
      <c r="H36" t="s">
        <v>476</v>
      </c>
    </row>
    <row r="37" spans="1:8">
      <c r="A37" s="43" t="s">
        <v>477</v>
      </c>
      <c r="B37" s="21" t="s">
        <v>322</v>
      </c>
      <c r="C37" s="47">
        <v>5.95</v>
      </c>
      <c r="D37" s="47">
        <f t="shared" si="1"/>
        <v>2.3800000000000003</v>
      </c>
      <c r="E37" s="24">
        <v>7000</v>
      </c>
      <c r="F37" s="4" t="s">
        <v>5</v>
      </c>
      <c r="G37" t="s">
        <v>132</v>
      </c>
      <c r="H37" t="s">
        <v>477</v>
      </c>
    </row>
    <row r="38" spans="1:8">
      <c r="A38" s="43" t="s">
        <v>478</v>
      </c>
      <c r="B38" s="21" t="s">
        <v>323</v>
      </c>
      <c r="C38" s="47">
        <v>5.95</v>
      </c>
      <c r="D38" s="47">
        <f t="shared" si="1"/>
        <v>2.3800000000000003</v>
      </c>
      <c r="E38" s="24">
        <v>7000</v>
      </c>
      <c r="F38" s="4" t="s">
        <v>5</v>
      </c>
      <c r="G38" t="s">
        <v>133</v>
      </c>
      <c r="H38" t="s">
        <v>478</v>
      </c>
    </row>
    <row r="39" spans="1:8">
      <c r="A39" s="43" t="s">
        <v>479</v>
      </c>
      <c r="B39" s="21" t="s">
        <v>324</v>
      </c>
      <c r="C39" s="47">
        <v>5.95</v>
      </c>
      <c r="D39" s="47">
        <f t="shared" si="1"/>
        <v>2.3800000000000003</v>
      </c>
      <c r="E39" s="24">
        <v>7000</v>
      </c>
      <c r="F39" s="4" t="s">
        <v>5</v>
      </c>
      <c r="G39" t="s">
        <v>134</v>
      </c>
      <c r="H39" t="s">
        <v>479</v>
      </c>
    </row>
    <row r="40" spans="1:8">
      <c r="A40" s="43" t="s">
        <v>480</v>
      </c>
      <c r="B40" s="21" t="s">
        <v>325</v>
      </c>
      <c r="C40" s="47">
        <v>5.95</v>
      </c>
      <c r="D40" s="47">
        <f t="shared" si="1"/>
        <v>2.3800000000000003</v>
      </c>
      <c r="E40" s="24">
        <v>7000</v>
      </c>
      <c r="F40" s="4" t="s">
        <v>5</v>
      </c>
      <c r="G40" t="s">
        <v>135</v>
      </c>
      <c r="H40" t="s">
        <v>480</v>
      </c>
    </row>
    <row r="41" spans="1:8">
      <c r="A41" s="43" t="s">
        <v>482</v>
      </c>
      <c r="B41" s="21" t="s">
        <v>326</v>
      </c>
      <c r="C41" s="47">
        <v>6.95</v>
      </c>
      <c r="D41" s="47">
        <f t="shared" si="1"/>
        <v>2.7800000000000002</v>
      </c>
      <c r="E41" s="24">
        <v>8000</v>
      </c>
      <c r="F41" s="4" t="s">
        <v>7</v>
      </c>
      <c r="G41" t="s">
        <v>136</v>
      </c>
      <c r="H41" t="s">
        <v>482</v>
      </c>
    </row>
    <row r="42" spans="1:8">
      <c r="A42" s="43" t="s">
        <v>483</v>
      </c>
      <c r="B42" s="21" t="s">
        <v>327</v>
      </c>
      <c r="C42" s="47">
        <v>6.95</v>
      </c>
      <c r="D42" s="47">
        <f t="shared" si="1"/>
        <v>2.7800000000000002</v>
      </c>
      <c r="E42" s="24">
        <v>8000</v>
      </c>
      <c r="F42" s="4" t="s">
        <v>7</v>
      </c>
      <c r="G42" t="s">
        <v>137</v>
      </c>
      <c r="H42" t="s">
        <v>483</v>
      </c>
    </row>
    <row r="43" spans="1:8">
      <c r="A43" s="43" t="s">
        <v>484</v>
      </c>
      <c r="B43" s="21" t="s">
        <v>328</v>
      </c>
      <c r="C43" s="47">
        <v>6.95</v>
      </c>
      <c r="D43" s="47">
        <f t="shared" si="1"/>
        <v>2.7800000000000002</v>
      </c>
      <c r="E43" s="24">
        <v>8000</v>
      </c>
      <c r="F43" s="4" t="s">
        <v>7</v>
      </c>
      <c r="G43" t="s">
        <v>138</v>
      </c>
      <c r="H43" t="s">
        <v>484</v>
      </c>
    </row>
    <row r="44" spans="1:8">
      <c r="A44" s="43" t="s">
        <v>485</v>
      </c>
      <c r="B44" s="21" t="s">
        <v>329</v>
      </c>
      <c r="C44" s="47">
        <v>6.95</v>
      </c>
      <c r="D44" s="47">
        <f t="shared" ref="D44:D64" si="2">C44*0.4</f>
        <v>2.7800000000000002</v>
      </c>
      <c r="E44" s="24">
        <v>8000</v>
      </c>
      <c r="F44" s="4" t="s">
        <v>7</v>
      </c>
      <c r="G44" t="s">
        <v>139</v>
      </c>
      <c r="H44" t="s">
        <v>485</v>
      </c>
    </row>
    <row r="45" spans="1:8">
      <c r="A45" s="43" t="s">
        <v>486</v>
      </c>
      <c r="B45" s="21" t="s">
        <v>330</v>
      </c>
      <c r="C45" s="47">
        <v>5.95</v>
      </c>
      <c r="D45" s="47">
        <f t="shared" si="2"/>
        <v>2.3800000000000003</v>
      </c>
      <c r="E45" s="24">
        <v>8000</v>
      </c>
      <c r="F45" s="4" t="s">
        <v>7</v>
      </c>
      <c r="G45" t="s">
        <v>140</v>
      </c>
      <c r="H45" t="s">
        <v>486</v>
      </c>
    </row>
    <row r="46" spans="1:8">
      <c r="A46" s="43" t="s">
        <v>487</v>
      </c>
      <c r="B46" s="21" t="s">
        <v>331</v>
      </c>
      <c r="C46" s="47">
        <v>6.95</v>
      </c>
      <c r="D46" s="47">
        <f t="shared" si="2"/>
        <v>2.7800000000000002</v>
      </c>
      <c r="E46" s="24">
        <v>8000</v>
      </c>
      <c r="F46" s="4" t="s">
        <v>7</v>
      </c>
      <c r="G46" t="s">
        <v>141</v>
      </c>
      <c r="H46" t="s">
        <v>487</v>
      </c>
    </row>
    <row r="47" spans="1:8">
      <c r="A47" s="43" t="s">
        <v>488</v>
      </c>
      <c r="B47" s="21" t="s">
        <v>332</v>
      </c>
      <c r="C47" s="47">
        <v>6.95</v>
      </c>
      <c r="D47" s="47">
        <f t="shared" si="2"/>
        <v>2.7800000000000002</v>
      </c>
      <c r="E47" s="24">
        <v>8000</v>
      </c>
      <c r="F47" s="4" t="s">
        <v>7</v>
      </c>
      <c r="G47" t="s">
        <v>142</v>
      </c>
      <c r="H47" t="s">
        <v>488</v>
      </c>
    </row>
    <row r="48" spans="1:8">
      <c r="A48" s="43" t="s">
        <v>489</v>
      </c>
      <c r="B48" s="21" t="s">
        <v>333</v>
      </c>
      <c r="C48" s="47">
        <v>6.95</v>
      </c>
      <c r="D48" s="47">
        <f t="shared" si="2"/>
        <v>2.7800000000000002</v>
      </c>
      <c r="E48" s="24">
        <v>8000</v>
      </c>
      <c r="F48" s="4" t="s">
        <v>7</v>
      </c>
      <c r="G48" t="s">
        <v>143</v>
      </c>
      <c r="H48" t="s">
        <v>489</v>
      </c>
    </row>
    <row r="49" spans="1:8">
      <c r="A49" s="43" t="s">
        <v>490</v>
      </c>
      <c r="B49" s="21" t="s">
        <v>334</v>
      </c>
      <c r="C49" s="47">
        <v>6.95</v>
      </c>
      <c r="D49" s="47">
        <f t="shared" si="2"/>
        <v>2.7800000000000002</v>
      </c>
      <c r="E49" s="24">
        <v>8000</v>
      </c>
      <c r="F49" s="4" t="s">
        <v>7</v>
      </c>
      <c r="G49" t="s">
        <v>144</v>
      </c>
      <c r="H49" t="s">
        <v>490</v>
      </c>
    </row>
    <row r="50" spans="1:8">
      <c r="A50" s="43" t="s">
        <v>491</v>
      </c>
      <c r="B50" s="21" t="s">
        <v>335</v>
      </c>
      <c r="C50" s="47">
        <v>6.95</v>
      </c>
      <c r="D50" s="47">
        <f t="shared" si="2"/>
        <v>2.7800000000000002</v>
      </c>
      <c r="E50" s="24">
        <v>8000</v>
      </c>
      <c r="F50" s="4" t="s">
        <v>7</v>
      </c>
      <c r="G50" t="s">
        <v>145</v>
      </c>
      <c r="H50" t="s">
        <v>491</v>
      </c>
    </row>
    <row r="51" spans="1:8">
      <c r="A51" s="43" t="s">
        <v>492</v>
      </c>
      <c r="B51" s="21" t="s">
        <v>336</v>
      </c>
      <c r="C51" s="47">
        <v>6.95</v>
      </c>
      <c r="D51" s="47">
        <f t="shared" si="2"/>
        <v>2.7800000000000002</v>
      </c>
      <c r="E51" s="24">
        <v>8000</v>
      </c>
      <c r="F51" s="4" t="s">
        <v>7</v>
      </c>
      <c r="G51" t="s">
        <v>146</v>
      </c>
      <c r="H51" t="s">
        <v>492</v>
      </c>
    </row>
    <row r="52" spans="1:8">
      <c r="A52" s="43" t="s">
        <v>493</v>
      </c>
      <c r="B52" s="21" t="s">
        <v>337</v>
      </c>
      <c r="C52" s="47">
        <v>6.95</v>
      </c>
      <c r="D52" s="47">
        <f t="shared" si="2"/>
        <v>2.7800000000000002</v>
      </c>
      <c r="E52" s="24">
        <v>8000</v>
      </c>
      <c r="F52" s="4" t="s">
        <v>7</v>
      </c>
      <c r="G52" t="s">
        <v>147</v>
      </c>
      <c r="H52" t="s">
        <v>493</v>
      </c>
    </row>
    <row r="53" spans="1:8">
      <c r="A53" s="43" t="s">
        <v>494</v>
      </c>
      <c r="B53" s="21" t="s">
        <v>338</v>
      </c>
      <c r="C53" s="47">
        <v>6.95</v>
      </c>
      <c r="D53" s="47">
        <f t="shared" si="2"/>
        <v>2.7800000000000002</v>
      </c>
      <c r="E53" s="24">
        <v>8000</v>
      </c>
      <c r="F53" s="4" t="s">
        <v>7</v>
      </c>
      <c r="G53" t="s">
        <v>148</v>
      </c>
      <c r="H53" t="s">
        <v>494</v>
      </c>
    </row>
    <row r="54" spans="1:8">
      <c r="A54" s="43" t="s">
        <v>495</v>
      </c>
      <c r="B54" s="21" t="s">
        <v>339</v>
      </c>
      <c r="C54" s="47">
        <v>5.95</v>
      </c>
      <c r="D54" s="47">
        <f t="shared" si="2"/>
        <v>2.3800000000000003</v>
      </c>
      <c r="E54" s="24">
        <v>8000</v>
      </c>
      <c r="F54" s="4" t="s">
        <v>7</v>
      </c>
      <c r="G54" t="s">
        <v>149</v>
      </c>
      <c r="H54" t="s">
        <v>495</v>
      </c>
    </row>
    <row r="55" spans="1:8">
      <c r="A55" s="43" t="s">
        <v>496</v>
      </c>
      <c r="B55" s="21" t="s">
        <v>340</v>
      </c>
      <c r="C55" s="47">
        <v>6.95</v>
      </c>
      <c r="D55" s="47">
        <f t="shared" si="2"/>
        <v>2.7800000000000002</v>
      </c>
      <c r="E55" s="24">
        <v>8000</v>
      </c>
      <c r="F55" s="4" t="s">
        <v>7</v>
      </c>
      <c r="G55" t="s">
        <v>150</v>
      </c>
      <c r="H55" t="s">
        <v>496</v>
      </c>
    </row>
    <row r="56" spans="1:8">
      <c r="A56" s="43" t="s">
        <v>422</v>
      </c>
      <c r="B56" s="21" t="s">
        <v>341</v>
      </c>
      <c r="C56" s="47">
        <v>6.95</v>
      </c>
      <c r="D56" s="47">
        <f t="shared" si="2"/>
        <v>2.7800000000000002</v>
      </c>
      <c r="E56" s="24">
        <v>8000</v>
      </c>
      <c r="F56" s="4" t="s">
        <v>8</v>
      </c>
      <c r="G56" t="s">
        <v>151</v>
      </c>
      <c r="H56" t="s">
        <v>422</v>
      </c>
    </row>
    <row r="57" spans="1:8">
      <c r="A57" s="43" t="s">
        <v>497</v>
      </c>
      <c r="B57" s="21" t="s">
        <v>342</v>
      </c>
      <c r="C57" s="47">
        <v>6.95</v>
      </c>
      <c r="D57" s="47">
        <f t="shared" si="2"/>
        <v>2.7800000000000002</v>
      </c>
      <c r="E57" s="24">
        <v>8000</v>
      </c>
      <c r="F57" s="4" t="s">
        <v>8</v>
      </c>
      <c r="G57" t="s">
        <v>152</v>
      </c>
      <c r="H57" t="s">
        <v>497</v>
      </c>
    </row>
    <row r="58" spans="1:8">
      <c r="A58" s="43" t="s">
        <v>498</v>
      </c>
      <c r="B58" s="21" t="s">
        <v>343</v>
      </c>
      <c r="C58" s="47">
        <v>6.95</v>
      </c>
      <c r="D58" s="47">
        <f t="shared" si="2"/>
        <v>2.7800000000000002</v>
      </c>
      <c r="E58" s="24">
        <v>8000</v>
      </c>
      <c r="F58" s="4" t="s">
        <v>8</v>
      </c>
      <c r="G58" t="s">
        <v>153</v>
      </c>
      <c r="H58" t="s">
        <v>498</v>
      </c>
    </row>
    <row r="59" spans="1:8">
      <c r="A59" s="43" t="s">
        <v>499</v>
      </c>
      <c r="B59" s="21" t="s">
        <v>344</v>
      </c>
      <c r="C59" s="47">
        <v>6.95</v>
      </c>
      <c r="D59" s="47">
        <f t="shared" si="2"/>
        <v>2.7800000000000002</v>
      </c>
      <c r="E59" s="24">
        <v>8000</v>
      </c>
      <c r="F59" s="4" t="s">
        <v>8</v>
      </c>
      <c r="G59" t="s">
        <v>154</v>
      </c>
      <c r="H59" t="s">
        <v>499</v>
      </c>
    </row>
    <row r="60" spans="1:8">
      <c r="A60" s="43" t="s">
        <v>500</v>
      </c>
      <c r="B60" s="21" t="s">
        <v>345</v>
      </c>
      <c r="C60" s="47">
        <v>6.95</v>
      </c>
      <c r="D60" s="47">
        <f t="shared" si="2"/>
        <v>2.7800000000000002</v>
      </c>
      <c r="E60" s="24">
        <v>8000</v>
      </c>
      <c r="F60" s="4" t="s">
        <v>8</v>
      </c>
      <c r="G60" t="s">
        <v>155</v>
      </c>
      <c r="H60" t="s">
        <v>500</v>
      </c>
    </row>
    <row r="61" spans="1:8">
      <c r="A61" s="43" t="s">
        <v>501</v>
      </c>
      <c r="B61" s="21" t="s">
        <v>346</v>
      </c>
      <c r="C61" s="47">
        <v>6.95</v>
      </c>
      <c r="D61" s="47">
        <f t="shared" si="2"/>
        <v>2.7800000000000002</v>
      </c>
      <c r="E61" s="24">
        <v>8000</v>
      </c>
      <c r="F61" s="4" t="s">
        <v>8</v>
      </c>
      <c r="G61" t="s">
        <v>156</v>
      </c>
      <c r="H61" t="s">
        <v>501</v>
      </c>
    </row>
    <row r="62" spans="1:8">
      <c r="A62" s="43" t="s">
        <v>502</v>
      </c>
      <c r="B62" s="21" t="s">
        <v>347</v>
      </c>
      <c r="C62" s="47">
        <v>6.95</v>
      </c>
      <c r="D62" s="47">
        <f t="shared" si="2"/>
        <v>2.7800000000000002</v>
      </c>
      <c r="E62" s="24">
        <v>8000</v>
      </c>
      <c r="F62" s="4" t="s">
        <v>8</v>
      </c>
      <c r="G62" t="s">
        <v>157</v>
      </c>
      <c r="H62" t="s">
        <v>502</v>
      </c>
    </row>
    <row r="63" spans="1:8">
      <c r="A63" s="43" t="s">
        <v>503</v>
      </c>
      <c r="B63" s="21" t="s">
        <v>348</v>
      </c>
      <c r="C63" s="47">
        <v>6.95</v>
      </c>
      <c r="D63" s="47">
        <f t="shared" si="2"/>
        <v>2.7800000000000002</v>
      </c>
      <c r="E63" s="24">
        <v>8000</v>
      </c>
      <c r="F63" s="4" t="s">
        <v>8</v>
      </c>
      <c r="G63" t="s">
        <v>158</v>
      </c>
      <c r="H63" t="s">
        <v>503</v>
      </c>
    </row>
    <row r="64" spans="1:8">
      <c r="A64" s="43" t="s">
        <v>424</v>
      </c>
      <c r="B64" s="21" t="s">
        <v>349</v>
      </c>
      <c r="C64" s="47">
        <v>4.95</v>
      </c>
      <c r="D64" s="47">
        <f t="shared" si="2"/>
        <v>1.9800000000000002</v>
      </c>
      <c r="E64" s="24">
        <v>6000</v>
      </c>
      <c r="F64" s="4" t="s">
        <v>9</v>
      </c>
      <c r="G64" t="s">
        <v>159</v>
      </c>
      <c r="H64" t="s">
        <v>424</v>
      </c>
    </row>
    <row r="65" spans="1:8">
      <c r="A65" s="43" t="s">
        <v>504</v>
      </c>
      <c r="B65" s="21" t="s">
        <v>350</v>
      </c>
      <c r="C65" s="47">
        <v>4.95</v>
      </c>
      <c r="D65" s="47">
        <f t="shared" ref="D65:D94" si="3">C65*0.4</f>
        <v>1.9800000000000002</v>
      </c>
      <c r="E65" s="24">
        <v>6000</v>
      </c>
      <c r="F65" s="4" t="s">
        <v>9</v>
      </c>
      <c r="G65" t="s">
        <v>160</v>
      </c>
      <c r="H65" t="s">
        <v>504</v>
      </c>
    </row>
    <row r="66" spans="1:8">
      <c r="A66" s="43" t="s">
        <v>505</v>
      </c>
      <c r="B66" s="21" t="s">
        <v>351</v>
      </c>
      <c r="C66" s="47">
        <v>4.95</v>
      </c>
      <c r="D66" s="47">
        <f t="shared" si="3"/>
        <v>1.9800000000000002</v>
      </c>
      <c r="E66" s="24">
        <v>6000</v>
      </c>
      <c r="F66" s="4" t="s">
        <v>9</v>
      </c>
      <c r="G66" t="s">
        <v>161</v>
      </c>
      <c r="H66" t="s">
        <v>505</v>
      </c>
    </row>
    <row r="67" spans="1:8">
      <c r="A67" s="43" t="s">
        <v>506</v>
      </c>
      <c r="B67" s="21" t="s">
        <v>352</v>
      </c>
      <c r="C67" s="47">
        <v>4.95</v>
      </c>
      <c r="D67" s="47">
        <f t="shared" si="3"/>
        <v>1.9800000000000002</v>
      </c>
      <c r="E67" s="24">
        <v>6000</v>
      </c>
      <c r="F67" s="4" t="s">
        <v>9</v>
      </c>
      <c r="G67" t="s">
        <v>162</v>
      </c>
      <c r="H67" t="s">
        <v>506</v>
      </c>
    </row>
    <row r="68" spans="1:8">
      <c r="A68" s="43" t="s">
        <v>507</v>
      </c>
      <c r="B68" s="21" t="s">
        <v>353</v>
      </c>
      <c r="C68" s="47">
        <v>4.95</v>
      </c>
      <c r="D68" s="47">
        <f t="shared" si="3"/>
        <v>1.9800000000000002</v>
      </c>
      <c r="E68" s="24">
        <v>6000</v>
      </c>
      <c r="F68" s="4" t="s">
        <v>9</v>
      </c>
      <c r="G68" t="s">
        <v>163</v>
      </c>
      <c r="H68" t="s">
        <v>507</v>
      </c>
    </row>
    <row r="69" spans="1:8">
      <c r="A69" s="43" t="s">
        <v>508</v>
      </c>
      <c r="B69" s="21" t="s">
        <v>354</v>
      </c>
      <c r="C69" s="47">
        <v>4.95</v>
      </c>
      <c r="D69" s="47">
        <f t="shared" si="3"/>
        <v>1.9800000000000002</v>
      </c>
      <c r="E69" s="24">
        <v>6000</v>
      </c>
      <c r="F69" s="4" t="s">
        <v>9</v>
      </c>
      <c r="G69" t="s">
        <v>164</v>
      </c>
      <c r="H69" t="s">
        <v>508</v>
      </c>
    </row>
    <row r="70" spans="1:8">
      <c r="A70" s="43" t="s">
        <v>509</v>
      </c>
      <c r="B70" s="21" t="s">
        <v>355</v>
      </c>
      <c r="C70" s="47">
        <v>4.95</v>
      </c>
      <c r="D70" s="47">
        <f t="shared" si="3"/>
        <v>1.9800000000000002</v>
      </c>
      <c r="E70" s="24">
        <v>6000</v>
      </c>
      <c r="F70" s="4" t="s">
        <v>9</v>
      </c>
      <c r="G70" t="s">
        <v>165</v>
      </c>
      <c r="H70" t="s">
        <v>509</v>
      </c>
    </row>
    <row r="71" spans="1:8">
      <c r="A71" s="43" t="s">
        <v>510</v>
      </c>
      <c r="B71" s="21" t="s">
        <v>356</v>
      </c>
      <c r="C71" s="47">
        <v>4.95</v>
      </c>
      <c r="D71" s="47">
        <f t="shared" si="3"/>
        <v>1.9800000000000002</v>
      </c>
      <c r="E71" s="24">
        <v>6000</v>
      </c>
      <c r="F71" s="4" t="s">
        <v>9</v>
      </c>
      <c r="G71" t="s">
        <v>166</v>
      </c>
      <c r="H71" t="s">
        <v>510</v>
      </c>
    </row>
    <row r="72" spans="1:8">
      <c r="A72" s="43" t="s">
        <v>511</v>
      </c>
      <c r="B72" s="21" t="s">
        <v>357</v>
      </c>
      <c r="C72" s="47">
        <v>4.95</v>
      </c>
      <c r="D72" s="47">
        <f t="shared" si="3"/>
        <v>1.9800000000000002</v>
      </c>
      <c r="E72" s="24">
        <v>6000</v>
      </c>
      <c r="F72" s="4" t="s">
        <v>9</v>
      </c>
      <c r="G72" t="s">
        <v>167</v>
      </c>
      <c r="H72" t="s">
        <v>511</v>
      </c>
    </row>
    <row r="73" spans="1:8">
      <c r="A73" s="43" t="s">
        <v>512</v>
      </c>
      <c r="B73" s="21" t="s">
        <v>358</v>
      </c>
      <c r="C73" s="47">
        <v>4.95</v>
      </c>
      <c r="D73" s="47">
        <f t="shared" si="3"/>
        <v>1.9800000000000002</v>
      </c>
      <c r="E73" s="24">
        <v>6000</v>
      </c>
      <c r="F73" s="4" t="s">
        <v>9</v>
      </c>
      <c r="G73" t="s">
        <v>168</v>
      </c>
      <c r="H73" t="s">
        <v>512</v>
      </c>
    </row>
    <row r="74" spans="1:8">
      <c r="A74" s="43" t="s">
        <v>513</v>
      </c>
      <c r="B74" s="21" t="s">
        <v>359</v>
      </c>
      <c r="C74" s="47">
        <v>4.95</v>
      </c>
      <c r="D74" s="47">
        <f t="shared" si="3"/>
        <v>1.9800000000000002</v>
      </c>
      <c r="E74" s="24">
        <v>6000</v>
      </c>
      <c r="F74" s="4" t="s">
        <v>9</v>
      </c>
      <c r="G74" t="s">
        <v>169</v>
      </c>
      <c r="H74" t="s">
        <v>513</v>
      </c>
    </row>
    <row r="75" spans="1:8">
      <c r="A75" s="43" t="s">
        <v>514</v>
      </c>
      <c r="B75" s="21" t="s">
        <v>360</v>
      </c>
      <c r="C75" s="47">
        <v>4.95</v>
      </c>
      <c r="D75" s="47">
        <f t="shared" si="3"/>
        <v>1.9800000000000002</v>
      </c>
      <c r="E75" s="24">
        <v>6000</v>
      </c>
      <c r="F75" s="4" t="s">
        <v>9</v>
      </c>
      <c r="G75" t="s">
        <v>170</v>
      </c>
      <c r="H75" t="s">
        <v>514</v>
      </c>
    </row>
    <row r="76" spans="1:8">
      <c r="A76" s="43" t="s">
        <v>515</v>
      </c>
      <c r="B76" s="21" t="s">
        <v>361</v>
      </c>
      <c r="C76" s="47">
        <v>4.95</v>
      </c>
      <c r="D76" s="47">
        <f t="shared" si="3"/>
        <v>1.9800000000000002</v>
      </c>
      <c r="E76" s="24">
        <v>6000</v>
      </c>
      <c r="F76" s="4" t="s">
        <v>9</v>
      </c>
      <c r="G76" t="s">
        <v>171</v>
      </c>
      <c r="H76" t="s">
        <v>515</v>
      </c>
    </row>
    <row r="77" spans="1:8">
      <c r="A77" s="43" t="s">
        <v>516</v>
      </c>
      <c r="B77" s="21" t="s">
        <v>362</v>
      </c>
      <c r="C77" s="47">
        <v>4.95</v>
      </c>
      <c r="D77" s="47">
        <f t="shared" si="3"/>
        <v>1.9800000000000002</v>
      </c>
      <c r="E77" s="24">
        <v>6000</v>
      </c>
      <c r="F77" s="4" t="s">
        <v>9</v>
      </c>
      <c r="G77" t="s">
        <v>172</v>
      </c>
      <c r="H77" t="s">
        <v>516</v>
      </c>
    </row>
    <row r="78" spans="1:8">
      <c r="A78" s="43" t="s">
        <v>517</v>
      </c>
      <c r="B78" s="21" t="s">
        <v>363</v>
      </c>
      <c r="C78" s="47">
        <v>4.95</v>
      </c>
      <c r="D78" s="47">
        <f t="shared" si="3"/>
        <v>1.9800000000000002</v>
      </c>
      <c r="E78" s="24">
        <v>6000</v>
      </c>
      <c r="F78" s="4" t="s">
        <v>9</v>
      </c>
      <c r="G78" t="s">
        <v>173</v>
      </c>
      <c r="H78" t="s">
        <v>517</v>
      </c>
    </row>
    <row r="79" spans="1:8">
      <c r="A79" s="43" t="s">
        <v>518</v>
      </c>
      <c r="B79" s="21" t="s">
        <v>364</v>
      </c>
      <c r="C79" s="47">
        <v>4.95</v>
      </c>
      <c r="D79" s="47">
        <f t="shared" si="3"/>
        <v>1.9800000000000002</v>
      </c>
      <c r="E79" s="24">
        <v>6000</v>
      </c>
      <c r="F79" s="4" t="s">
        <v>9</v>
      </c>
      <c r="G79" t="s">
        <v>174</v>
      </c>
      <c r="H79" t="s">
        <v>518</v>
      </c>
    </row>
    <row r="80" spans="1:8">
      <c r="A80" s="43" t="s">
        <v>519</v>
      </c>
      <c r="B80" s="21" t="s">
        <v>365</v>
      </c>
      <c r="C80" s="47">
        <v>4.95</v>
      </c>
      <c r="D80" s="47">
        <f t="shared" si="3"/>
        <v>1.9800000000000002</v>
      </c>
      <c r="E80" s="24">
        <v>6000</v>
      </c>
      <c r="F80" s="4" t="s">
        <v>9</v>
      </c>
      <c r="G80" t="s">
        <v>175</v>
      </c>
      <c r="H80" t="s">
        <v>519</v>
      </c>
    </row>
    <row r="81" spans="1:8">
      <c r="A81" s="43" t="s">
        <v>520</v>
      </c>
      <c r="B81" s="21" t="s">
        <v>366</v>
      </c>
      <c r="C81" s="47">
        <v>4.95</v>
      </c>
      <c r="D81" s="47">
        <f t="shared" si="3"/>
        <v>1.9800000000000002</v>
      </c>
      <c r="E81" s="24">
        <v>6000</v>
      </c>
      <c r="F81" s="4" t="s">
        <v>9</v>
      </c>
      <c r="G81" t="s">
        <v>176</v>
      </c>
      <c r="H81" t="s">
        <v>520</v>
      </c>
    </row>
    <row r="82" spans="1:8">
      <c r="A82" s="43" t="s">
        <v>521</v>
      </c>
      <c r="B82" s="21" t="s">
        <v>367</v>
      </c>
      <c r="C82" s="47">
        <v>4.95</v>
      </c>
      <c r="D82" s="47">
        <f t="shared" si="3"/>
        <v>1.9800000000000002</v>
      </c>
      <c r="E82" s="24">
        <v>6000</v>
      </c>
      <c r="F82" s="4" t="s">
        <v>9</v>
      </c>
      <c r="G82" t="s">
        <v>177</v>
      </c>
      <c r="H82" t="s">
        <v>521</v>
      </c>
    </row>
    <row r="83" spans="1:8">
      <c r="A83" s="43" t="s">
        <v>522</v>
      </c>
      <c r="B83" s="21" t="s">
        <v>368</v>
      </c>
      <c r="C83" s="47">
        <v>4.95</v>
      </c>
      <c r="D83" s="47">
        <f t="shared" si="3"/>
        <v>1.9800000000000002</v>
      </c>
      <c r="E83" s="24">
        <v>6000</v>
      </c>
      <c r="F83" s="4" t="s">
        <v>9</v>
      </c>
      <c r="G83" t="s">
        <v>178</v>
      </c>
      <c r="H83" t="s">
        <v>522</v>
      </c>
    </row>
    <row r="84" spans="1:8">
      <c r="A84" s="43" t="s">
        <v>523</v>
      </c>
      <c r="B84" s="21" t="s">
        <v>369</v>
      </c>
      <c r="C84" s="47">
        <v>4.95</v>
      </c>
      <c r="D84" s="47">
        <f t="shared" si="3"/>
        <v>1.9800000000000002</v>
      </c>
      <c r="E84" s="24">
        <v>6000</v>
      </c>
      <c r="F84" s="4" t="s">
        <v>9</v>
      </c>
      <c r="G84" t="s">
        <v>179</v>
      </c>
      <c r="H84" t="s">
        <v>523</v>
      </c>
    </row>
    <row r="85" spans="1:8">
      <c r="A85" s="43" t="s">
        <v>524</v>
      </c>
      <c r="B85" s="21" t="s">
        <v>370</v>
      </c>
      <c r="C85" s="47">
        <v>4.95</v>
      </c>
      <c r="D85" s="47">
        <f t="shared" si="3"/>
        <v>1.9800000000000002</v>
      </c>
      <c r="E85" s="24">
        <v>6000</v>
      </c>
      <c r="F85" s="4" t="s">
        <v>9</v>
      </c>
      <c r="G85" t="s">
        <v>180</v>
      </c>
      <c r="H85" t="s">
        <v>524</v>
      </c>
    </row>
    <row r="86" spans="1:8">
      <c r="A86" s="43" t="s">
        <v>525</v>
      </c>
      <c r="B86" s="21" t="s">
        <v>371</v>
      </c>
      <c r="C86" s="47">
        <v>4.95</v>
      </c>
      <c r="D86" s="47">
        <f t="shared" si="3"/>
        <v>1.9800000000000002</v>
      </c>
      <c r="E86" s="24">
        <v>6000</v>
      </c>
      <c r="F86" s="4" t="s">
        <v>9</v>
      </c>
      <c r="G86" t="s">
        <v>181</v>
      </c>
      <c r="H86" t="s">
        <v>525</v>
      </c>
    </row>
    <row r="87" spans="1:8">
      <c r="A87" s="43" t="s">
        <v>526</v>
      </c>
      <c r="B87" s="21" t="s">
        <v>372</v>
      </c>
      <c r="C87" s="47">
        <v>4.95</v>
      </c>
      <c r="D87" s="47">
        <f t="shared" si="3"/>
        <v>1.9800000000000002</v>
      </c>
      <c r="E87" s="24">
        <v>6000</v>
      </c>
      <c r="F87" s="4" t="s">
        <v>9</v>
      </c>
      <c r="G87" t="s">
        <v>182</v>
      </c>
      <c r="H87" t="s">
        <v>526</v>
      </c>
    </row>
    <row r="88" spans="1:8">
      <c r="A88" s="43" t="s">
        <v>527</v>
      </c>
      <c r="B88" s="21" t="s">
        <v>373</v>
      </c>
      <c r="C88" s="47">
        <v>4.95</v>
      </c>
      <c r="D88" s="47">
        <f t="shared" si="3"/>
        <v>1.9800000000000002</v>
      </c>
      <c r="E88" s="24">
        <v>6000</v>
      </c>
      <c r="F88" s="4" t="s">
        <v>9</v>
      </c>
      <c r="G88" t="s">
        <v>183</v>
      </c>
      <c r="H88" t="s">
        <v>527</v>
      </c>
    </row>
    <row r="89" spans="1:8">
      <c r="A89" s="43" t="s">
        <v>528</v>
      </c>
      <c r="B89" s="21" t="s">
        <v>374</v>
      </c>
      <c r="C89" s="47">
        <v>4.95</v>
      </c>
      <c r="D89" s="47">
        <f t="shared" si="3"/>
        <v>1.9800000000000002</v>
      </c>
      <c r="E89" s="24">
        <v>6000</v>
      </c>
      <c r="F89" s="4" t="s">
        <v>9</v>
      </c>
      <c r="G89" t="s">
        <v>184</v>
      </c>
      <c r="H89" t="s">
        <v>528</v>
      </c>
    </row>
    <row r="90" spans="1:8">
      <c r="A90" s="43" t="s">
        <v>529</v>
      </c>
      <c r="B90" s="21" t="s">
        <v>375</v>
      </c>
      <c r="C90" s="47">
        <v>4.95</v>
      </c>
      <c r="D90" s="47">
        <f t="shared" si="3"/>
        <v>1.9800000000000002</v>
      </c>
      <c r="E90" s="24">
        <v>6000</v>
      </c>
      <c r="F90" s="4" t="s">
        <v>9</v>
      </c>
      <c r="G90" t="s">
        <v>185</v>
      </c>
      <c r="H90" t="s">
        <v>529</v>
      </c>
    </row>
    <row r="91" spans="1:8">
      <c r="A91" s="43" t="s">
        <v>530</v>
      </c>
      <c r="B91" s="21" t="s">
        <v>376</v>
      </c>
      <c r="C91" s="47">
        <v>4.95</v>
      </c>
      <c r="D91" s="47">
        <f t="shared" si="3"/>
        <v>1.9800000000000002</v>
      </c>
      <c r="E91" s="24">
        <v>6000</v>
      </c>
      <c r="F91" s="4" t="s">
        <v>9</v>
      </c>
      <c r="G91" t="s">
        <v>186</v>
      </c>
      <c r="H91" t="s">
        <v>530</v>
      </c>
    </row>
    <row r="92" spans="1:8">
      <c r="A92" s="43" t="s">
        <v>531</v>
      </c>
      <c r="B92" s="21" t="s">
        <v>377</v>
      </c>
      <c r="C92" s="47">
        <v>4.95</v>
      </c>
      <c r="D92" s="47">
        <f t="shared" si="3"/>
        <v>1.9800000000000002</v>
      </c>
      <c r="E92" s="24">
        <v>6000</v>
      </c>
      <c r="F92" s="4" t="s">
        <v>9</v>
      </c>
      <c r="G92" t="s">
        <v>187</v>
      </c>
      <c r="H92" t="s">
        <v>531</v>
      </c>
    </row>
    <row r="93" spans="1:8">
      <c r="A93" s="43" t="s">
        <v>532</v>
      </c>
      <c r="B93" s="21" t="s">
        <v>378</v>
      </c>
      <c r="C93" s="47">
        <v>4.95</v>
      </c>
      <c r="D93" s="47">
        <f t="shared" si="3"/>
        <v>1.9800000000000002</v>
      </c>
      <c r="E93" s="24">
        <v>6000</v>
      </c>
      <c r="F93" s="4" t="s">
        <v>9</v>
      </c>
      <c r="G93" t="s">
        <v>188</v>
      </c>
      <c r="H93" t="s">
        <v>532</v>
      </c>
    </row>
    <row r="94" spans="1:8">
      <c r="A94" s="43" t="s">
        <v>533</v>
      </c>
      <c r="B94" s="21" t="s">
        <v>379</v>
      </c>
      <c r="C94" s="47">
        <v>4.95</v>
      </c>
      <c r="D94" s="47">
        <f t="shared" si="3"/>
        <v>1.9800000000000002</v>
      </c>
      <c r="E94" s="24">
        <v>6000</v>
      </c>
      <c r="F94" s="4" t="s">
        <v>9</v>
      </c>
      <c r="G94" t="s">
        <v>189</v>
      </c>
      <c r="H94" t="s">
        <v>533</v>
      </c>
    </row>
    <row r="95" spans="1:8">
      <c r="A95" s="43" t="s">
        <v>534</v>
      </c>
      <c r="B95" s="21" t="s">
        <v>380</v>
      </c>
      <c r="C95" s="47">
        <v>4.95</v>
      </c>
      <c r="D95" s="47">
        <f t="shared" ref="D95:D124" si="4">C95*0.4</f>
        <v>1.9800000000000002</v>
      </c>
      <c r="E95" s="24">
        <v>6000</v>
      </c>
      <c r="F95" s="4" t="s">
        <v>9</v>
      </c>
      <c r="G95" t="s">
        <v>190</v>
      </c>
      <c r="H95" t="s">
        <v>534</v>
      </c>
    </row>
    <row r="96" spans="1:8">
      <c r="A96" s="43" t="s">
        <v>535</v>
      </c>
      <c r="B96" s="21" t="s">
        <v>381</v>
      </c>
      <c r="C96" s="47">
        <v>4.95</v>
      </c>
      <c r="D96" s="47">
        <f t="shared" si="4"/>
        <v>1.9800000000000002</v>
      </c>
      <c r="E96" s="24">
        <v>6000</v>
      </c>
      <c r="F96" s="4" t="s">
        <v>9</v>
      </c>
      <c r="G96" t="s">
        <v>191</v>
      </c>
      <c r="H96" t="s">
        <v>535</v>
      </c>
    </row>
    <row r="97" spans="1:8">
      <c r="A97" s="43" t="s">
        <v>536</v>
      </c>
      <c r="B97" s="21" t="s">
        <v>382</v>
      </c>
      <c r="C97" s="47">
        <v>4.95</v>
      </c>
      <c r="D97" s="47">
        <f t="shared" si="4"/>
        <v>1.9800000000000002</v>
      </c>
      <c r="E97" s="24">
        <v>6000</v>
      </c>
      <c r="F97" s="4" t="s">
        <v>9</v>
      </c>
      <c r="G97" t="s">
        <v>192</v>
      </c>
      <c r="H97" t="s">
        <v>536</v>
      </c>
    </row>
    <row r="98" spans="1:8">
      <c r="A98" s="43" t="s">
        <v>537</v>
      </c>
      <c r="B98" s="21" t="s">
        <v>383</v>
      </c>
      <c r="C98" s="47">
        <v>4.95</v>
      </c>
      <c r="D98" s="47">
        <f t="shared" si="4"/>
        <v>1.9800000000000002</v>
      </c>
      <c r="E98" s="24">
        <v>6000</v>
      </c>
      <c r="F98" s="4" t="s">
        <v>9</v>
      </c>
      <c r="G98" t="s">
        <v>193</v>
      </c>
      <c r="H98" t="s">
        <v>537</v>
      </c>
    </row>
    <row r="99" spans="1:8">
      <c r="A99" s="43" t="s">
        <v>426</v>
      </c>
      <c r="B99" s="21" t="s">
        <v>31</v>
      </c>
      <c r="C99" s="47">
        <v>6.95</v>
      </c>
      <c r="D99" s="47">
        <f t="shared" si="4"/>
        <v>2.7800000000000002</v>
      </c>
      <c r="E99" s="24">
        <v>8000</v>
      </c>
      <c r="F99" s="4" t="s">
        <v>10</v>
      </c>
      <c r="G99" t="s">
        <v>194</v>
      </c>
      <c r="H99" t="s">
        <v>426</v>
      </c>
    </row>
    <row r="100" spans="1:8">
      <c r="A100" s="43" t="s">
        <v>538</v>
      </c>
      <c r="B100" s="21" t="s">
        <v>384</v>
      </c>
      <c r="C100" s="47">
        <v>6.95</v>
      </c>
      <c r="D100" s="47">
        <f t="shared" si="4"/>
        <v>2.7800000000000002</v>
      </c>
      <c r="E100" s="24">
        <v>8000</v>
      </c>
      <c r="F100" s="4" t="s">
        <v>10</v>
      </c>
      <c r="G100" t="s">
        <v>195</v>
      </c>
      <c r="H100" t="s">
        <v>538</v>
      </c>
    </row>
    <row r="101" spans="1:8">
      <c r="A101" s="43" t="s">
        <v>539</v>
      </c>
      <c r="B101" s="21" t="s">
        <v>32</v>
      </c>
      <c r="C101" s="47">
        <v>6.95</v>
      </c>
      <c r="D101" s="47">
        <f t="shared" si="4"/>
        <v>2.7800000000000002</v>
      </c>
      <c r="E101" s="24">
        <v>8000</v>
      </c>
      <c r="F101" s="4" t="s">
        <v>10</v>
      </c>
      <c r="G101" t="s">
        <v>196</v>
      </c>
      <c r="H101" t="s">
        <v>539</v>
      </c>
    </row>
    <row r="102" spans="1:8">
      <c r="A102" s="43" t="s">
        <v>540</v>
      </c>
      <c r="B102" s="21" t="s">
        <v>33</v>
      </c>
      <c r="C102" s="47">
        <v>6.95</v>
      </c>
      <c r="D102" s="47">
        <f t="shared" si="4"/>
        <v>2.7800000000000002</v>
      </c>
      <c r="E102" s="24">
        <v>8000</v>
      </c>
      <c r="F102" s="4" t="s">
        <v>10</v>
      </c>
      <c r="G102" t="s">
        <v>197</v>
      </c>
      <c r="H102" t="s">
        <v>540</v>
      </c>
    </row>
    <row r="103" spans="1:8">
      <c r="A103" s="43" t="s">
        <v>541</v>
      </c>
      <c r="B103" s="21" t="s">
        <v>34</v>
      </c>
      <c r="C103" s="47">
        <v>6.95</v>
      </c>
      <c r="D103" s="47">
        <f t="shared" si="4"/>
        <v>2.7800000000000002</v>
      </c>
      <c r="E103" s="24">
        <v>8000</v>
      </c>
      <c r="F103" s="4" t="s">
        <v>10</v>
      </c>
      <c r="G103" t="s">
        <v>198</v>
      </c>
      <c r="H103" t="s">
        <v>541</v>
      </c>
    </row>
    <row r="104" spans="1:8">
      <c r="A104" s="43" t="s">
        <v>542</v>
      </c>
      <c r="B104" s="21" t="s">
        <v>35</v>
      </c>
      <c r="C104" s="47">
        <v>6.95</v>
      </c>
      <c r="D104" s="47">
        <f t="shared" si="4"/>
        <v>2.7800000000000002</v>
      </c>
      <c r="E104" s="24">
        <v>8000</v>
      </c>
      <c r="F104" s="4" t="s">
        <v>10</v>
      </c>
      <c r="G104" t="s">
        <v>199</v>
      </c>
      <c r="H104" t="s">
        <v>542</v>
      </c>
    </row>
    <row r="105" spans="1:8">
      <c r="A105" s="43" t="s">
        <v>543</v>
      </c>
      <c r="B105" s="21" t="s">
        <v>36</v>
      </c>
      <c r="C105" s="47">
        <v>6.95</v>
      </c>
      <c r="D105" s="47">
        <f t="shared" si="4"/>
        <v>2.7800000000000002</v>
      </c>
      <c r="E105" s="24">
        <v>8000</v>
      </c>
      <c r="F105" s="4" t="s">
        <v>10</v>
      </c>
      <c r="G105" t="s">
        <v>200</v>
      </c>
      <c r="H105" t="s">
        <v>543</v>
      </c>
    </row>
    <row r="106" spans="1:8">
      <c r="A106" s="43" t="s">
        <v>544</v>
      </c>
      <c r="B106" s="21" t="s">
        <v>37</v>
      </c>
      <c r="C106" s="47">
        <v>6.95</v>
      </c>
      <c r="D106" s="47">
        <f t="shared" si="4"/>
        <v>2.7800000000000002</v>
      </c>
      <c r="E106" s="24">
        <v>8000</v>
      </c>
      <c r="F106" s="4" t="s">
        <v>10</v>
      </c>
      <c r="G106" t="s">
        <v>201</v>
      </c>
      <c r="H106" t="s">
        <v>544</v>
      </c>
    </row>
    <row r="107" spans="1:8">
      <c r="A107" s="43" t="s">
        <v>545</v>
      </c>
      <c r="B107" s="21" t="s">
        <v>38</v>
      </c>
      <c r="C107" s="47">
        <v>6.95</v>
      </c>
      <c r="D107" s="47">
        <f t="shared" si="4"/>
        <v>2.7800000000000002</v>
      </c>
      <c r="E107" s="24">
        <v>8000</v>
      </c>
      <c r="F107" s="4" t="s">
        <v>10</v>
      </c>
      <c r="G107" t="s">
        <v>202</v>
      </c>
      <c r="H107" t="s">
        <v>545</v>
      </c>
    </row>
    <row r="108" spans="1:8">
      <c r="A108" s="43" t="s">
        <v>546</v>
      </c>
      <c r="B108" s="21" t="s">
        <v>39</v>
      </c>
      <c r="C108" s="47">
        <v>6.95</v>
      </c>
      <c r="D108" s="47">
        <f t="shared" si="4"/>
        <v>2.7800000000000002</v>
      </c>
      <c r="E108" s="24">
        <v>8000</v>
      </c>
      <c r="F108" s="4" t="s">
        <v>10</v>
      </c>
      <c r="G108" t="s">
        <v>203</v>
      </c>
      <c r="H108" t="s">
        <v>546</v>
      </c>
    </row>
    <row r="109" spans="1:8">
      <c r="A109" s="43" t="s">
        <v>547</v>
      </c>
      <c r="B109" s="21" t="s">
        <v>40</v>
      </c>
      <c r="C109" s="47">
        <v>6.95</v>
      </c>
      <c r="D109" s="47">
        <f t="shared" si="4"/>
        <v>2.7800000000000002</v>
      </c>
      <c r="E109" s="24">
        <v>8000</v>
      </c>
      <c r="F109" s="4" t="s">
        <v>10</v>
      </c>
      <c r="G109" t="s">
        <v>204</v>
      </c>
      <c r="H109" t="s">
        <v>547</v>
      </c>
    </row>
    <row r="110" spans="1:8">
      <c r="A110" s="43" t="s">
        <v>548</v>
      </c>
      <c r="B110" s="21" t="s">
        <v>385</v>
      </c>
      <c r="C110" s="47">
        <v>4.95</v>
      </c>
      <c r="D110" s="47">
        <f t="shared" si="4"/>
        <v>1.9800000000000002</v>
      </c>
      <c r="E110" s="24">
        <v>8000</v>
      </c>
      <c r="F110" s="4" t="s">
        <v>10</v>
      </c>
      <c r="G110" t="s">
        <v>205</v>
      </c>
      <c r="H110" t="s">
        <v>548</v>
      </c>
    </row>
    <row r="111" spans="1:8">
      <c r="A111" s="43" t="s">
        <v>549</v>
      </c>
      <c r="B111" s="21" t="s">
        <v>386</v>
      </c>
      <c r="C111" s="47">
        <v>4.95</v>
      </c>
      <c r="D111" s="47">
        <f t="shared" si="4"/>
        <v>1.9800000000000002</v>
      </c>
      <c r="E111" s="24">
        <v>8000</v>
      </c>
      <c r="F111" s="4" t="s">
        <v>10</v>
      </c>
      <c r="G111" t="s">
        <v>206</v>
      </c>
      <c r="H111" t="s">
        <v>549</v>
      </c>
    </row>
    <row r="112" spans="1:8">
      <c r="A112" s="43" t="s">
        <v>550</v>
      </c>
      <c r="B112" s="21" t="s">
        <v>387</v>
      </c>
      <c r="C112" s="47">
        <v>4.95</v>
      </c>
      <c r="D112" s="47">
        <f t="shared" si="4"/>
        <v>1.9800000000000002</v>
      </c>
      <c r="E112" s="24">
        <v>8000</v>
      </c>
      <c r="F112" s="4" t="s">
        <v>10</v>
      </c>
      <c r="G112" t="s">
        <v>207</v>
      </c>
      <c r="H112" t="s">
        <v>550</v>
      </c>
    </row>
    <row r="113" spans="1:8">
      <c r="A113" s="43" t="s">
        <v>551</v>
      </c>
      <c r="B113" s="21" t="s">
        <v>41</v>
      </c>
      <c r="C113" s="47">
        <v>6.95</v>
      </c>
      <c r="D113" s="47">
        <f t="shared" si="4"/>
        <v>2.7800000000000002</v>
      </c>
      <c r="E113" s="24">
        <v>8000</v>
      </c>
      <c r="F113" s="4" t="s">
        <v>10</v>
      </c>
      <c r="G113" t="s">
        <v>208</v>
      </c>
      <c r="H113" t="s">
        <v>551</v>
      </c>
    </row>
    <row r="114" spans="1:8">
      <c r="A114" s="43" t="s">
        <v>552</v>
      </c>
      <c r="B114" s="21" t="s">
        <v>42</v>
      </c>
      <c r="C114" s="47">
        <v>6.95</v>
      </c>
      <c r="D114" s="47">
        <f t="shared" si="4"/>
        <v>2.7800000000000002</v>
      </c>
      <c r="E114" s="24">
        <v>8000</v>
      </c>
      <c r="F114" s="4" t="s">
        <v>10</v>
      </c>
      <c r="G114" t="s">
        <v>209</v>
      </c>
      <c r="H114" t="s">
        <v>552</v>
      </c>
    </row>
    <row r="115" spans="1:8">
      <c r="A115" s="43" t="s">
        <v>428</v>
      </c>
      <c r="B115" s="21" t="s">
        <v>43</v>
      </c>
      <c r="C115" s="47">
        <v>5.95</v>
      </c>
      <c r="D115" s="47">
        <f t="shared" si="4"/>
        <v>2.3800000000000003</v>
      </c>
      <c r="E115" s="24">
        <v>7000</v>
      </c>
      <c r="F115" s="4" t="s">
        <v>11</v>
      </c>
      <c r="G115" t="s">
        <v>210</v>
      </c>
      <c r="H115" t="s">
        <v>428</v>
      </c>
    </row>
    <row r="116" spans="1:8">
      <c r="A116" s="43" t="s">
        <v>553</v>
      </c>
      <c r="B116" s="21" t="s">
        <v>44</v>
      </c>
      <c r="C116" s="47">
        <v>5.95</v>
      </c>
      <c r="D116" s="47">
        <f t="shared" si="4"/>
        <v>2.3800000000000003</v>
      </c>
      <c r="E116" s="24">
        <v>7000</v>
      </c>
      <c r="F116" s="4" t="s">
        <v>11</v>
      </c>
      <c r="G116" t="s">
        <v>211</v>
      </c>
      <c r="H116" t="s">
        <v>553</v>
      </c>
    </row>
    <row r="117" spans="1:8">
      <c r="A117" s="43" t="s">
        <v>554</v>
      </c>
      <c r="B117" s="21" t="s">
        <v>45</v>
      </c>
      <c r="C117" s="47">
        <v>5.95</v>
      </c>
      <c r="D117" s="47">
        <f t="shared" si="4"/>
        <v>2.3800000000000003</v>
      </c>
      <c r="E117" s="24">
        <v>7000</v>
      </c>
      <c r="F117" s="4" t="s">
        <v>11</v>
      </c>
      <c r="G117" t="s">
        <v>212</v>
      </c>
      <c r="H117" t="s">
        <v>554</v>
      </c>
    </row>
    <row r="118" spans="1:8">
      <c r="A118" s="43" t="s">
        <v>555</v>
      </c>
      <c r="B118" s="21" t="s">
        <v>46</v>
      </c>
      <c r="C118" s="47">
        <v>5.95</v>
      </c>
      <c r="D118" s="47">
        <f t="shared" si="4"/>
        <v>2.3800000000000003</v>
      </c>
      <c r="E118" s="24">
        <v>7000</v>
      </c>
      <c r="F118" s="4" t="s">
        <v>11</v>
      </c>
      <c r="G118" t="s">
        <v>213</v>
      </c>
      <c r="H118" t="s">
        <v>555</v>
      </c>
    </row>
    <row r="119" spans="1:8">
      <c r="A119" s="43" t="s">
        <v>556</v>
      </c>
      <c r="B119" s="21" t="s">
        <v>47</v>
      </c>
      <c r="C119" s="47">
        <v>5.95</v>
      </c>
      <c r="D119" s="47">
        <f t="shared" si="4"/>
        <v>2.3800000000000003</v>
      </c>
      <c r="E119" s="24">
        <v>7000</v>
      </c>
      <c r="F119" s="4" t="s">
        <v>11</v>
      </c>
      <c r="G119" t="s">
        <v>214</v>
      </c>
      <c r="H119" t="s">
        <v>556</v>
      </c>
    </row>
    <row r="120" spans="1:8">
      <c r="A120" s="43" t="s">
        <v>557</v>
      </c>
      <c r="B120" s="21" t="s">
        <v>48</v>
      </c>
      <c r="C120" s="47">
        <v>5.95</v>
      </c>
      <c r="D120" s="47">
        <f t="shared" si="4"/>
        <v>2.3800000000000003</v>
      </c>
      <c r="E120" s="24">
        <v>7000</v>
      </c>
      <c r="F120" s="4" t="s">
        <v>11</v>
      </c>
      <c r="G120" t="s">
        <v>215</v>
      </c>
      <c r="H120" t="s">
        <v>557</v>
      </c>
    </row>
    <row r="121" spans="1:8">
      <c r="A121" s="43" t="s">
        <v>558</v>
      </c>
      <c r="B121" s="21" t="s">
        <v>49</v>
      </c>
      <c r="C121" s="47">
        <v>5.95</v>
      </c>
      <c r="D121" s="47">
        <f t="shared" si="4"/>
        <v>2.3800000000000003</v>
      </c>
      <c r="E121" s="24">
        <v>7000</v>
      </c>
      <c r="F121" s="4" t="s">
        <v>11</v>
      </c>
      <c r="G121" t="s">
        <v>216</v>
      </c>
      <c r="H121" t="s">
        <v>558</v>
      </c>
    </row>
    <row r="122" spans="1:8">
      <c r="A122" s="43" t="s">
        <v>559</v>
      </c>
      <c r="B122" s="21" t="s">
        <v>50</v>
      </c>
      <c r="C122" s="47">
        <v>5.95</v>
      </c>
      <c r="D122" s="47">
        <f t="shared" si="4"/>
        <v>2.3800000000000003</v>
      </c>
      <c r="E122" s="24">
        <v>7000</v>
      </c>
      <c r="F122" s="4" t="s">
        <v>11</v>
      </c>
      <c r="G122" t="s">
        <v>217</v>
      </c>
      <c r="H122" t="s">
        <v>559</v>
      </c>
    </row>
    <row r="123" spans="1:8">
      <c r="A123" s="43" t="s">
        <v>560</v>
      </c>
      <c r="B123" s="21" t="s">
        <v>51</v>
      </c>
      <c r="C123" s="47">
        <v>5.95</v>
      </c>
      <c r="D123" s="47">
        <f t="shared" si="4"/>
        <v>2.3800000000000003</v>
      </c>
      <c r="E123" s="24">
        <v>7000</v>
      </c>
      <c r="F123" s="4" t="s">
        <v>11</v>
      </c>
      <c r="G123" t="s">
        <v>218</v>
      </c>
      <c r="H123" t="s">
        <v>560</v>
      </c>
    </row>
    <row r="124" spans="1:8">
      <c r="A124" s="43" t="s">
        <v>561</v>
      </c>
      <c r="B124" s="21" t="s">
        <v>52</v>
      </c>
      <c r="C124" s="47">
        <v>5.95</v>
      </c>
      <c r="D124" s="47">
        <f t="shared" si="4"/>
        <v>2.3800000000000003</v>
      </c>
      <c r="E124" s="24">
        <v>7000</v>
      </c>
      <c r="F124" s="4" t="s">
        <v>11</v>
      </c>
      <c r="G124" t="s">
        <v>219</v>
      </c>
      <c r="H124" t="s">
        <v>561</v>
      </c>
    </row>
    <row r="125" spans="1:8">
      <c r="A125" s="43" t="s">
        <v>430</v>
      </c>
      <c r="B125" s="19" t="s">
        <v>53</v>
      </c>
      <c r="C125" s="47">
        <v>3.95</v>
      </c>
      <c r="D125" s="47">
        <f t="shared" ref="D125:D149" si="5">C125*0.4</f>
        <v>1.58</v>
      </c>
      <c r="E125" s="24">
        <v>5000</v>
      </c>
      <c r="F125" s="4" t="s">
        <v>12</v>
      </c>
      <c r="G125" t="s">
        <v>220</v>
      </c>
      <c r="H125" t="s">
        <v>430</v>
      </c>
    </row>
    <row r="126" spans="1:8">
      <c r="A126" s="43" t="s">
        <v>562</v>
      </c>
      <c r="B126" s="21" t="s">
        <v>54</v>
      </c>
      <c r="C126" s="47">
        <v>3.95</v>
      </c>
      <c r="D126" s="47">
        <f t="shared" si="5"/>
        <v>1.58</v>
      </c>
      <c r="E126" s="24">
        <v>5000</v>
      </c>
      <c r="F126" s="4" t="s">
        <v>12</v>
      </c>
      <c r="G126" t="s">
        <v>221</v>
      </c>
      <c r="H126" t="s">
        <v>562</v>
      </c>
    </row>
    <row r="127" spans="1:8">
      <c r="A127" s="43" t="s">
        <v>563</v>
      </c>
      <c r="B127" s="21" t="s">
        <v>55</v>
      </c>
      <c r="C127" s="47">
        <v>3.95</v>
      </c>
      <c r="D127" s="47">
        <f t="shared" si="5"/>
        <v>1.58</v>
      </c>
      <c r="E127" s="24">
        <v>5000</v>
      </c>
      <c r="F127" s="4" t="s">
        <v>12</v>
      </c>
      <c r="G127" t="s">
        <v>222</v>
      </c>
      <c r="H127" t="s">
        <v>563</v>
      </c>
    </row>
    <row r="128" spans="1:8">
      <c r="A128" s="43" t="s">
        <v>564</v>
      </c>
      <c r="B128" s="21" t="s">
        <v>56</v>
      </c>
      <c r="C128" s="47">
        <v>3.95</v>
      </c>
      <c r="D128" s="47">
        <f t="shared" si="5"/>
        <v>1.58</v>
      </c>
      <c r="E128" s="24">
        <v>5000</v>
      </c>
      <c r="F128" s="4" t="s">
        <v>12</v>
      </c>
      <c r="G128" t="s">
        <v>223</v>
      </c>
      <c r="H128" t="s">
        <v>564</v>
      </c>
    </row>
    <row r="129" spans="1:8">
      <c r="A129" s="43" t="s">
        <v>565</v>
      </c>
      <c r="B129" s="21" t="s">
        <v>57</v>
      </c>
      <c r="C129" s="47">
        <v>3.95</v>
      </c>
      <c r="D129" s="47">
        <f t="shared" si="5"/>
        <v>1.58</v>
      </c>
      <c r="E129" s="24">
        <v>5000</v>
      </c>
      <c r="F129" s="4" t="s">
        <v>12</v>
      </c>
      <c r="G129" t="s">
        <v>224</v>
      </c>
      <c r="H129" t="s">
        <v>565</v>
      </c>
    </row>
    <row r="130" spans="1:8">
      <c r="A130" s="43" t="s">
        <v>566</v>
      </c>
      <c r="B130" s="21" t="s">
        <v>58</v>
      </c>
      <c r="C130" s="47">
        <v>3.95</v>
      </c>
      <c r="D130" s="47">
        <f t="shared" si="5"/>
        <v>1.58</v>
      </c>
      <c r="E130" s="24">
        <v>5000</v>
      </c>
      <c r="F130" s="4" t="s">
        <v>12</v>
      </c>
      <c r="G130" t="s">
        <v>225</v>
      </c>
      <c r="H130" t="s">
        <v>566</v>
      </c>
    </row>
    <row r="131" spans="1:8">
      <c r="A131" s="43" t="s">
        <v>567</v>
      </c>
      <c r="B131" s="21" t="s">
        <v>59</v>
      </c>
      <c r="C131" s="47">
        <v>3.95</v>
      </c>
      <c r="D131" s="47">
        <f t="shared" si="5"/>
        <v>1.58</v>
      </c>
      <c r="E131" s="24">
        <v>5000</v>
      </c>
      <c r="F131" s="4" t="s">
        <v>12</v>
      </c>
      <c r="G131" t="s">
        <v>226</v>
      </c>
      <c r="H131" t="s">
        <v>567</v>
      </c>
    </row>
    <row r="132" spans="1:8">
      <c r="A132" s="43" t="s">
        <v>568</v>
      </c>
      <c r="B132" s="21" t="s">
        <v>60</v>
      </c>
      <c r="C132" s="47">
        <v>3.95</v>
      </c>
      <c r="D132" s="47">
        <f t="shared" si="5"/>
        <v>1.58</v>
      </c>
      <c r="E132" s="24">
        <v>5000</v>
      </c>
      <c r="F132" s="4" t="s">
        <v>12</v>
      </c>
      <c r="G132" t="s">
        <v>227</v>
      </c>
      <c r="H132" t="s">
        <v>568</v>
      </c>
    </row>
    <row r="133" spans="1:8">
      <c r="A133" s="43" t="s">
        <v>569</v>
      </c>
      <c r="B133" s="21" t="s">
        <v>61</v>
      </c>
      <c r="C133" s="47">
        <v>3.95</v>
      </c>
      <c r="D133" s="47">
        <f t="shared" si="5"/>
        <v>1.58</v>
      </c>
      <c r="E133" s="24">
        <v>5000</v>
      </c>
      <c r="F133" s="4" t="s">
        <v>12</v>
      </c>
      <c r="G133" t="s">
        <v>228</v>
      </c>
      <c r="H133" t="s">
        <v>569</v>
      </c>
    </row>
    <row r="134" spans="1:8">
      <c r="A134" s="43" t="s">
        <v>570</v>
      </c>
      <c r="B134" s="21" t="s">
        <v>62</v>
      </c>
      <c r="C134" s="47">
        <v>3.95</v>
      </c>
      <c r="D134" s="47">
        <f t="shared" si="5"/>
        <v>1.58</v>
      </c>
      <c r="E134" s="24">
        <v>5000</v>
      </c>
      <c r="F134" s="4" t="s">
        <v>12</v>
      </c>
      <c r="G134" t="s">
        <v>229</v>
      </c>
      <c r="H134" t="s">
        <v>570</v>
      </c>
    </row>
    <row r="135" spans="1:8">
      <c r="A135" s="43" t="s">
        <v>571</v>
      </c>
      <c r="B135" s="21" t="s">
        <v>63</v>
      </c>
      <c r="C135" s="47">
        <v>3.95</v>
      </c>
      <c r="D135" s="47">
        <f t="shared" si="5"/>
        <v>1.58</v>
      </c>
      <c r="E135" s="24">
        <v>5000</v>
      </c>
      <c r="F135" s="4" t="s">
        <v>12</v>
      </c>
      <c r="G135" t="s">
        <v>230</v>
      </c>
      <c r="H135" t="s">
        <v>571</v>
      </c>
    </row>
    <row r="136" spans="1:8">
      <c r="A136" s="43" t="s">
        <v>572</v>
      </c>
      <c r="B136" s="21" t="s">
        <v>64</v>
      </c>
      <c r="C136" s="47">
        <v>3.95</v>
      </c>
      <c r="D136" s="47">
        <f t="shared" si="5"/>
        <v>1.58</v>
      </c>
      <c r="E136" s="24">
        <v>5000</v>
      </c>
      <c r="F136" s="4" t="s">
        <v>12</v>
      </c>
      <c r="G136" t="s">
        <v>231</v>
      </c>
      <c r="H136" t="s">
        <v>572</v>
      </c>
    </row>
    <row r="137" spans="1:8">
      <c r="A137" s="43" t="s">
        <v>573</v>
      </c>
      <c r="B137" s="21" t="s">
        <v>65</v>
      </c>
      <c r="C137" s="47">
        <v>3.95</v>
      </c>
      <c r="D137" s="47">
        <f t="shared" si="5"/>
        <v>1.58</v>
      </c>
      <c r="E137" s="24">
        <v>5000</v>
      </c>
      <c r="F137" s="4" t="s">
        <v>12</v>
      </c>
      <c r="G137" t="s">
        <v>232</v>
      </c>
      <c r="H137" t="s">
        <v>573</v>
      </c>
    </row>
    <row r="138" spans="1:8">
      <c r="A138" s="43" t="s">
        <v>432</v>
      </c>
      <c r="B138" s="21" t="s">
        <v>388</v>
      </c>
      <c r="C138" s="47">
        <v>19.95</v>
      </c>
      <c r="D138" s="47">
        <f t="shared" si="5"/>
        <v>7.98</v>
      </c>
      <c r="E138" s="24">
        <v>25000</v>
      </c>
      <c r="F138" s="4" t="s">
        <v>13</v>
      </c>
      <c r="G138" t="s">
        <v>233</v>
      </c>
      <c r="H138" t="s">
        <v>432</v>
      </c>
    </row>
    <row r="139" spans="1:8">
      <c r="A139" s="43" t="s">
        <v>574</v>
      </c>
      <c r="B139" s="21" t="s">
        <v>389</v>
      </c>
      <c r="C139" s="47">
        <v>19.95</v>
      </c>
      <c r="D139" s="47">
        <f t="shared" si="5"/>
        <v>7.98</v>
      </c>
      <c r="E139" s="24">
        <v>25000</v>
      </c>
      <c r="F139" s="4" t="s">
        <v>13</v>
      </c>
      <c r="G139" t="s">
        <v>234</v>
      </c>
      <c r="H139" t="s">
        <v>574</v>
      </c>
    </row>
    <row r="140" spans="1:8">
      <c r="A140" s="43" t="s">
        <v>575</v>
      </c>
      <c r="B140" s="21" t="s">
        <v>390</v>
      </c>
      <c r="C140" s="47">
        <v>19.95</v>
      </c>
      <c r="D140" s="47">
        <f t="shared" si="5"/>
        <v>7.98</v>
      </c>
      <c r="E140" s="24">
        <v>25000</v>
      </c>
      <c r="F140" s="4" t="s">
        <v>13</v>
      </c>
      <c r="G140" t="s">
        <v>235</v>
      </c>
      <c r="H140" t="s">
        <v>575</v>
      </c>
    </row>
    <row r="141" spans="1:8">
      <c r="A141" s="43" t="s">
        <v>576</v>
      </c>
      <c r="B141" s="21" t="s">
        <v>391</v>
      </c>
      <c r="C141" s="47">
        <v>19.95</v>
      </c>
      <c r="D141" s="47">
        <f t="shared" si="5"/>
        <v>7.98</v>
      </c>
      <c r="E141" s="24">
        <v>25000</v>
      </c>
      <c r="F141" s="4" t="s">
        <v>13</v>
      </c>
      <c r="G141" t="s">
        <v>236</v>
      </c>
      <c r="H141" t="s">
        <v>576</v>
      </c>
    </row>
    <row r="142" spans="1:8">
      <c r="A142" s="43" t="s">
        <v>577</v>
      </c>
      <c r="B142" s="21" t="s">
        <v>392</v>
      </c>
      <c r="C142" s="47">
        <v>19.95</v>
      </c>
      <c r="D142" s="47">
        <f t="shared" si="5"/>
        <v>7.98</v>
      </c>
      <c r="E142" s="24">
        <v>25000</v>
      </c>
      <c r="F142" s="4" t="s">
        <v>13</v>
      </c>
      <c r="G142" t="s">
        <v>237</v>
      </c>
      <c r="H142" t="s">
        <v>577</v>
      </c>
    </row>
    <row r="143" spans="1:8">
      <c r="A143" s="43" t="s">
        <v>578</v>
      </c>
      <c r="B143" s="21" t="s">
        <v>393</v>
      </c>
      <c r="C143" s="47">
        <v>19.95</v>
      </c>
      <c r="D143" s="47">
        <f t="shared" si="5"/>
        <v>7.98</v>
      </c>
      <c r="E143" s="24">
        <v>25000</v>
      </c>
      <c r="F143" s="4" t="s">
        <v>13</v>
      </c>
      <c r="G143" t="s">
        <v>238</v>
      </c>
      <c r="H143" t="s">
        <v>578</v>
      </c>
    </row>
    <row r="144" spans="1:8">
      <c r="A144" s="43" t="s">
        <v>579</v>
      </c>
      <c r="B144" s="21" t="s">
        <v>394</v>
      </c>
      <c r="C144" s="47">
        <v>19.95</v>
      </c>
      <c r="D144" s="47">
        <f t="shared" si="5"/>
        <v>7.98</v>
      </c>
      <c r="E144" s="24">
        <v>25000</v>
      </c>
      <c r="F144" s="4" t="s">
        <v>13</v>
      </c>
      <c r="G144" t="s">
        <v>239</v>
      </c>
      <c r="H144" t="s">
        <v>579</v>
      </c>
    </row>
    <row r="145" spans="1:8">
      <c r="A145" s="43" t="s">
        <v>580</v>
      </c>
      <c r="B145" s="21" t="s">
        <v>395</v>
      </c>
      <c r="C145" s="47">
        <v>19.95</v>
      </c>
      <c r="D145" s="47">
        <f t="shared" si="5"/>
        <v>7.98</v>
      </c>
      <c r="E145" s="24">
        <v>25000</v>
      </c>
      <c r="F145" s="4" t="s">
        <v>13</v>
      </c>
      <c r="G145" t="s">
        <v>240</v>
      </c>
      <c r="H145" t="s">
        <v>580</v>
      </c>
    </row>
    <row r="146" spans="1:8">
      <c r="A146" s="43" t="s">
        <v>581</v>
      </c>
      <c r="B146" s="21" t="s">
        <v>396</v>
      </c>
      <c r="C146" s="47">
        <v>19.95</v>
      </c>
      <c r="D146" s="47">
        <f t="shared" si="5"/>
        <v>7.98</v>
      </c>
      <c r="E146" s="24">
        <v>25000</v>
      </c>
      <c r="F146" s="4" t="s">
        <v>13</v>
      </c>
      <c r="G146" t="s">
        <v>241</v>
      </c>
      <c r="H146" t="s">
        <v>581</v>
      </c>
    </row>
    <row r="147" spans="1:8">
      <c r="A147" s="43" t="s">
        <v>582</v>
      </c>
      <c r="B147" s="21" t="s">
        <v>397</v>
      </c>
      <c r="C147" s="47">
        <v>19.95</v>
      </c>
      <c r="D147" s="47">
        <f t="shared" si="5"/>
        <v>7.98</v>
      </c>
      <c r="E147" s="24">
        <v>25000</v>
      </c>
      <c r="F147" s="4" t="s">
        <v>13</v>
      </c>
      <c r="G147" t="s">
        <v>242</v>
      </c>
      <c r="H147" t="s">
        <v>582</v>
      </c>
    </row>
    <row r="148" spans="1:8">
      <c r="A148" s="43" t="s">
        <v>583</v>
      </c>
      <c r="B148" s="21" t="s">
        <v>398</v>
      </c>
      <c r="C148" s="47">
        <v>19.95</v>
      </c>
      <c r="D148" s="47">
        <f t="shared" si="5"/>
        <v>7.98</v>
      </c>
      <c r="E148" s="24">
        <v>25000</v>
      </c>
      <c r="F148" s="4" t="s">
        <v>13</v>
      </c>
      <c r="G148" t="s">
        <v>243</v>
      </c>
      <c r="H148" t="s">
        <v>583</v>
      </c>
    </row>
    <row r="149" spans="1:8">
      <c r="A149" s="43" t="s">
        <v>584</v>
      </c>
      <c r="B149" s="21" t="s">
        <v>399</v>
      </c>
      <c r="C149" s="47">
        <v>19.95</v>
      </c>
      <c r="D149" s="47">
        <f t="shared" si="5"/>
        <v>7.98</v>
      </c>
      <c r="E149" s="24">
        <v>25000</v>
      </c>
      <c r="F149" s="4" t="s">
        <v>13</v>
      </c>
      <c r="G149" t="s">
        <v>244</v>
      </c>
      <c r="H149" t="s">
        <v>584</v>
      </c>
    </row>
    <row r="150" spans="1:8">
      <c r="A150" s="43" t="s">
        <v>585</v>
      </c>
      <c r="B150" s="21" t="s">
        <v>400</v>
      </c>
      <c r="C150" s="47">
        <v>19.95</v>
      </c>
      <c r="D150" s="47">
        <f t="shared" ref="D150:D176" si="6">C150*0.4</f>
        <v>7.98</v>
      </c>
      <c r="E150" s="24">
        <v>25000</v>
      </c>
      <c r="F150" s="4" t="s">
        <v>13</v>
      </c>
      <c r="G150" t="s">
        <v>245</v>
      </c>
      <c r="H150" t="s">
        <v>585</v>
      </c>
    </row>
    <row r="151" spans="1:8">
      <c r="A151" s="43" t="s">
        <v>586</v>
      </c>
      <c r="B151" s="21" t="s">
        <v>401</v>
      </c>
      <c r="C151" s="47">
        <v>19.95</v>
      </c>
      <c r="D151" s="47">
        <f t="shared" si="6"/>
        <v>7.98</v>
      </c>
      <c r="E151" s="24">
        <v>25000</v>
      </c>
      <c r="F151" s="4" t="s">
        <v>13</v>
      </c>
      <c r="G151" t="s">
        <v>246</v>
      </c>
      <c r="H151" t="s">
        <v>586</v>
      </c>
    </row>
    <row r="152" spans="1:8">
      <c r="A152" s="43" t="s">
        <v>587</v>
      </c>
      <c r="B152" s="21" t="s">
        <v>402</v>
      </c>
      <c r="C152" s="47">
        <v>19.95</v>
      </c>
      <c r="D152" s="47">
        <f t="shared" si="6"/>
        <v>7.98</v>
      </c>
      <c r="E152" s="24">
        <v>25000</v>
      </c>
      <c r="F152" s="4" t="s">
        <v>13</v>
      </c>
      <c r="G152" t="s">
        <v>247</v>
      </c>
      <c r="H152" t="s">
        <v>587</v>
      </c>
    </row>
    <row r="153" spans="1:8">
      <c r="A153" s="43" t="s">
        <v>434</v>
      </c>
      <c r="B153" s="21" t="s">
        <v>66</v>
      </c>
      <c r="C153" s="47">
        <v>5.95</v>
      </c>
      <c r="D153" s="47">
        <f t="shared" si="6"/>
        <v>2.3800000000000003</v>
      </c>
      <c r="E153" s="24">
        <v>7000</v>
      </c>
      <c r="F153" s="4" t="s">
        <v>14</v>
      </c>
      <c r="G153" t="s">
        <v>248</v>
      </c>
      <c r="H153" t="s">
        <v>434</v>
      </c>
    </row>
    <row r="154" spans="1:8">
      <c r="A154" s="43" t="s">
        <v>588</v>
      </c>
      <c r="B154" s="21" t="s">
        <v>67</v>
      </c>
      <c r="C154" s="47">
        <v>5.95</v>
      </c>
      <c r="D154" s="47">
        <f t="shared" si="6"/>
        <v>2.3800000000000003</v>
      </c>
      <c r="E154" s="24">
        <v>7000</v>
      </c>
      <c r="F154" s="4" t="s">
        <v>14</v>
      </c>
      <c r="G154" t="s">
        <v>249</v>
      </c>
      <c r="H154" t="s">
        <v>588</v>
      </c>
    </row>
    <row r="155" spans="1:8">
      <c r="A155" s="43" t="s">
        <v>589</v>
      </c>
      <c r="B155" s="21" t="s">
        <v>68</v>
      </c>
      <c r="C155" s="47">
        <v>5.95</v>
      </c>
      <c r="D155" s="47">
        <f t="shared" si="6"/>
        <v>2.3800000000000003</v>
      </c>
      <c r="E155" s="24">
        <v>7000</v>
      </c>
      <c r="F155" s="4" t="s">
        <v>14</v>
      </c>
      <c r="G155" t="s">
        <v>250</v>
      </c>
      <c r="H155" t="s">
        <v>589</v>
      </c>
    </row>
    <row r="156" spans="1:8">
      <c r="A156" s="43" t="s">
        <v>590</v>
      </c>
      <c r="B156" s="21" t="s">
        <v>69</v>
      </c>
      <c r="C156" s="47">
        <v>5.95</v>
      </c>
      <c r="D156" s="47">
        <f t="shared" si="6"/>
        <v>2.3800000000000003</v>
      </c>
      <c r="E156" s="24">
        <v>7000</v>
      </c>
      <c r="F156" s="4" t="s">
        <v>14</v>
      </c>
      <c r="G156" t="s">
        <v>251</v>
      </c>
      <c r="H156" t="s">
        <v>590</v>
      </c>
    </row>
    <row r="157" spans="1:8">
      <c r="A157" s="43" t="s">
        <v>591</v>
      </c>
      <c r="B157" s="21" t="s">
        <v>70</v>
      </c>
      <c r="C157" s="47">
        <v>5.95</v>
      </c>
      <c r="D157" s="47">
        <f t="shared" si="6"/>
        <v>2.3800000000000003</v>
      </c>
      <c r="E157" s="24">
        <v>7000</v>
      </c>
      <c r="F157" s="4" t="s">
        <v>14</v>
      </c>
      <c r="G157" t="s">
        <v>252</v>
      </c>
      <c r="H157" t="s">
        <v>591</v>
      </c>
    </row>
    <row r="158" spans="1:8">
      <c r="A158" s="43" t="s">
        <v>592</v>
      </c>
      <c r="B158" s="21" t="s">
        <v>71</v>
      </c>
      <c r="C158" s="47">
        <v>5.95</v>
      </c>
      <c r="D158" s="47">
        <f t="shared" si="6"/>
        <v>2.3800000000000003</v>
      </c>
      <c r="E158" s="24">
        <v>7000</v>
      </c>
      <c r="F158" s="4" t="s">
        <v>14</v>
      </c>
      <c r="G158" t="s">
        <v>253</v>
      </c>
      <c r="H158" t="s">
        <v>592</v>
      </c>
    </row>
    <row r="159" spans="1:8">
      <c r="A159" s="43" t="s">
        <v>593</v>
      </c>
      <c r="B159" s="21" t="s">
        <v>72</v>
      </c>
      <c r="C159" s="47">
        <v>5.95</v>
      </c>
      <c r="D159" s="47">
        <f t="shared" si="6"/>
        <v>2.3800000000000003</v>
      </c>
      <c r="E159" s="24">
        <v>7000</v>
      </c>
      <c r="F159" s="4" t="s">
        <v>14</v>
      </c>
      <c r="G159" t="s">
        <v>254</v>
      </c>
      <c r="H159" t="s">
        <v>593</v>
      </c>
    </row>
    <row r="160" spans="1:8">
      <c r="A160" s="43" t="s">
        <v>436</v>
      </c>
      <c r="B160" s="19" t="s">
        <v>73</v>
      </c>
      <c r="C160" s="47">
        <v>3.95</v>
      </c>
      <c r="D160" s="47">
        <f t="shared" si="6"/>
        <v>1.58</v>
      </c>
      <c r="E160" s="24">
        <v>5000</v>
      </c>
      <c r="F160" s="4" t="s">
        <v>15</v>
      </c>
      <c r="G160" t="s">
        <v>255</v>
      </c>
      <c r="H160" t="s">
        <v>436</v>
      </c>
    </row>
    <row r="161" spans="1:8">
      <c r="A161" s="43" t="s">
        <v>594</v>
      </c>
      <c r="B161" s="21" t="s">
        <v>74</v>
      </c>
      <c r="C161" s="47">
        <v>3.95</v>
      </c>
      <c r="D161" s="47">
        <f t="shared" si="6"/>
        <v>1.58</v>
      </c>
      <c r="E161" s="24">
        <v>5000</v>
      </c>
      <c r="F161" s="4" t="s">
        <v>15</v>
      </c>
      <c r="G161" t="s">
        <v>256</v>
      </c>
      <c r="H161" t="s">
        <v>594</v>
      </c>
    </row>
    <row r="162" spans="1:8">
      <c r="A162" s="43" t="s">
        <v>595</v>
      </c>
      <c r="B162" s="21" t="s">
        <v>75</v>
      </c>
      <c r="C162" s="47">
        <v>3.95</v>
      </c>
      <c r="D162" s="47">
        <f t="shared" si="6"/>
        <v>1.58</v>
      </c>
      <c r="E162" s="24">
        <v>5000</v>
      </c>
      <c r="F162" s="4" t="s">
        <v>15</v>
      </c>
      <c r="G162" t="s">
        <v>257</v>
      </c>
      <c r="H162" t="s">
        <v>595</v>
      </c>
    </row>
    <row r="163" spans="1:8">
      <c r="A163" s="43" t="s">
        <v>596</v>
      </c>
      <c r="B163" s="21" t="s">
        <v>76</v>
      </c>
      <c r="C163" s="47">
        <v>3.95</v>
      </c>
      <c r="D163" s="47">
        <f t="shared" si="6"/>
        <v>1.58</v>
      </c>
      <c r="E163" s="24">
        <v>5000</v>
      </c>
      <c r="F163" s="4" t="s">
        <v>15</v>
      </c>
      <c r="G163" t="s">
        <v>258</v>
      </c>
      <c r="H163" t="s">
        <v>596</v>
      </c>
    </row>
    <row r="164" spans="1:8">
      <c r="A164" s="43" t="s">
        <v>597</v>
      </c>
      <c r="B164" s="21" t="s">
        <v>77</v>
      </c>
      <c r="C164" s="47">
        <v>3.95</v>
      </c>
      <c r="D164" s="47">
        <f t="shared" si="6"/>
        <v>1.58</v>
      </c>
      <c r="E164" s="24">
        <v>5000</v>
      </c>
      <c r="F164" s="4" t="s">
        <v>15</v>
      </c>
      <c r="G164" t="s">
        <v>259</v>
      </c>
      <c r="H164" t="s">
        <v>597</v>
      </c>
    </row>
    <row r="165" spans="1:8">
      <c r="A165" s="43" t="s">
        <v>598</v>
      </c>
      <c r="B165" s="21" t="s">
        <v>78</v>
      </c>
      <c r="C165" s="47">
        <v>3.95</v>
      </c>
      <c r="D165" s="47">
        <f t="shared" si="6"/>
        <v>1.58</v>
      </c>
      <c r="E165" s="24">
        <v>5000</v>
      </c>
      <c r="F165" s="4" t="s">
        <v>15</v>
      </c>
      <c r="G165" t="s">
        <v>260</v>
      </c>
      <c r="H165" t="s">
        <v>598</v>
      </c>
    </row>
    <row r="166" spans="1:8">
      <c r="A166" s="43" t="s">
        <v>599</v>
      </c>
      <c r="B166" s="21" t="s">
        <v>79</v>
      </c>
      <c r="C166" s="47">
        <v>3.95</v>
      </c>
      <c r="D166" s="47">
        <f t="shared" si="6"/>
        <v>1.58</v>
      </c>
      <c r="E166" s="24">
        <v>5000</v>
      </c>
      <c r="F166" s="4" t="s">
        <v>15</v>
      </c>
      <c r="G166" t="s">
        <v>261</v>
      </c>
      <c r="H166" t="s">
        <v>599</v>
      </c>
    </row>
    <row r="167" spans="1:8">
      <c r="A167" s="43" t="s">
        <v>600</v>
      </c>
      <c r="B167" s="21" t="s">
        <v>80</v>
      </c>
      <c r="C167" s="47">
        <v>3.95</v>
      </c>
      <c r="D167" s="47">
        <f t="shared" si="6"/>
        <v>1.58</v>
      </c>
      <c r="E167" s="24">
        <v>5000</v>
      </c>
      <c r="F167" s="4" t="s">
        <v>15</v>
      </c>
      <c r="G167" t="s">
        <v>262</v>
      </c>
      <c r="H167" t="s">
        <v>600</v>
      </c>
    </row>
    <row r="168" spans="1:8">
      <c r="A168" s="43" t="s">
        <v>601</v>
      </c>
      <c r="B168" s="21" t="s">
        <v>81</v>
      </c>
      <c r="C168" s="47">
        <v>3.95</v>
      </c>
      <c r="D168" s="47">
        <f t="shared" si="6"/>
        <v>1.58</v>
      </c>
      <c r="E168" s="24">
        <v>5000</v>
      </c>
      <c r="F168" s="4" t="s">
        <v>15</v>
      </c>
      <c r="G168" t="s">
        <v>263</v>
      </c>
      <c r="H168" t="s">
        <v>601</v>
      </c>
    </row>
    <row r="169" spans="1:8">
      <c r="A169" s="43" t="s">
        <v>602</v>
      </c>
      <c r="B169" s="21" t="s">
        <v>82</v>
      </c>
      <c r="C169" s="47">
        <v>3.95</v>
      </c>
      <c r="D169" s="47">
        <f t="shared" si="6"/>
        <v>1.58</v>
      </c>
      <c r="E169" s="24">
        <v>5000</v>
      </c>
      <c r="F169" s="4" t="s">
        <v>15</v>
      </c>
      <c r="G169" t="s">
        <v>264</v>
      </c>
      <c r="H169" t="s">
        <v>602</v>
      </c>
    </row>
    <row r="170" spans="1:8">
      <c r="A170" s="43" t="s">
        <v>603</v>
      </c>
      <c r="B170" s="21" t="s">
        <v>83</v>
      </c>
      <c r="C170" s="47">
        <v>3.95</v>
      </c>
      <c r="D170" s="47">
        <f t="shared" si="6"/>
        <v>1.58</v>
      </c>
      <c r="E170" s="24">
        <v>5000</v>
      </c>
      <c r="F170" s="4" t="s">
        <v>15</v>
      </c>
      <c r="G170" t="s">
        <v>265</v>
      </c>
      <c r="H170" t="s">
        <v>603</v>
      </c>
    </row>
    <row r="171" spans="1:8">
      <c r="A171" s="43" t="s">
        <v>604</v>
      </c>
      <c r="B171" s="21" t="s">
        <v>84</v>
      </c>
      <c r="C171" s="47">
        <v>3.95</v>
      </c>
      <c r="D171" s="47">
        <f t="shared" si="6"/>
        <v>1.58</v>
      </c>
      <c r="E171" s="24">
        <v>5000</v>
      </c>
      <c r="F171" s="4" t="s">
        <v>15</v>
      </c>
      <c r="G171" t="s">
        <v>266</v>
      </c>
      <c r="H171" t="s">
        <v>604</v>
      </c>
    </row>
    <row r="172" spans="1:8">
      <c r="A172" s="43" t="s">
        <v>605</v>
      </c>
      <c r="B172" s="21" t="s">
        <v>85</v>
      </c>
      <c r="C172" s="47">
        <v>3.95</v>
      </c>
      <c r="D172" s="47">
        <f t="shared" si="6"/>
        <v>1.58</v>
      </c>
      <c r="E172" s="24">
        <v>5000</v>
      </c>
      <c r="F172" s="4" t="s">
        <v>15</v>
      </c>
      <c r="G172" t="s">
        <v>267</v>
      </c>
      <c r="H172" t="s">
        <v>605</v>
      </c>
    </row>
    <row r="173" spans="1:8">
      <c r="A173" s="43" t="s">
        <v>606</v>
      </c>
      <c r="B173" s="21" t="s">
        <v>86</v>
      </c>
      <c r="C173" s="47">
        <v>3.95</v>
      </c>
      <c r="D173" s="47">
        <f t="shared" si="6"/>
        <v>1.58</v>
      </c>
      <c r="E173" s="24">
        <v>5000</v>
      </c>
      <c r="F173" s="4" t="s">
        <v>15</v>
      </c>
      <c r="G173" t="s">
        <v>268</v>
      </c>
      <c r="H173" t="s">
        <v>606</v>
      </c>
    </row>
    <row r="174" spans="1:8">
      <c r="A174" s="43" t="s">
        <v>438</v>
      </c>
      <c r="B174" s="21" t="s">
        <v>403</v>
      </c>
      <c r="C174" s="47">
        <v>5.95</v>
      </c>
      <c r="D174" s="47">
        <f t="shared" si="6"/>
        <v>2.3800000000000003</v>
      </c>
      <c r="E174" s="24">
        <v>7000</v>
      </c>
      <c r="F174" s="4" t="s">
        <v>16</v>
      </c>
      <c r="G174" t="s">
        <v>269</v>
      </c>
      <c r="H174" t="s">
        <v>438</v>
      </c>
    </row>
    <row r="175" spans="1:8">
      <c r="A175" s="43" t="s">
        <v>607</v>
      </c>
      <c r="B175" s="21" t="s">
        <v>404</v>
      </c>
      <c r="C175" s="47">
        <v>5.95</v>
      </c>
      <c r="D175" s="47">
        <f t="shared" si="6"/>
        <v>2.3800000000000003</v>
      </c>
      <c r="E175" s="24">
        <v>7000</v>
      </c>
      <c r="F175" s="4" t="s">
        <v>16</v>
      </c>
      <c r="G175" t="s">
        <v>270</v>
      </c>
      <c r="H175" t="s">
        <v>607</v>
      </c>
    </row>
    <row r="176" spans="1:8">
      <c r="A176" s="43" t="s">
        <v>608</v>
      </c>
      <c r="B176" s="21" t="s">
        <v>405</v>
      </c>
      <c r="C176" s="47">
        <v>5.95</v>
      </c>
      <c r="D176" s="47">
        <f t="shared" si="6"/>
        <v>2.3800000000000003</v>
      </c>
      <c r="E176" s="24">
        <v>7000</v>
      </c>
      <c r="F176" s="4" t="s">
        <v>16</v>
      </c>
      <c r="G176" t="s">
        <v>271</v>
      </c>
      <c r="H176" t="s">
        <v>608</v>
      </c>
    </row>
    <row r="177" spans="1:8">
      <c r="A177" s="43" t="s">
        <v>609</v>
      </c>
      <c r="B177" s="21" t="s">
        <v>406</v>
      </c>
      <c r="C177" s="47">
        <v>5.95</v>
      </c>
      <c r="D177" s="47">
        <f t="shared" ref="D177:D193" si="7">C177*0.4</f>
        <v>2.3800000000000003</v>
      </c>
      <c r="E177" s="24">
        <v>7000</v>
      </c>
      <c r="F177" s="4" t="s">
        <v>16</v>
      </c>
      <c r="G177" t="s">
        <v>272</v>
      </c>
      <c r="H177" t="s">
        <v>609</v>
      </c>
    </row>
    <row r="178" spans="1:8">
      <c r="A178" s="43" t="s">
        <v>610</v>
      </c>
      <c r="B178" s="21" t="s">
        <v>407</v>
      </c>
      <c r="C178" s="47">
        <v>5.95</v>
      </c>
      <c r="D178" s="47">
        <f t="shared" si="7"/>
        <v>2.3800000000000003</v>
      </c>
      <c r="E178" s="24">
        <v>7000</v>
      </c>
      <c r="F178" s="4" t="s">
        <v>16</v>
      </c>
      <c r="G178" t="s">
        <v>273</v>
      </c>
      <c r="H178" t="s">
        <v>610</v>
      </c>
    </row>
    <row r="179" spans="1:8">
      <c r="A179" s="43" t="s">
        <v>611</v>
      </c>
      <c r="B179" s="21" t="s">
        <v>408</v>
      </c>
      <c r="C179" s="47">
        <v>5.95</v>
      </c>
      <c r="D179" s="47">
        <f t="shared" si="7"/>
        <v>2.3800000000000003</v>
      </c>
      <c r="E179" s="24">
        <v>7000</v>
      </c>
      <c r="F179" s="4" t="s">
        <v>16</v>
      </c>
      <c r="G179" t="s">
        <v>274</v>
      </c>
      <c r="H179" t="s">
        <v>611</v>
      </c>
    </row>
    <row r="180" spans="1:8">
      <c r="A180" s="43" t="s">
        <v>612</v>
      </c>
      <c r="B180" s="21" t="s">
        <v>409</v>
      </c>
      <c r="C180" s="47">
        <v>5.95</v>
      </c>
      <c r="D180" s="47">
        <f t="shared" si="7"/>
        <v>2.3800000000000003</v>
      </c>
      <c r="E180" s="24">
        <v>7000</v>
      </c>
      <c r="F180" s="4" t="s">
        <v>16</v>
      </c>
      <c r="G180" t="s">
        <v>275</v>
      </c>
      <c r="H180" t="s">
        <v>612</v>
      </c>
    </row>
    <row r="181" spans="1:8">
      <c r="A181" s="43" t="s">
        <v>613</v>
      </c>
      <c r="B181" s="21" t="s">
        <v>410</v>
      </c>
      <c r="C181" s="47">
        <v>5.95</v>
      </c>
      <c r="D181" s="47">
        <f t="shared" si="7"/>
        <v>2.3800000000000003</v>
      </c>
      <c r="E181" s="24">
        <v>7000</v>
      </c>
      <c r="F181" s="4" t="s">
        <v>16</v>
      </c>
      <c r="G181" t="s">
        <v>276</v>
      </c>
      <c r="H181" t="s">
        <v>613</v>
      </c>
    </row>
    <row r="182" spans="1:8">
      <c r="A182" s="43" t="s">
        <v>440</v>
      </c>
      <c r="B182" s="21" t="s">
        <v>87</v>
      </c>
      <c r="C182" s="47">
        <v>4.95</v>
      </c>
      <c r="D182" s="47">
        <f t="shared" si="7"/>
        <v>1.9800000000000002</v>
      </c>
      <c r="E182" s="24">
        <v>6000</v>
      </c>
      <c r="F182" s="4" t="s">
        <v>17</v>
      </c>
      <c r="G182" t="s">
        <v>277</v>
      </c>
      <c r="H182" t="s">
        <v>440</v>
      </c>
    </row>
    <row r="183" spans="1:8">
      <c r="A183" s="43" t="s">
        <v>614</v>
      </c>
      <c r="B183" s="21" t="s">
        <v>88</v>
      </c>
      <c r="C183" s="47">
        <v>4.95</v>
      </c>
      <c r="D183" s="47">
        <f t="shared" si="7"/>
        <v>1.9800000000000002</v>
      </c>
      <c r="E183" s="24">
        <v>6000</v>
      </c>
      <c r="F183" s="4" t="s">
        <v>17</v>
      </c>
      <c r="G183" t="s">
        <v>278</v>
      </c>
      <c r="H183" t="s">
        <v>614</v>
      </c>
    </row>
    <row r="184" spans="1:8">
      <c r="A184" s="43" t="s">
        <v>615</v>
      </c>
      <c r="B184" s="21" t="s">
        <v>89</v>
      </c>
      <c r="C184" s="47">
        <v>4.95</v>
      </c>
      <c r="D184" s="47">
        <f t="shared" si="7"/>
        <v>1.9800000000000002</v>
      </c>
      <c r="E184" s="24">
        <v>6000</v>
      </c>
      <c r="F184" s="4" t="s">
        <v>17</v>
      </c>
      <c r="G184" t="s">
        <v>279</v>
      </c>
      <c r="H184" t="s">
        <v>615</v>
      </c>
    </row>
    <row r="185" spans="1:8">
      <c r="A185" s="43" t="s">
        <v>616</v>
      </c>
      <c r="B185" s="21" t="s">
        <v>90</v>
      </c>
      <c r="C185" s="47">
        <v>4.95</v>
      </c>
      <c r="D185" s="47">
        <f t="shared" si="7"/>
        <v>1.9800000000000002</v>
      </c>
      <c r="E185" s="24">
        <v>6000</v>
      </c>
      <c r="F185" s="4" t="s">
        <v>17</v>
      </c>
      <c r="G185" t="s">
        <v>280</v>
      </c>
      <c r="H185" t="s">
        <v>616</v>
      </c>
    </row>
    <row r="186" spans="1:8">
      <c r="A186" s="43" t="s">
        <v>617</v>
      </c>
      <c r="B186" s="21" t="s">
        <v>91</v>
      </c>
      <c r="C186" s="47">
        <v>4.95</v>
      </c>
      <c r="D186" s="47">
        <f t="shared" si="7"/>
        <v>1.9800000000000002</v>
      </c>
      <c r="E186" s="24">
        <v>6000</v>
      </c>
      <c r="F186" s="4" t="s">
        <v>17</v>
      </c>
      <c r="G186" t="s">
        <v>281</v>
      </c>
      <c r="H186" t="s">
        <v>617</v>
      </c>
    </row>
    <row r="187" spans="1:8">
      <c r="A187" s="43" t="s">
        <v>618</v>
      </c>
      <c r="B187" s="21" t="s">
        <v>92</v>
      </c>
      <c r="C187" s="47">
        <v>4.95</v>
      </c>
      <c r="D187" s="47">
        <f t="shared" si="7"/>
        <v>1.9800000000000002</v>
      </c>
      <c r="E187" s="24">
        <v>6000</v>
      </c>
      <c r="F187" s="4" t="s">
        <v>17</v>
      </c>
      <c r="G187" t="s">
        <v>282</v>
      </c>
      <c r="H187" t="s">
        <v>618</v>
      </c>
    </row>
    <row r="188" spans="1:8">
      <c r="A188" s="43" t="s">
        <v>619</v>
      </c>
      <c r="B188" s="21" t="s">
        <v>93</v>
      </c>
      <c r="C188" s="47">
        <v>4.95</v>
      </c>
      <c r="D188" s="47">
        <f t="shared" si="7"/>
        <v>1.9800000000000002</v>
      </c>
      <c r="E188" s="24">
        <v>6000</v>
      </c>
      <c r="F188" s="4" t="s">
        <v>17</v>
      </c>
      <c r="G188" t="s">
        <v>283</v>
      </c>
      <c r="H188" t="s">
        <v>619</v>
      </c>
    </row>
    <row r="189" spans="1:8">
      <c r="A189" s="43" t="s">
        <v>620</v>
      </c>
      <c r="B189" s="21" t="s">
        <v>94</v>
      </c>
      <c r="C189" s="47">
        <v>4.95</v>
      </c>
      <c r="D189" s="47">
        <f t="shared" si="7"/>
        <v>1.9800000000000002</v>
      </c>
      <c r="E189" s="24">
        <v>6000</v>
      </c>
      <c r="F189" s="4" t="s">
        <v>17</v>
      </c>
      <c r="G189" t="s">
        <v>284</v>
      </c>
      <c r="H189" t="s">
        <v>620</v>
      </c>
    </row>
    <row r="190" spans="1:8">
      <c r="A190" s="43" t="s">
        <v>621</v>
      </c>
      <c r="B190" s="21" t="s">
        <v>95</v>
      </c>
      <c r="C190" s="47">
        <v>4.95</v>
      </c>
      <c r="D190" s="47">
        <f t="shared" si="7"/>
        <v>1.9800000000000002</v>
      </c>
      <c r="E190" s="24">
        <v>6000</v>
      </c>
      <c r="F190" s="4" t="s">
        <v>17</v>
      </c>
      <c r="G190" t="s">
        <v>285</v>
      </c>
      <c r="H190" t="s">
        <v>621</v>
      </c>
    </row>
    <row r="191" spans="1:8">
      <c r="A191" s="43" t="s">
        <v>622</v>
      </c>
      <c r="B191" s="21" t="s">
        <v>96</v>
      </c>
      <c r="C191" s="47">
        <v>4.95</v>
      </c>
      <c r="D191" s="47">
        <f t="shared" si="7"/>
        <v>1.9800000000000002</v>
      </c>
      <c r="E191" s="24">
        <v>6000</v>
      </c>
      <c r="F191" s="4" t="s">
        <v>17</v>
      </c>
      <c r="G191" t="s">
        <v>286</v>
      </c>
      <c r="H191" t="s">
        <v>622</v>
      </c>
    </row>
    <row r="192" spans="1:8" ht="17.25" thickBot="1">
      <c r="A192" s="43" t="s">
        <v>442</v>
      </c>
      <c r="B192" s="21" t="s">
        <v>411</v>
      </c>
      <c r="C192" s="47">
        <v>6.95</v>
      </c>
      <c r="D192" s="47">
        <f t="shared" si="7"/>
        <v>2.7800000000000002</v>
      </c>
      <c r="E192" s="24">
        <v>8000</v>
      </c>
      <c r="F192" s="4" t="s">
        <v>18</v>
      </c>
      <c r="G192" t="s">
        <v>287</v>
      </c>
      <c r="H192" t="s">
        <v>442</v>
      </c>
    </row>
    <row r="193" spans="1:6" ht="17.25" thickBot="1">
      <c r="A193" s="43" t="s">
        <v>652</v>
      </c>
      <c r="B193" s="56" t="s">
        <v>657</v>
      </c>
      <c r="C193" s="16">
        <v>5.95</v>
      </c>
      <c r="D193" s="16">
        <f t="shared" si="7"/>
        <v>2.3800000000000003</v>
      </c>
      <c r="E193" s="8">
        <v>11000</v>
      </c>
      <c r="F193" s="9" t="s">
        <v>687</v>
      </c>
    </row>
    <row r="194" spans="1:6" ht="17.25" thickBot="1">
      <c r="A194" s="43" t="s">
        <v>653</v>
      </c>
      <c r="B194" s="56" t="s">
        <v>658</v>
      </c>
      <c r="C194" s="16">
        <v>5.95</v>
      </c>
      <c r="D194" s="16"/>
      <c r="E194" s="8">
        <v>11000</v>
      </c>
      <c r="F194" s="9" t="s">
        <v>687</v>
      </c>
    </row>
    <row r="195" spans="1:6" ht="17.25" thickBot="1">
      <c r="A195" s="43" t="s">
        <v>654</v>
      </c>
      <c r="B195" s="56" t="s">
        <v>659</v>
      </c>
      <c r="C195" s="16">
        <v>5.95</v>
      </c>
      <c r="D195" s="16"/>
      <c r="E195" s="8">
        <v>11000</v>
      </c>
      <c r="F195" s="9" t="s">
        <v>687</v>
      </c>
    </row>
    <row r="196" spans="1:6" ht="17.25" thickBot="1">
      <c r="A196" s="43" t="s">
        <v>655</v>
      </c>
      <c r="B196" s="56" t="s">
        <v>660</v>
      </c>
      <c r="C196" s="16">
        <v>5.95</v>
      </c>
      <c r="D196" s="16"/>
      <c r="E196" s="8">
        <v>11000</v>
      </c>
      <c r="F196" s="9" t="s">
        <v>687</v>
      </c>
    </row>
    <row r="197" spans="1:6" ht="17.25" thickBot="1">
      <c r="A197" s="43" t="s">
        <v>656</v>
      </c>
      <c r="B197" s="56" t="s">
        <v>661</v>
      </c>
      <c r="C197" s="16">
        <v>5.95</v>
      </c>
      <c r="D197" s="16"/>
      <c r="E197" s="8">
        <v>11000</v>
      </c>
      <c r="F197" s="9" t="s">
        <v>687</v>
      </c>
    </row>
    <row r="198" spans="1:6" ht="17.25" thickBot="1">
      <c r="A198" s="55" t="s">
        <v>663</v>
      </c>
      <c r="B198" s="56" t="s">
        <v>664</v>
      </c>
      <c r="C198" s="47">
        <v>6.95</v>
      </c>
      <c r="D198" s="16"/>
      <c r="E198" s="8">
        <v>11000</v>
      </c>
      <c r="F198" s="4" t="s">
        <v>10</v>
      </c>
    </row>
    <row r="199" spans="1:6" ht="17.25" thickBot="1">
      <c r="A199" s="55" t="s">
        <v>669</v>
      </c>
      <c r="B199" s="56" t="s">
        <v>665</v>
      </c>
      <c r="C199" s="47">
        <v>6.95</v>
      </c>
      <c r="D199" s="16"/>
      <c r="E199" s="8">
        <v>11000</v>
      </c>
      <c r="F199" s="4" t="s">
        <v>10</v>
      </c>
    </row>
    <row r="200" spans="1:6" ht="17.25" thickBot="1">
      <c r="A200" s="43" t="s">
        <v>671</v>
      </c>
      <c r="B200" s="56" t="s">
        <v>666</v>
      </c>
      <c r="C200" s="47">
        <v>6.95</v>
      </c>
      <c r="D200" s="16"/>
      <c r="E200" s="8">
        <v>11000</v>
      </c>
      <c r="F200" s="4" t="s">
        <v>10</v>
      </c>
    </row>
    <row r="201" spans="1:6">
      <c r="A201" s="43" t="s">
        <v>673</v>
      </c>
      <c r="B201" s="56" t="s">
        <v>667</v>
      </c>
      <c r="C201" s="47">
        <v>6.95</v>
      </c>
      <c r="D201" s="16"/>
      <c r="E201" s="8">
        <v>11000</v>
      </c>
      <c r="F201" s="4" t="s">
        <v>10</v>
      </c>
    </row>
    <row r="202" spans="1:6">
      <c r="A202" s="43"/>
      <c r="B202" s="16"/>
      <c r="C202" s="16"/>
      <c r="D202" s="16"/>
    </row>
    <row r="203" spans="1:6">
      <c r="A203" s="43"/>
      <c r="B203" s="16"/>
      <c r="C203" s="16"/>
      <c r="D203" s="16"/>
    </row>
    <row r="204" spans="1:6">
      <c r="A204" s="43"/>
      <c r="B204" s="16"/>
      <c r="C204" s="16"/>
      <c r="D204" s="16"/>
    </row>
    <row r="205" spans="1:6">
      <c r="A205" s="43"/>
      <c r="B205" s="16"/>
      <c r="C205" s="16"/>
      <c r="D205" s="16"/>
    </row>
    <row r="206" spans="1:6">
      <c r="A206" s="43"/>
      <c r="B206" s="16"/>
      <c r="C206" s="16"/>
      <c r="D206" s="16"/>
    </row>
    <row r="207" spans="1:6">
      <c r="A207" s="43"/>
      <c r="B207" s="16"/>
      <c r="C207" s="16"/>
      <c r="D207" s="16"/>
    </row>
    <row r="208" spans="1:6">
      <c r="A208" s="43"/>
      <c r="B208" s="16"/>
      <c r="C208" s="16"/>
      <c r="D208" s="16"/>
    </row>
    <row r="209" spans="1:4">
      <c r="A209" s="43"/>
      <c r="B209" s="16"/>
      <c r="C209" s="16"/>
      <c r="D209" s="16"/>
    </row>
    <row r="210" spans="1:4">
      <c r="A210" s="43"/>
      <c r="B210" s="16"/>
      <c r="C210" s="16"/>
      <c r="D210" s="16"/>
    </row>
    <row r="211" spans="1:4">
      <c r="A211" s="43"/>
      <c r="B211" s="16"/>
      <c r="C211" s="16"/>
      <c r="D211" s="16"/>
    </row>
    <row r="212" spans="1:4">
      <c r="A212" s="43"/>
      <c r="B212" s="16"/>
      <c r="C212" s="16"/>
      <c r="D212" s="16"/>
    </row>
    <row r="213" spans="1:4">
      <c r="A213" s="43"/>
      <c r="B213" s="16"/>
      <c r="C213" s="16"/>
      <c r="D213" s="16"/>
    </row>
    <row r="214" spans="1:4">
      <c r="A214" s="43"/>
      <c r="B214" s="16"/>
      <c r="C214" s="16"/>
      <c r="D214" s="16"/>
    </row>
    <row r="215" spans="1:4">
      <c r="A215" s="43"/>
      <c r="B215" s="16"/>
      <c r="C215" s="16"/>
      <c r="D215" s="16"/>
    </row>
    <row r="216" spans="1:4">
      <c r="A216" s="43"/>
      <c r="B216" s="16"/>
      <c r="C216" s="16"/>
      <c r="D216" s="16"/>
    </row>
    <row r="217" spans="1:4">
      <c r="A217" s="43"/>
      <c r="B217" s="16"/>
      <c r="C217" s="16"/>
      <c r="D217" s="16"/>
    </row>
    <row r="218" spans="1:4">
      <c r="A218" s="43"/>
      <c r="B218" s="16"/>
      <c r="C218" s="16"/>
      <c r="D218" s="16"/>
    </row>
    <row r="219" spans="1:4">
      <c r="A219" s="43"/>
      <c r="B219" s="16"/>
      <c r="C219" s="16"/>
      <c r="D219" s="16"/>
    </row>
    <row r="220" spans="1:4">
      <c r="A220" s="43"/>
      <c r="B220" s="16"/>
      <c r="C220" s="16"/>
      <c r="D220" s="16"/>
    </row>
    <row r="221" spans="1:4">
      <c r="A221" s="43"/>
      <c r="B221" s="16"/>
      <c r="C221" s="16"/>
      <c r="D221" s="16"/>
    </row>
    <row r="222" spans="1:4">
      <c r="A222" s="43"/>
      <c r="B222" s="16"/>
      <c r="C222" s="16"/>
      <c r="D222" s="16"/>
    </row>
    <row r="223" spans="1:4">
      <c r="A223" s="43"/>
      <c r="B223" s="16"/>
      <c r="C223" s="16"/>
      <c r="D223" s="16"/>
    </row>
    <row r="224" spans="1:4">
      <c r="A224" s="43"/>
      <c r="B224" s="16"/>
      <c r="C224" s="16"/>
      <c r="D224" s="16"/>
    </row>
    <row r="225" spans="1:4">
      <c r="A225" s="43"/>
      <c r="B225" s="16"/>
      <c r="C225" s="16"/>
      <c r="D225" s="16"/>
    </row>
    <row r="226" spans="1:4">
      <c r="A226" s="43"/>
      <c r="B226" s="16"/>
      <c r="C226" s="16"/>
      <c r="D226" s="16"/>
    </row>
    <row r="227" spans="1:4">
      <c r="A227" s="43"/>
      <c r="B227" s="16"/>
      <c r="C227" s="16"/>
      <c r="D227" s="16"/>
    </row>
    <row r="228" spans="1:4">
      <c r="A228" s="43"/>
      <c r="B228" s="16"/>
      <c r="C228" s="16"/>
      <c r="D228" s="16"/>
    </row>
    <row r="229" spans="1:4">
      <c r="A229" s="43"/>
      <c r="B229" s="16"/>
      <c r="C229" s="16"/>
      <c r="D229" s="16"/>
    </row>
    <row r="230" spans="1:4">
      <c r="A230" s="43"/>
      <c r="B230" s="16"/>
      <c r="C230" s="16"/>
      <c r="D230" s="16"/>
    </row>
    <row r="231" spans="1:4">
      <c r="A231" s="43"/>
      <c r="B231" s="16"/>
      <c r="C231" s="16"/>
      <c r="D231" s="16"/>
    </row>
    <row r="232" spans="1:4">
      <c r="A232" s="43"/>
      <c r="B232" s="16"/>
      <c r="C232" s="16"/>
      <c r="D232" s="16"/>
    </row>
    <row r="233" spans="1:4">
      <c r="A233" s="43"/>
      <c r="B233" s="16"/>
      <c r="C233" s="16"/>
      <c r="D233" s="16"/>
    </row>
    <row r="234" spans="1:4">
      <c r="A234" s="43"/>
      <c r="B234" s="16"/>
      <c r="C234" s="16"/>
      <c r="D234" s="16"/>
    </row>
    <row r="235" spans="1:4">
      <c r="A235" s="43"/>
      <c r="B235" s="16"/>
      <c r="C235" s="16"/>
      <c r="D235" s="16"/>
    </row>
    <row r="236" spans="1:4">
      <c r="A236" s="43"/>
      <c r="B236" s="16"/>
      <c r="C236" s="16"/>
      <c r="D236" s="16"/>
    </row>
    <row r="237" spans="1:4">
      <c r="A237" s="43"/>
      <c r="B237" s="16"/>
      <c r="C237" s="16"/>
      <c r="D237" s="16"/>
    </row>
    <row r="238" spans="1:4">
      <c r="A238" s="43"/>
      <c r="B238" s="16"/>
      <c r="C238" s="16"/>
      <c r="D238" s="16"/>
    </row>
    <row r="239" spans="1:4">
      <c r="A239" s="43"/>
      <c r="B239" s="16"/>
      <c r="C239" s="16"/>
      <c r="D239" s="16"/>
    </row>
    <row r="240" spans="1:4">
      <c r="A240" s="43"/>
      <c r="B240" s="16"/>
      <c r="C240" s="16"/>
      <c r="D240" s="16"/>
    </row>
    <row r="241" spans="1:4">
      <c r="A241" s="43"/>
      <c r="B241" s="16"/>
      <c r="C241" s="16"/>
      <c r="D241" s="16"/>
    </row>
    <row r="242" spans="1:4">
      <c r="A242" s="43"/>
      <c r="B242" s="16"/>
      <c r="C242" s="16"/>
      <c r="D242" s="16"/>
    </row>
    <row r="243" spans="1:4">
      <c r="A243" s="43"/>
      <c r="B243" s="16"/>
      <c r="C243" s="16"/>
      <c r="D243" s="16"/>
    </row>
    <row r="244" spans="1:4">
      <c r="A244" s="43"/>
      <c r="B244" s="16"/>
      <c r="C244" s="16"/>
      <c r="D244" s="16"/>
    </row>
    <row r="245" spans="1:4">
      <c r="A245" s="43"/>
      <c r="B245" s="16"/>
      <c r="C245" s="16"/>
      <c r="D245" s="16"/>
    </row>
    <row r="246" spans="1:4">
      <c r="A246" s="43"/>
      <c r="B246" s="16"/>
      <c r="C246" s="16"/>
      <c r="D246" s="16"/>
    </row>
    <row r="247" spans="1:4">
      <c r="A247" s="43"/>
      <c r="B247" s="16"/>
      <c r="C247" s="16"/>
      <c r="D247" s="16"/>
    </row>
    <row r="248" spans="1:4">
      <c r="A248" s="43"/>
      <c r="B248" s="16"/>
      <c r="C248" s="16"/>
      <c r="D248" s="16"/>
    </row>
    <row r="249" spans="1:4">
      <c r="A249" s="43"/>
      <c r="B249" s="16"/>
      <c r="C249" s="16"/>
      <c r="D249" s="16"/>
    </row>
    <row r="250" spans="1:4">
      <c r="A250" s="43"/>
      <c r="B250" s="16"/>
      <c r="C250" s="16"/>
      <c r="D250" s="16"/>
    </row>
    <row r="251" spans="1:4">
      <c r="A251" s="43"/>
      <c r="B251" s="16"/>
      <c r="C251" s="16"/>
      <c r="D251" s="16"/>
    </row>
    <row r="252" spans="1:4">
      <c r="A252" s="43"/>
      <c r="B252" s="16"/>
      <c r="C252" s="16"/>
      <c r="D252" s="16"/>
    </row>
    <row r="253" spans="1:4">
      <c r="A253" s="43"/>
      <c r="B253" s="16"/>
      <c r="C253" s="16"/>
      <c r="D253" s="16"/>
    </row>
    <row r="254" spans="1:4">
      <c r="A254" s="43"/>
      <c r="B254" s="16"/>
      <c r="C254" s="16"/>
      <c r="D254" s="16"/>
    </row>
    <row r="255" spans="1:4">
      <c r="A255" s="43"/>
      <c r="B255" s="16"/>
      <c r="C255" s="16"/>
      <c r="D255" s="16"/>
    </row>
    <row r="256" spans="1:4">
      <c r="A256" s="43"/>
      <c r="B256" s="16"/>
      <c r="C256" s="16"/>
      <c r="D256" s="16"/>
    </row>
    <row r="257" spans="1:4">
      <c r="A257" s="43"/>
      <c r="B257" s="16"/>
      <c r="C257" s="16"/>
      <c r="D257" s="16"/>
    </row>
    <row r="258" spans="1:4">
      <c r="A258" s="43"/>
      <c r="B258" s="16"/>
      <c r="C258" s="16"/>
      <c r="D258" s="16"/>
    </row>
    <row r="259" spans="1:4">
      <c r="A259" s="43"/>
      <c r="B259" s="16"/>
      <c r="C259" s="16"/>
      <c r="D259" s="16"/>
    </row>
    <row r="260" spans="1:4">
      <c r="A260" s="43"/>
      <c r="B260" s="16"/>
      <c r="C260" s="16"/>
      <c r="D260" s="16"/>
    </row>
    <row r="261" spans="1:4">
      <c r="A261" s="43"/>
      <c r="B261" s="16"/>
      <c r="C261" s="16"/>
      <c r="D261" s="16"/>
    </row>
    <row r="262" spans="1:4">
      <c r="A262" s="43"/>
      <c r="B262" s="16"/>
      <c r="C262" s="16"/>
      <c r="D262" s="16"/>
    </row>
    <row r="263" spans="1:4">
      <c r="A263" s="43"/>
      <c r="B263" s="16"/>
      <c r="C263" s="16"/>
      <c r="D263" s="16"/>
    </row>
    <row r="264" spans="1:4">
      <c r="A264" s="43"/>
      <c r="B264" s="16"/>
      <c r="C264" s="16"/>
      <c r="D264" s="16"/>
    </row>
    <row r="265" spans="1:4">
      <c r="A265" s="43"/>
      <c r="B265" s="16"/>
      <c r="C265" s="16"/>
      <c r="D265" s="16"/>
    </row>
    <row r="266" spans="1:4">
      <c r="A266" s="43"/>
      <c r="B266" s="16"/>
      <c r="C266" s="16"/>
      <c r="D266" s="16"/>
    </row>
    <row r="267" spans="1:4">
      <c r="A267" s="43"/>
      <c r="B267" s="16"/>
      <c r="C267" s="16"/>
      <c r="D267" s="16"/>
    </row>
    <row r="268" spans="1:4">
      <c r="A268" s="43"/>
      <c r="B268" s="16"/>
      <c r="C268" s="16"/>
      <c r="D268" s="16"/>
    </row>
    <row r="269" spans="1:4">
      <c r="A269" s="43"/>
      <c r="B269" s="16"/>
      <c r="C269" s="16"/>
      <c r="D269" s="16"/>
    </row>
    <row r="270" spans="1:4">
      <c r="A270" s="43"/>
      <c r="B270" s="16"/>
      <c r="C270" s="16"/>
      <c r="D270" s="16"/>
    </row>
    <row r="271" spans="1:4">
      <c r="A271" s="43"/>
      <c r="B271" s="16"/>
      <c r="C271" s="16"/>
      <c r="D271" s="16"/>
    </row>
    <row r="272" spans="1:4">
      <c r="A272" s="43"/>
      <c r="B272" s="16"/>
      <c r="C272" s="16"/>
      <c r="D272" s="16"/>
    </row>
    <row r="273" spans="1:4">
      <c r="A273" s="43"/>
      <c r="B273" s="16"/>
      <c r="C273" s="16"/>
      <c r="D273" s="16"/>
    </row>
    <row r="274" spans="1:4">
      <c r="A274" s="43"/>
      <c r="B274" s="16"/>
      <c r="C274" s="16"/>
      <c r="D274" s="16"/>
    </row>
    <row r="275" spans="1:4">
      <c r="A275" s="43"/>
      <c r="B275" s="16"/>
      <c r="C275" s="16"/>
      <c r="D275" s="16"/>
    </row>
    <row r="276" spans="1:4">
      <c r="A276" s="43"/>
      <c r="B276" s="16"/>
      <c r="C276" s="16"/>
      <c r="D276" s="16"/>
    </row>
    <row r="277" spans="1:4">
      <c r="A277" s="43"/>
      <c r="B277" s="16"/>
      <c r="C277" s="16"/>
      <c r="D277" s="16"/>
    </row>
    <row r="278" spans="1:4">
      <c r="A278" s="43"/>
      <c r="B278" s="16"/>
      <c r="C278" s="16"/>
      <c r="D278" s="16"/>
    </row>
    <row r="279" spans="1:4">
      <c r="A279" s="43"/>
      <c r="B279" s="16"/>
      <c r="C279" s="16"/>
      <c r="D279" s="16"/>
    </row>
    <row r="280" spans="1:4">
      <c r="A280" s="43"/>
      <c r="B280" s="16"/>
      <c r="C280" s="16"/>
      <c r="D280" s="16"/>
    </row>
    <row r="281" spans="1:4">
      <c r="A281" s="43"/>
      <c r="B281" s="16"/>
      <c r="C281" s="16"/>
      <c r="D281" s="16"/>
    </row>
    <row r="282" spans="1:4">
      <c r="A282" s="43"/>
      <c r="B282" s="16"/>
      <c r="C282" s="16"/>
      <c r="D282" s="16"/>
    </row>
    <row r="283" spans="1:4">
      <c r="A283" s="43"/>
      <c r="B283" s="16"/>
      <c r="C283" s="16"/>
      <c r="D283" s="16"/>
    </row>
    <row r="284" spans="1:4">
      <c r="A284" s="43"/>
      <c r="B284" s="16"/>
      <c r="C284" s="16"/>
      <c r="D284" s="16"/>
    </row>
    <row r="285" spans="1:4">
      <c r="A285" s="43"/>
      <c r="B285" s="16"/>
      <c r="C285" s="16"/>
      <c r="D285" s="16"/>
    </row>
    <row r="286" spans="1:4">
      <c r="A286" s="43"/>
      <c r="B286" s="16"/>
      <c r="C286" s="16"/>
      <c r="D286" s="16"/>
    </row>
    <row r="287" spans="1:4">
      <c r="A287" s="43"/>
      <c r="B287" s="16"/>
      <c r="C287" s="16"/>
      <c r="D287" s="16"/>
    </row>
    <row r="288" spans="1:4">
      <c r="A288" s="43"/>
      <c r="B288" s="16"/>
      <c r="C288" s="16"/>
      <c r="D288" s="16"/>
    </row>
    <row r="289" spans="1:4">
      <c r="A289" s="43"/>
      <c r="B289" s="16"/>
      <c r="C289" s="16"/>
      <c r="D289" s="16"/>
    </row>
    <row r="290" spans="1:4">
      <c r="A290" s="43"/>
      <c r="B290" s="16"/>
      <c r="C290" s="16"/>
      <c r="D290" s="16"/>
    </row>
    <row r="291" spans="1:4">
      <c r="A291" s="43"/>
      <c r="B291" s="16"/>
      <c r="C291" s="16"/>
      <c r="D291" s="16"/>
    </row>
    <row r="292" spans="1:4">
      <c r="A292" s="43"/>
      <c r="B292" s="16"/>
      <c r="C292" s="16"/>
      <c r="D292" s="16"/>
    </row>
    <row r="293" spans="1:4">
      <c r="A293" s="43"/>
      <c r="B293" s="16"/>
      <c r="C293" s="16"/>
      <c r="D293" s="16"/>
    </row>
    <row r="294" spans="1:4">
      <c r="A294" s="43"/>
      <c r="B294" s="16"/>
      <c r="C294" s="16"/>
      <c r="D294" s="16"/>
    </row>
    <row r="295" spans="1:4">
      <c r="A295" s="43"/>
      <c r="B295" s="16"/>
      <c r="C295" s="16"/>
      <c r="D295" s="16"/>
    </row>
    <row r="296" spans="1:4">
      <c r="A296" s="43"/>
      <c r="B296" s="16"/>
      <c r="C296" s="16"/>
      <c r="D296" s="16"/>
    </row>
    <row r="297" spans="1:4">
      <c r="A297" s="43"/>
      <c r="B297" s="16"/>
      <c r="C297" s="16"/>
      <c r="D297" s="16"/>
    </row>
    <row r="298" spans="1:4">
      <c r="A298" s="43"/>
      <c r="B298" s="16"/>
      <c r="C298" s="16"/>
      <c r="D298" s="16"/>
    </row>
    <row r="299" spans="1:4">
      <c r="A299" s="43"/>
      <c r="B299" s="16"/>
      <c r="C299" s="16"/>
      <c r="D299" s="16"/>
    </row>
    <row r="300" spans="1:4">
      <c r="A300" s="43"/>
      <c r="B300" s="16"/>
      <c r="C300" s="16"/>
      <c r="D300" s="16"/>
    </row>
    <row r="301" spans="1:4">
      <c r="A301" s="43"/>
      <c r="B301" s="16"/>
      <c r="C301" s="16"/>
      <c r="D301" s="16"/>
    </row>
    <row r="302" spans="1:4">
      <c r="A302" s="43"/>
      <c r="B302" s="16"/>
      <c r="C302" s="16"/>
      <c r="D302" s="16"/>
    </row>
    <row r="303" spans="1:4">
      <c r="A303" s="43"/>
      <c r="B303" s="16"/>
      <c r="C303" s="16"/>
      <c r="D303" s="16"/>
    </row>
    <row r="304" spans="1:4">
      <c r="A304" s="43"/>
      <c r="B304" s="16"/>
      <c r="C304" s="16"/>
      <c r="D304" s="16"/>
    </row>
    <row r="305" spans="1:4">
      <c r="A305" s="43"/>
      <c r="B305" s="16"/>
      <c r="C305" s="16"/>
      <c r="D305" s="16"/>
    </row>
    <row r="306" spans="1:4">
      <c r="A306" s="43"/>
      <c r="B306" s="16"/>
      <c r="C306" s="16"/>
      <c r="D306" s="16"/>
    </row>
    <row r="307" spans="1:4">
      <c r="A307" s="43"/>
      <c r="B307" s="16"/>
      <c r="C307" s="16"/>
      <c r="D307" s="16"/>
    </row>
    <row r="308" spans="1:4">
      <c r="A308" s="43"/>
      <c r="B308" s="16"/>
      <c r="C308" s="16"/>
      <c r="D308" s="16"/>
    </row>
    <row r="309" spans="1:4">
      <c r="A309" s="43"/>
      <c r="B309" s="16"/>
      <c r="C309" s="16"/>
      <c r="D309" s="16"/>
    </row>
    <row r="310" spans="1:4">
      <c r="A310" s="43"/>
      <c r="B310" s="16"/>
      <c r="C310" s="16"/>
      <c r="D310" s="16"/>
    </row>
    <row r="311" spans="1:4">
      <c r="A311" s="43"/>
      <c r="B311" s="16"/>
      <c r="C311" s="16"/>
      <c r="D311" s="16"/>
    </row>
    <row r="312" spans="1:4">
      <c r="A312" s="43"/>
      <c r="B312" s="16"/>
      <c r="C312" s="16"/>
      <c r="D312" s="16"/>
    </row>
    <row r="313" spans="1:4">
      <c r="A313" s="43"/>
      <c r="B313" s="16"/>
      <c r="C313" s="16"/>
      <c r="D313" s="16"/>
    </row>
    <row r="314" spans="1:4">
      <c r="A314" s="43"/>
      <c r="B314" s="16"/>
      <c r="C314" s="16"/>
      <c r="D314" s="16"/>
    </row>
    <row r="315" spans="1:4">
      <c r="A315" s="43"/>
      <c r="B315" s="16"/>
      <c r="C315" s="16"/>
      <c r="D315" s="16"/>
    </row>
    <row r="316" spans="1:4">
      <c r="A316" s="43"/>
      <c r="B316" s="16"/>
      <c r="C316" s="16"/>
      <c r="D316" s="16"/>
    </row>
    <row r="317" spans="1:4">
      <c r="A317" s="43"/>
      <c r="B317" s="16"/>
      <c r="C317" s="16"/>
      <c r="D317" s="16"/>
    </row>
    <row r="318" spans="1:4">
      <c r="A318" s="43"/>
      <c r="B318" s="16"/>
      <c r="C318" s="16"/>
      <c r="D318" s="16"/>
    </row>
    <row r="319" spans="1:4">
      <c r="A319" s="43"/>
      <c r="B319" s="16"/>
      <c r="C319" s="16"/>
      <c r="D319" s="16"/>
    </row>
    <row r="320" spans="1:4">
      <c r="A320" s="43"/>
      <c r="B320" s="16"/>
      <c r="C320" s="16"/>
      <c r="D320" s="16"/>
    </row>
    <row r="321" spans="1:4">
      <c r="A321" s="43"/>
      <c r="B321" s="16"/>
      <c r="C321" s="16"/>
      <c r="D321" s="16"/>
    </row>
    <row r="322" spans="1:4">
      <c r="A322" s="43"/>
      <c r="B322" s="16"/>
      <c r="C322" s="16"/>
      <c r="D322" s="16"/>
    </row>
    <row r="323" spans="1:4">
      <c r="A323" s="43"/>
      <c r="B323" s="16"/>
      <c r="C323" s="16"/>
      <c r="D323" s="16"/>
    </row>
    <row r="324" spans="1:4">
      <c r="A324" s="43"/>
      <c r="B324" s="16"/>
      <c r="C324" s="16"/>
      <c r="D324" s="16"/>
    </row>
    <row r="325" spans="1:4">
      <c r="A325" s="43"/>
      <c r="B325" s="16"/>
      <c r="C325" s="16"/>
      <c r="D325" s="16"/>
    </row>
    <row r="326" spans="1:4">
      <c r="A326" s="43"/>
      <c r="B326" s="16"/>
      <c r="C326" s="16"/>
      <c r="D326" s="16"/>
    </row>
    <row r="327" spans="1:4">
      <c r="A327" s="43"/>
      <c r="B327" s="16"/>
      <c r="C327" s="16"/>
      <c r="D327" s="16"/>
    </row>
    <row r="328" spans="1:4">
      <c r="A328" s="43"/>
      <c r="B328" s="16"/>
      <c r="C328" s="16"/>
      <c r="D328" s="16"/>
    </row>
    <row r="329" spans="1:4">
      <c r="A329" s="43"/>
      <c r="B329" s="16"/>
      <c r="C329" s="16"/>
      <c r="D329" s="16"/>
    </row>
    <row r="330" spans="1:4">
      <c r="A330" s="43"/>
      <c r="B330" s="16"/>
      <c r="C330" s="16"/>
      <c r="D330" s="16"/>
    </row>
    <row r="331" spans="1:4">
      <c r="A331" s="43"/>
      <c r="B331" s="16"/>
      <c r="C331" s="16"/>
      <c r="D331" s="16"/>
    </row>
    <row r="332" spans="1:4">
      <c r="A332" s="43"/>
      <c r="B332" s="16"/>
      <c r="C332" s="16"/>
      <c r="D332" s="16"/>
    </row>
    <row r="333" spans="1:4">
      <c r="A333" s="43"/>
      <c r="B333" s="16"/>
      <c r="C333" s="16"/>
      <c r="D333" s="16"/>
    </row>
    <row r="334" spans="1:4">
      <c r="A334" s="43"/>
      <c r="B334" s="16"/>
      <c r="C334" s="16"/>
      <c r="D334" s="16"/>
    </row>
    <row r="335" spans="1:4">
      <c r="A335" s="43"/>
      <c r="B335" s="16"/>
      <c r="C335" s="16"/>
      <c r="D335" s="16"/>
    </row>
    <row r="336" spans="1:4">
      <c r="A336" s="43"/>
      <c r="B336" s="16"/>
      <c r="C336" s="16"/>
      <c r="D336" s="16"/>
    </row>
    <row r="337" spans="1:4">
      <c r="A337" s="43"/>
      <c r="B337" s="16"/>
      <c r="C337" s="16"/>
      <c r="D337" s="16"/>
    </row>
    <row r="338" spans="1:4">
      <c r="A338" s="43"/>
      <c r="B338" s="16"/>
      <c r="C338" s="16"/>
      <c r="D338" s="16"/>
    </row>
    <row r="339" spans="1:4">
      <c r="A339" s="43"/>
      <c r="B339" s="16"/>
      <c r="C339" s="16"/>
      <c r="D339" s="16"/>
    </row>
    <row r="340" spans="1:4">
      <c r="A340" s="43"/>
      <c r="B340" s="16"/>
      <c r="C340" s="16"/>
      <c r="D340" s="16"/>
    </row>
    <row r="341" spans="1:4">
      <c r="A341" s="43"/>
      <c r="B341" s="16"/>
      <c r="C341" s="16"/>
      <c r="D341" s="16"/>
    </row>
    <row r="342" spans="1:4">
      <c r="A342" s="43"/>
      <c r="B342" s="16"/>
      <c r="C342" s="16"/>
      <c r="D342" s="16"/>
    </row>
    <row r="343" spans="1:4">
      <c r="A343" s="43"/>
      <c r="B343" s="16"/>
      <c r="C343" s="16"/>
      <c r="D343" s="16"/>
    </row>
    <row r="344" spans="1:4">
      <c r="A344" s="43"/>
      <c r="B344" s="16"/>
      <c r="C344" s="16"/>
      <c r="D344" s="16"/>
    </row>
    <row r="345" spans="1:4">
      <c r="A345" s="43"/>
      <c r="B345" s="16"/>
      <c r="C345" s="16"/>
      <c r="D345" s="16"/>
    </row>
    <row r="346" spans="1:4">
      <c r="A346" s="43"/>
      <c r="B346" s="16"/>
      <c r="C346" s="16"/>
      <c r="D346" s="16"/>
    </row>
    <row r="347" spans="1:4">
      <c r="A347" s="43"/>
      <c r="B347" s="16"/>
      <c r="C347" s="16"/>
      <c r="D347" s="16"/>
    </row>
    <row r="348" spans="1:4">
      <c r="A348" s="43"/>
      <c r="B348" s="16"/>
      <c r="C348" s="16"/>
      <c r="D348" s="16"/>
    </row>
    <row r="349" spans="1:4">
      <c r="A349" s="43"/>
      <c r="B349" s="16"/>
      <c r="C349" s="16"/>
      <c r="D349" s="16"/>
    </row>
    <row r="350" spans="1:4">
      <c r="A350" s="43"/>
      <c r="B350" s="16"/>
      <c r="C350" s="16"/>
      <c r="D350" s="16"/>
    </row>
    <row r="351" spans="1:4">
      <c r="A351" s="43"/>
      <c r="B351" s="16"/>
      <c r="C351" s="16"/>
      <c r="D351" s="16"/>
    </row>
    <row r="352" spans="1:4">
      <c r="A352" s="43"/>
      <c r="B352" s="16"/>
      <c r="C352" s="16"/>
      <c r="D352" s="16"/>
    </row>
    <row r="353" spans="1:4">
      <c r="A353" s="43"/>
      <c r="B353" s="16"/>
      <c r="C353" s="16"/>
      <c r="D353" s="16"/>
    </row>
    <row r="354" spans="1:4">
      <c r="A354" s="43"/>
      <c r="B354" s="16"/>
      <c r="C354" s="16"/>
      <c r="D354" s="16"/>
    </row>
    <row r="355" spans="1:4">
      <c r="A355" s="43"/>
      <c r="B355" s="16"/>
      <c r="C355" s="16"/>
      <c r="D355" s="16"/>
    </row>
    <row r="356" spans="1:4">
      <c r="A356" s="43"/>
      <c r="B356" s="16"/>
      <c r="C356" s="16"/>
      <c r="D356" s="16"/>
    </row>
    <row r="357" spans="1:4">
      <c r="A357" s="43"/>
      <c r="B357" s="16"/>
      <c r="C357" s="16"/>
      <c r="D357" s="16"/>
    </row>
    <row r="358" spans="1:4">
      <c r="A358" s="43"/>
      <c r="B358" s="16"/>
      <c r="C358" s="16"/>
      <c r="D358" s="16"/>
    </row>
    <row r="359" spans="1:4">
      <c r="A359" s="43"/>
      <c r="B359" s="16"/>
      <c r="C359" s="16"/>
      <c r="D359" s="16"/>
    </row>
    <row r="360" spans="1:4">
      <c r="A360" s="43"/>
      <c r="B360" s="16"/>
      <c r="C360" s="16"/>
      <c r="D360" s="16"/>
    </row>
    <row r="361" spans="1:4">
      <c r="A361" s="43"/>
      <c r="B361" s="16"/>
      <c r="C361" s="16"/>
      <c r="D361" s="16"/>
    </row>
    <row r="362" spans="1:4">
      <c r="A362" s="43"/>
      <c r="B362" s="16"/>
      <c r="C362" s="16"/>
      <c r="D362" s="16"/>
    </row>
    <row r="363" spans="1:4">
      <c r="A363" s="43"/>
      <c r="B363" s="16"/>
      <c r="C363" s="16"/>
      <c r="D363" s="16"/>
    </row>
    <row r="364" spans="1:4">
      <c r="A364" s="43"/>
      <c r="B364" s="16"/>
      <c r="C364" s="16"/>
      <c r="D364" s="16"/>
    </row>
    <row r="365" spans="1:4">
      <c r="A365" s="43"/>
      <c r="B365" s="16"/>
      <c r="C365" s="16"/>
      <c r="D365" s="16"/>
    </row>
    <row r="366" spans="1:4">
      <c r="A366" s="43"/>
      <c r="B366" s="16"/>
      <c r="C366" s="16"/>
      <c r="D366" s="16"/>
    </row>
    <row r="367" spans="1:4">
      <c r="A367" s="43"/>
      <c r="B367" s="16"/>
      <c r="C367" s="16"/>
      <c r="D367" s="16"/>
    </row>
    <row r="368" spans="1:4">
      <c r="A368" s="43"/>
      <c r="B368" s="16"/>
      <c r="C368" s="16"/>
      <c r="D368" s="16"/>
    </row>
    <row r="369" spans="1:4">
      <c r="A369" s="43"/>
      <c r="B369" s="16"/>
      <c r="C369" s="16"/>
      <c r="D369" s="16"/>
    </row>
    <row r="370" spans="1:4">
      <c r="A370" s="43"/>
      <c r="B370" s="16"/>
      <c r="C370" s="16"/>
      <c r="D370" s="16"/>
    </row>
    <row r="371" spans="1:4">
      <c r="A371" s="43"/>
      <c r="B371" s="16"/>
      <c r="C371" s="16"/>
      <c r="D371" s="16"/>
    </row>
    <row r="372" spans="1:4">
      <c r="A372" s="43"/>
      <c r="B372" s="16"/>
      <c r="C372" s="16"/>
      <c r="D372" s="16"/>
    </row>
    <row r="373" spans="1:4">
      <c r="A373" s="43"/>
      <c r="B373" s="16"/>
      <c r="C373" s="16"/>
      <c r="D373" s="16"/>
    </row>
    <row r="374" spans="1:4">
      <c r="A374" s="43"/>
      <c r="B374" s="16"/>
      <c r="C374" s="16"/>
      <c r="D374" s="16"/>
    </row>
    <row r="375" spans="1:4">
      <c r="A375" s="43"/>
      <c r="B375" s="16"/>
      <c r="C375" s="16"/>
      <c r="D375" s="16"/>
    </row>
    <row r="376" spans="1:4">
      <c r="A376" s="43"/>
      <c r="B376" s="16"/>
      <c r="C376" s="16"/>
      <c r="D376" s="16"/>
    </row>
    <row r="377" spans="1:4">
      <c r="A377" s="43"/>
      <c r="B377" s="16"/>
      <c r="C377" s="16"/>
      <c r="D377" s="16"/>
    </row>
    <row r="378" spans="1:4">
      <c r="A378" s="43"/>
      <c r="B378" s="16"/>
      <c r="C378" s="16"/>
      <c r="D378" s="16"/>
    </row>
    <row r="379" spans="1:4">
      <c r="A379" s="43"/>
      <c r="B379" s="16"/>
      <c r="C379" s="16"/>
      <c r="D379" s="16"/>
    </row>
    <row r="380" spans="1:4">
      <c r="A380" s="43"/>
      <c r="B380" s="16"/>
      <c r="C380" s="16"/>
      <c r="D380" s="16"/>
    </row>
    <row r="381" spans="1:4">
      <c r="A381" s="43"/>
      <c r="B381" s="16"/>
      <c r="C381" s="16"/>
      <c r="D381" s="16"/>
    </row>
    <row r="382" spans="1:4">
      <c r="A382" s="43"/>
      <c r="B382" s="16"/>
      <c r="C382" s="16"/>
      <c r="D382" s="16"/>
    </row>
    <row r="383" spans="1:4">
      <c r="A383" s="43"/>
      <c r="B383" s="16"/>
      <c r="C383" s="16"/>
      <c r="D383" s="16"/>
    </row>
    <row r="384" spans="1:4">
      <c r="A384" s="43"/>
      <c r="B384" s="16"/>
      <c r="C384" s="16"/>
      <c r="D384" s="16"/>
    </row>
    <row r="385" spans="1:4">
      <c r="A385" s="43"/>
      <c r="B385" s="16"/>
      <c r="C385" s="16"/>
      <c r="D385" s="16"/>
    </row>
    <row r="386" spans="1:4">
      <c r="A386" s="43"/>
      <c r="B386" s="16"/>
      <c r="C386" s="16"/>
      <c r="D386" s="16"/>
    </row>
    <row r="387" spans="1:4">
      <c r="A387" s="43"/>
      <c r="B387" s="16"/>
      <c r="C387" s="16"/>
      <c r="D387" s="16"/>
    </row>
    <row r="388" spans="1:4">
      <c r="A388" s="43"/>
      <c r="B388" s="16"/>
      <c r="C388" s="16"/>
      <c r="D388" s="16"/>
    </row>
    <row r="389" spans="1:4">
      <c r="A389" s="43"/>
      <c r="B389" s="16"/>
      <c r="C389" s="16"/>
      <c r="D389" s="16"/>
    </row>
    <row r="390" spans="1:4">
      <c r="A390" s="43"/>
      <c r="B390" s="16"/>
      <c r="C390" s="16"/>
      <c r="D390" s="16"/>
    </row>
    <row r="391" spans="1:4">
      <c r="A391" s="43"/>
      <c r="B391" s="16"/>
      <c r="C391" s="16"/>
      <c r="D391" s="16"/>
    </row>
    <row r="392" spans="1:4">
      <c r="A392" s="43"/>
      <c r="B392" s="16"/>
      <c r="C392" s="16"/>
      <c r="D392" s="16"/>
    </row>
    <row r="393" spans="1:4">
      <c r="A393" s="43"/>
      <c r="B393" s="16"/>
      <c r="C393" s="16"/>
      <c r="D393" s="16"/>
    </row>
    <row r="394" spans="1:4">
      <c r="A394" s="43"/>
      <c r="B394" s="16"/>
      <c r="C394" s="16"/>
      <c r="D394" s="16"/>
    </row>
    <row r="395" spans="1:4">
      <c r="A395" s="43"/>
      <c r="B395" s="16"/>
      <c r="C395" s="16"/>
      <c r="D395" s="16"/>
    </row>
    <row r="396" spans="1:4">
      <c r="A396" s="43"/>
      <c r="B396" s="16"/>
      <c r="C396" s="16"/>
      <c r="D396" s="16"/>
    </row>
    <row r="397" spans="1:4">
      <c r="A397" s="43"/>
      <c r="B397" s="16"/>
      <c r="C397" s="16"/>
      <c r="D397" s="16"/>
    </row>
    <row r="398" spans="1:4">
      <c r="A398" s="43"/>
      <c r="B398" s="16"/>
      <c r="C398" s="16"/>
      <c r="D398" s="16"/>
    </row>
    <row r="399" spans="1:4">
      <c r="A399" s="43"/>
      <c r="B399" s="16"/>
      <c r="C399" s="16"/>
      <c r="D399" s="16"/>
    </row>
    <row r="400" spans="1:4">
      <c r="A400" s="43"/>
      <c r="B400" s="16"/>
      <c r="C400" s="16"/>
      <c r="D400" s="16"/>
    </row>
    <row r="401" spans="1:4">
      <c r="A401" s="43"/>
      <c r="B401" s="16"/>
      <c r="C401" s="16"/>
      <c r="D401" s="16"/>
    </row>
    <row r="402" spans="1:4">
      <c r="A402" s="43"/>
      <c r="B402" s="16"/>
      <c r="C402" s="16"/>
      <c r="D402" s="16"/>
    </row>
    <row r="403" spans="1:4">
      <c r="A403" s="43"/>
      <c r="B403" s="16"/>
      <c r="C403" s="16"/>
      <c r="D403" s="16"/>
    </row>
    <row r="404" spans="1:4">
      <c r="A404" s="43"/>
      <c r="B404" s="16"/>
      <c r="C404" s="16"/>
      <c r="D404" s="16"/>
    </row>
    <row r="405" spans="1:4">
      <c r="A405" s="43"/>
      <c r="B405" s="16"/>
      <c r="C405" s="16"/>
      <c r="D405" s="16"/>
    </row>
    <row r="406" spans="1:4">
      <c r="A406" s="43"/>
      <c r="B406" s="16"/>
      <c r="C406" s="16"/>
      <c r="D406" s="16"/>
    </row>
    <row r="407" spans="1:4">
      <c r="A407" s="43"/>
      <c r="B407" s="16"/>
      <c r="C407" s="16"/>
      <c r="D407" s="16"/>
    </row>
    <row r="408" spans="1:4">
      <c r="A408" s="43"/>
      <c r="B408" s="16"/>
      <c r="C408" s="16"/>
      <c r="D408" s="16"/>
    </row>
    <row r="409" spans="1:4">
      <c r="A409" s="43"/>
      <c r="B409" s="16"/>
      <c r="C409" s="16"/>
      <c r="D409" s="16"/>
    </row>
    <row r="410" spans="1:4">
      <c r="A410" s="43"/>
      <c r="B410" s="16"/>
      <c r="C410" s="16"/>
      <c r="D410" s="16"/>
    </row>
    <row r="411" spans="1:4">
      <c r="A411" s="43"/>
      <c r="B411" s="16"/>
      <c r="C411" s="16"/>
      <c r="D411" s="16"/>
    </row>
    <row r="412" spans="1:4">
      <c r="A412" s="43"/>
      <c r="B412" s="16"/>
      <c r="C412" s="16"/>
      <c r="D412" s="16"/>
    </row>
    <row r="413" spans="1:4">
      <c r="A413" s="43"/>
      <c r="B413" s="16"/>
      <c r="C413" s="16"/>
      <c r="D413" s="16"/>
    </row>
    <row r="414" spans="1:4">
      <c r="A414" s="43"/>
      <c r="B414" s="16"/>
      <c r="C414" s="16"/>
      <c r="D414" s="16"/>
    </row>
    <row r="415" spans="1:4">
      <c r="A415" s="43"/>
      <c r="B415" s="16"/>
      <c r="C415" s="16"/>
      <c r="D415" s="16"/>
    </row>
    <row r="416" spans="1:4">
      <c r="A416" s="43"/>
      <c r="B416" s="16"/>
      <c r="C416" s="16"/>
      <c r="D416" s="16"/>
    </row>
    <row r="417" spans="1:4">
      <c r="A417" s="43"/>
      <c r="B417" s="16"/>
      <c r="C417" s="16"/>
      <c r="D417" s="16"/>
    </row>
    <row r="418" spans="1:4">
      <c r="A418" s="43"/>
      <c r="B418" s="16"/>
      <c r="C418" s="16"/>
      <c r="D418" s="16"/>
    </row>
    <row r="419" spans="1:4">
      <c r="A419" s="43"/>
      <c r="B419" s="16"/>
      <c r="C419" s="16"/>
      <c r="D419" s="16"/>
    </row>
    <row r="420" spans="1:4">
      <c r="A420" s="43"/>
      <c r="B420" s="16"/>
      <c r="C420" s="16"/>
      <c r="D420" s="16"/>
    </row>
    <row r="421" spans="1:4">
      <c r="A421" s="43"/>
      <c r="B421" s="16"/>
      <c r="C421" s="16"/>
      <c r="D421" s="16"/>
    </row>
    <row r="422" spans="1:4">
      <c r="A422" s="43"/>
      <c r="B422" s="16"/>
      <c r="C422" s="16"/>
      <c r="D422" s="16"/>
    </row>
    <row r="423" spans="1:4">
      <c r="A423" s="43"/>
      <c r="B423" s="16"/>
      <c r="C423" s="16"/>
      <c r="D423" s="16"/>
    </row>
    <row r="424" spans="1:4">
      <c r="A424" s="43"/>
      <c r="B424" s="16"/>
      <c r="C424" s="16"/>
      <c r="D424" s="16"/>
    </row>
    <row r="425" spans="1:4">
      <c r="A425" s="43"/>
      <c r="B425" s="16"/>
      <c r="C425" s="16"/>
      <c r="D425" s="16"/>
    </row>
    <row r="426" spans="1:4">
      <c r="A426" s="43"/>
      <c r="B426" s="16"/>
      <c r="C426" s="16"/>
      <c r="D426" s="16"/>
    </row>
    <row r="427" spans="1:4">
      <c r="A427" s="43"/>
      <c r="B427" s="16"/>
      <c r="C427" s="16"/>
      <c r="D427" s="16"/>
    </row>
    <row r="428" spans="1:4">
      <c r="A428" s="43"/>
      <c r="B428" s="16"/>
      <c r="C428" s="16"/>
      <c r="D428" s="16"/>
    </row>
    <row r="429" spans="1:4">
      <c r="A429" s="43"/>
      <c r="B429" s="16"/>
      <c r="C429" s="16"/>
      <c r="D429" s="16"/>
    </row>
    <row r="430" spans="1:4">
      <c r="A430" s="43"/>
      <c r="B430" s="16"/>
      <c r="C430" s="16"/>
      <c r="D430" s="16"/>
    </row>
    <row r="431" spans="1:4">
      <c r="A431" s="43"/>
      <c r="B431" s="16"/>
      <c r="C431" s="16"/>
      <c r="D431" s="16"/>
    </row>
    <row r="432" spans="1:4">
      <c r="A432" s="43"/>
      <c r="B432" s="16"/>
      <c r="C432" s="16"/>
      <c r="D432" s="16"/>
    </row>
    <row r="433" spans="1:4">
      <c r="A433" s="43"/>
      <c r="B433" s="16"/>
      <c r="C433" s="16"/>
      <c r="D433" s="16"/>
    </row>
    <row r="434" spans="1:4">
      <c r="A434" s="43"/>
      <c r="B434" s="16"/>
      <c r="C434" s="16"/>
      <c r="D434" s="16"/>
    </row>
    <row r="435" spans="1:4">
      <c r="A435" s="43"/>
      <c r="B435" s="16"/>
      <c r="C435" s="16"/>
      <c r="D435" s="16"/>
    </row>
    <row r="436" spans="1:4">
      <c r="A436" s="43"/>
      <c r="B436" s="16"/>
      <c r="C436" s="16"/>
      <c r="D436" s="16"/>
    </row>
    <row r="437" spans="1:4">
      <c r="A437" s="43"/>
      <c r="B437" s="16"/>
      <c r="C437" s="16"/>
      <c r="D437" s="16"/>
    </row>
    <row r="438" spans="1:4">
      <c r="A438" s="43"/>
      <c r="B438" s="16"/>
      <c r="C438" s="16"/>
      <c r="D438" s="16"/>
    </row>
    <row r="439" spans="1:4">
      <c r="A439" s="43"/>
      <c r="B439" s="16"/>
      <c r="C439" s="16"/>
      <c r="D439" s="16"/>
    </row>
    <row r="440" spans="1:4">
      <c r="A440" s="43"/>
      <c r="B440" s="16"/>
      <c r="C440" s="16"/>
      <c r="D440" s="16"/>
    </row>
    <row r="441" spans="1:4">
      <c r="A441" s="43"/>
      <c r="B441" s="16"/>
      <c r="C441" s="16"/>
      <c r="D441" s="16"/>
    </row>
    <row r="442" spans="1:4">
      <c r="A442" s="43"/>
      <c r="B442" s="16"/>
      <c r="C442" s="16"/>
      <c r="D442" s="16"/>
    </row>
    <row r="443" spans="1:4">
      <c r="A443" s="43"/>
      <c r="B443" s="16"/>
      <c r="C443" s="16"/>
      <c r="D443" s="16"/>
    </row>
    <row r="444" spans="1:4">
      <c r="A444" s="43"/>
      <c r="B444" s="16"/>
      <c r="C444" s="16"/>
      <c r="D444" s="16"/>
    </row>
    <row r="445" spans="1:4">
      <c r="A445" s="43"/>
      <c r="B445" s="16"/>
      <c r="C445" s="16"/>
      <c r="D445" s="16"/>
    </row>
    <row r="446" spans="1:4">
      <c r="A446" s="43"/>
      <c r="B446" s="16"/>
      <c r="C446" s="16"/>
      <c r="D446" s="16"/>
    </row>
    <row r="447" spans="1:4">
      <c r="A447" s="43"/>
      <c r="B447" s="16"/>
      <c r="C447" s="16"/>
      <c r="D447" s="16"/>
    </row>
    <row r="448" spans="1:4">
      <c r="A448" s="43"/>
      <c r="B448" s="16"/>
      <c r="C448" s="16"/>
      <c r="D448" s="16"/>
    </row>
    <row r="449" spans="1:4">
      <c r="A449" s="43"/>
      <c r="B449" s="16"/>
      <c r="C449" s="16"/>
      <c r="D449" s="16"/>
    </row>
    <row r="450" spans="1:4">
      <c r="A450" s="43"/>
      <c r="B450" s="16"/>
      <c r="C450" s="16"/>
      <c r="D450" s="16"/>
    </row>
    <row r="451" spans="1:4">
      <c r="A451" s="43"/>
      <c r="B451" s="16"/>
      <c r="C451" s="16"/>
      <c r="D451" s="16"/>
    </row>
    <row r="452" spans="1:4">
      <c r="A452" s="43"/>
      <c r="B452" s="16"/>
      <c r="C452" s="16"/>
      <c r="D452" s="16"/>
    </row>
    <row r="453" spans="1:4">
      <c r="A453" s="43"/>
      <c r="B453" s="16"/>
      <c r="C453" s="16"/>
      <c r="D453" s="16"/>
    </row>
    <row r="454" spans="1:4">
      <c r="A454" s="43"/>
      <c r="B454" s="16"/>
      <c r="C454" s="16"/>
      <c r="D454" s="16"/>
    </row>
    <row r="455" spans="1:4">
      <c r="A455" s="43"/>
      <c r="B455" s="16"/>
      <c r="C455" s="16"/>
      <c r="D455" s="16"/>
    </row>
    <row r="456" spans="1:4">
      <c r="A456" s="43"/>
      <c r="B456" s="16"/>
      <c r="C456" s="16"/>
      <c r="D456" s="16"/>
    </row>
    <row r="457" spans="1:4">
      <c r="A457" s="43"/>
      <c r="B457" s="16"/>
      <c r="C457" s="16"/>
      <c r="D457" s="16"/>
    </row>
    <row r="458" spans="1:4">
      <c r="A458" s="43"/>
      <c r="B458" s="16"/>
      <c r="C458" s="16"/>
      <c r="D458" s="16"/>
    </row>
    <row r="459" spans="1:4">
      <c r="A459" s="43"/>
      <c r="B459" s="16"/>
      <c r="C459" s="16"/>
      <c r="D459" s="16"/>
    </row>
    <row r="460" spans="1:4">
      <c r="A460" s="43"/>
      <c r="B460" s="16"/>
      <c r="C460" s="16"/>
      <c r="D460" s="16"/>
    </row>
    <row r="461" spans="1:4">
      <c r="A461" s="43"/>
      <c r="B461" s="16"/>
      <c r="C461" s="16"/>
      <c r="D461" s="16"/>
    </row>
    <row r="462" spans="1:4">
      <c r="A462" s="43"/>
      <c r="B462" s="16"/>
      <c r="C462" s="16"/>
      <c r="D462" s="16"/>
    </row>
    <row r="463" spans="1:4">
      <c r="A463" s="43"/>
      <c r="B463" s="16"/>
      <c r="C463" s="16"/>
      <c r="D463" s="16"/>
    </row>
    <row r="464" spans="1:4">
      <c r="A464" s="43"/>
      <c r="B464" s="16"/>
      <c r="C464" s="16"/>
      <c r="D464" s="16"/>
    </row>
    <row r="465" spans="1:4">
      <c r="A465" s="43"/>
      <c r="B465" s="16"/>
      <c r="C465" s="16"/>
      <c r="D465" s="16"/>
    </row>
    <row r="466" spans="1:4">
      <c r="A466" s="43"/>
      <c r="B466" s="16"/>
      <c r="C466" s="16"/>
      <c r="D466" s="16"/>
    </row>
    <row r="467" spans="1:4">
      <c r="A467" s="43"/>
      <c r="B467" s="16"/>
      <c r="C467" s="16"/>
      <c r="D467" s="16"/>
    </row>
    <row r="468" spans="1:4">
      <c r="A468" s="43"/>
      <c r="B468" s="16"/>
      <c r="C468" s="16"/>
      <c r="D468" s="16"/>
    </row>
    <row r="469" spans="1:4">
      <c r="A469" s="43"/>
      <c r="B469" s="16"/>
      <c r="C469" s="16"/>
      <c r="D469" s="16"/>
    </row>
    <row r="470" spans="1:4">
      <c r="A470" s="43"/>
      <c r="B470" s="16"/>
      <c r="C470" s="16"/>
      <c r="D470" s="16"/>
    </row>
    <row r="471" spans="1:4">
      <c r="A471" s="43"/>
      <c r="B471" s="16"/>
      <c r="C471" s="16"/>
      <c r="D471" s="16"/>
    </row>
    <row r="472" spans="1:4">
      <c r="A472" s="43"/>
      <c r="B472" s="16"/>
      <c r="C472" s="16"/>
      <c r="D472" s="16"/>
    </row>
    <row r="473" spans="1:4">
      <c r="A473" s="43"/>
      <c r="B473" s="16"/>
      <c r="C473" s="16"/>
      <c r="D473" s="16"/>
    </row>
    <row r="474" spans="1:4">
      <c r="A474" s="43"/>
      <c r="B474" s="16"/>
      <c r="C474" s="16"/>
      <c r="D474" s="16"/>
    </row>
    <row r="475" spans="1:4">
      <c r="A475" s="43"/>
      <c r="B475" s="16"/>
      <c r="C475" s="16"/>
      <c r="D475" s="16"/>
    </row>
    <row r="476" spans="1:4">
      <c r="A476" s="43"/>
      <c r="B476" s="16"/>
      <c r="C476" s="16"/>
      <c r="D476" s="16"/>
    </row>
    <row r="477" spans="1:4">
      <c r="A477" s="43"/>
      <c r="B477" s="16"/>
      <c r="C477" s="16"/>
      <c r="D477" s="16"/>
    </row>
    <row r="478" spans="1:4">
      <c r="A478" s="43"/>
      <c r="B478" s="16"/>
      <c r="C478" s="16"/>
      <c r="D478" s="16"/>
    </row>
    <row r="479" spans="1:4">
      <c r="A479" s="43"/>
      <c r="B479" s="16"/>
      <c r="C479" s="16"/>
      <c r="D479" s="16"/>
    </row>
    <row r="480" spans="1:4">
      <c r="A480" s="43"/>
      <c r="B480" s="16"/>
      <c r="C480" s="16"/>
      <c r="D480" s="16"/>
    </row>
    <row r="481" spans="1:4">
      <c r="A481" s="43"/>
      <c r="B481" s="16"/>
      <c r="C481" s="16"/>
      <c r="D481" s="16"/>
    </row>
    <row r="482" spans="1:4">
      <c r="A482" s="43"/>
      <c r="B482" s="16"/>
      <c r="C482" s="16"/>
      <c r="D482" s="16"/>
    </row>
    <row r="483" spans="1:4">
      <c r="A483" s="43"/>
      <c r="B483" s="16"/>
      <c r="C483" s="16"/>
      <c r="D483" s="16"/>
    </row>
    <row r="484" spans="1:4">
      <c r="A484" s="43"/>
      <c r="B484" s="16"/>
      <c r="C484" s="16"/>
      <c r="D484" s="16"/>
    </row>
    <row r="485" spans="1:4">
      <c r="A485" s="43"/>
      <c r="B485" s="16"/>
      <c r="C485" s="16"/>
      <c r="D485" s="16"/>
    </row>
    <row r="486" spans="1:4">
      <c r="A486" s="43"/>
      <c r="B486" s="16"/>
      <c r="C486" s="16"/>
      <c r="D486" s="16"/>
    </row>
    <row r="487" spans="1:4">
      <c r="A487" s="43"/>
      <c r="B487" s="16"/>
      <c r="C487" s="16"/>
      <c r="D487" s="16"/>
    </row>
    <row r="488" spans="1:4">
      <c r="A488" s="43"/>
      <c r="B488" s="16"/>
      <c r="C488" s="16"/>
      <c r="D488" s="16"/>
    </row>
    <row r="489" spans="1:4">
      <c r="A489" s="43"/>
      <c r="B489" s="16"/>
      <c r="C489" s="16"/>
      <c r="D489" s="16"/>
    </row>
    <row r="490" spans="1:4">
      <c r="A490" s="43"/>
      <c r="B490" s="16"/>
      <c r="C490" s="16"/>
      <c r="D490" s="16"/>
    </row>
    <row r="491" spans="1:4">
      <c r="A491" s="43"/>
      <c r="B491" s="16"/>
      <c r="C491" s="16"/>
      <c r="D491" s="16"/>
    </row>
    <row r="492" spans="1:4">
      <c r="A492" s="43"/>
      <c r="B492" s="16"/>
      <c r="C492" s="16"/>
      <c r="D492" s="16"/>
    </row>
  </sheetData>
  <autoFilter ref="C1:F193">
    <filterColumn colId="2"/>
  </autoFilter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21"/>
  <sheetViews>
    <sheetView workbookViewId="0">
      <pane ySplit="4" topLeftCell="A5" activePane="bottomLeft" state="frozen"/>
      <selection sqref="A1:D1048576"/>
      <selection pane="bottomLeft" activeCell="B11" sqref="B11"/>
    </sheetView>
  </sheetViews>
  <sheetFormatPr defaultRowHeight="16.5"/>
  <cols>
    <col min="1" max="1" width="28" bestFit="1" customWidth="1"/>
    <col min="2" max="2" width="48.25" bestFit="1" customWidth="1"/>
    <col min="3" max="3" width="11.875" bestFit="1" customWidth="1"/>
    <col min="4" max="4" width="5.125" customWidth="1"/>
    <col min="5" max="5" width="4" customWidth="1"/>
    <col min="6" max="7" width="5.125" customWidth="1"/>
    <col min="8" max="8" width="4" bestFit="1" customWidth="1"/>
    <col min="9" max="9" width="4" customWidth="1"/>
    <col min="10" max="10" width="11.25" bestFit="1" customWidth="1"/>
    <col min="11" max="11" width="7.375" bestFit="1" customWidth="1"/>
    <col min="12" max="12" width="7.375" customWidth="1"/>
  </cols>
  <sheetData>
    <row r="1" spans="1:11">
      <c r="A1" s="13" t="s">
        <v>627</v>
      </c>
      <c r="B1" t="s">
        <v>628</v>
      </c>
    </row>
    <row r="3" spans="1:11">
      <c r="A3" s="13" t="s">
        <v>632</v>
      </c>
      <c r="C3" s="13" t="s">
        <v>19</v>
      </c>
    </row>
    <row r="4" spans="1:11">
      <c r="A4" s="49" t="s">
        <v>20</v>
      </c>
      <c r="B4" s="49" t="s">
        <v>624</v>
      </c>
      <c r="C4" s="38">
        <v>30</v>
      </c>
      <c r="D4" s="38">
        <v>36</v>
      </c>
      <c r="E4" s="38">
        <v>41</v>
      </c>
      <c r="F4" s="38">
        <v>45</v>
      </c>
      <c r="G4" s="38">
        <v>54</v>
      </c>
      <c r="H4" s="38">
        <v>63</v>
      </c>
      <c r="I4" s="38">
        <v>72</v>
      </c>
      <c r="J4" s="38" t="s">
        <v>21</v>
      </c>
      <c r="K4" s="38" t="s">
        <v>22</v>
      </c>
    </row>
    <row r="5" spans="1:11">
      <c r="A5" s="50" t="s">
        <v>23</v>
      </c>
      <c r="B5" s="38"/>
      <c r="C5" s="40">
        <v>2</v>
      </c>
      <c r="D5" s="40">
        <v>10</v>
      </c>
      <c r="E5" s="40">
        <v>4</v>
      </c>
      <c r="F5" s="40">
        <v>10</v>
      </c>
      <c r="G5" s="40">
        <v>8</v>
      </c>
      <c r="H5" s="40"/>
      <c r="I5" s="40"/>
      <c r="J5" s="40"/>
      <c r="K5" s="40">
        <v>34</v>
      </c>
    </row>
    <row r="6" spans="1:11">
      <c r="A6" s="39" t="s">
        <v>421</v>
      </c>
      <c r="B6" s="36" t="s">
        <v>341</v>
      </c>
      <c r="C6" s="37">
        <v>1</v>
      </c>
      <c r="D6" s="37">
        <v>2</v>
      </c>
      <c r="E6" s="37">
        <v>2</v>
      </c>
      <c r="F6" s="37">
        <v>2</v>
      </c>
      <c r="G6" s="37">
        <v>1</v>
      </c>
      <c r="H6" s="37"/>
      <c r="I6" s="37"/>
      <c r="J6" s="37"/>
      <c r="K6" s="37">
        <v>8</v>
      </c>
    </row>
    <row r="7" spans="1:11">
      <c r="A7" s="39" t="s">
        <v>497</v>
      </c>
      <c r="B7" s="36" t="s">
        <v>342</v>
      </c>
      <c r="C7" s="37">
        <v>1</v>
      </c>
      <c r="D7" s="37">
        <v>2</v>
      </c>
      <c r="E7" s="37">
        <v>2</v>
      </c>
      <c r="F7" s="37">
        <v>2</v>
      </c>
      <c r="G7" s="37">
        <v>1</v>
      </c>
      <c r="H7" s="37"/>
      <c r="I7" s="37"/>
      <c r="J7" s="37"/>
      <c r="K7" s="37">
        <v>8</v>
      </c>
    </row>
    <row r="8" spans="1:11">
      <c r="A8" s="39" t="s">
        <v>498</v>
      </c>
      <c r="B8" s="36" t="s">
        <v>343</v>
      </c>
      <c r="C8" s="37"/>
      <c r="D8" s="37">
        <v>1</v>
      </c>
      <c r="E8" s="37"/>
      <c r="F8" s="37">
        <v>1</v>
      </c>
      <c r="G8" s="37">
        <v>1</v>
      </c>
      <c r="H8" s="37"/>
      <c r="I8" s="37"/>
      <c r="J8" s="37"/>
      <c r="K8" s="37">
        <v>3</v>
      </c>
    </row>
    <row r="9" spans="1:11">
      <c r="A9" s="39" t="s">
        <v>499</v>
      </c>
      <c r="B9" s="36" t="s">
        <v>344</v>
      </c>
      <c r="C9" s="37"/>
      <c r="D9" s="37">
        <v>1</v>
      </c>
      <c r="E9" s="37"/>
      <c r="F9" s="37">
        <v>1</v>
      </c>
      <c r="G9" s="37">
        <v>1</v>
      </c>
      <c r="H9" s="37"/>
      <c r="I9" s="37"/>
      <c r="J9" s="37"/>
      <c r="K9" s="37">
        <v>3</v>
      </c>
    </row>
    <row r="10" spans="1:11">
      <c r="A10" s="39" t="s">
        <v>500</v>
      </c>
      <c r="B10" s="36" t="s">
        <v>345</v>
      </c>
      <c r="C10" s="37"/>
      <c r="D10" s="37">
        <v>1</v>
      </c>
      <c r="E10" s="37"/>
      <c r="F10" s="37">
        <v>1</v>
      </c>
      <c r="G10" s="37">
        <v>1</v>
      </c>
      <c r="H10" s="37"/>
      <c r="I10" s="37"/>
      <c r="J10" s="37"/>
      <c r="K10" s="37">
        <v>3</v>
      </c>
    </row>
    <row r="11" spans="1:11">
      <c r="A11" s="39" t="s">
        <v>501</v>
      </c>
      <c r="B11" s="36" t="s">
        <v>346</v>
      </c>
      <c r="C11" s="37"/>
      <c r="D11" s="37">
        <v>1</v>
      </c>
      <c r="E11" s="37"/>
      <c r="F11" s="37">
        <v>1</v>
      </c>
      <c r="G11" s="37">
        <v>1</v>
      </c>
      <c r="H11" s="37"/>
      <c r="I11" s="37"/>
      <c r="J11" s="37"/>
      <c r="K11" s="37">
        <v>3</v>
      </c>
    </row>
    <row r="12" spans="1:11">
      <c r="A12" s="39" t="s">
        <v>502</v>
      </c>
      <c r="B12" s="36" t="s">
        <v>347</v>
      </c>
      <c r="C12" s="37"/>
      <c r="D12" s="37">
        <v>1</v>
      </c>
      <c r="E12" s="37"/>
      <c r="F12" s="37">
        <v>1</v>
      </c>
      <c r="G12" s="37">
        <v>1</v>
      </c>
      <c r="H12" s="37"/>
      <c r="I12" s="37"/>
      <c r="J12" s="37"/>
      <c r="K12" s="37">
        <v>3</v>
      </c>
    </row>
    <row r="13" spans="1:11">
      <c r="A13" s="39" t="s">
        <v>503</v>
      </c>
      <c r="B13" s="36" t="s">
        <v>348</v>
      </c>
      <c r="C13" s="37"/>
      <c r="D13" s="37">
        <v>1</v>
      </c>
      <c r="E13" s="37"/>
      <c r="F13" s="37">
        <v>1</v>
      </c>
      <c r="G13" s="37">
        <v>1</v>
      </c>
      <c r="H13" s="37"/>
      <c r="I13" s="37"/>
      <c r="J13" s="37"/>
      <c r="K13" s="37">
        <v>3</v>
      </c>
    </row>
    <row r="14" spans="1:11">
      <c r="A14" s="50" t="s">
        <v>24</v>
      </c>
      <c r="B14" s="38"/>
      <c r="C14" s="40">
        <v>7</v>
      </c>
      <c r="D14" s="40">
        <v>19</v>
      </c>
      <c r="E14" s="40">
        <v>4</v>
      </c>
      <c r="F14" s="40">
        <v>21</v>
      </c>
      <c r="G14" s="40">
        <v>15</v>
      </c>
      <c r="H14" s="40"/>
      <c r="I14" s="40"/>
      <c r="J14" s="40"/>
      <c r="K14" s="40">
        <v>66</v>
      </c>
    </row>
    <row r="15" spans="1:11">
      <c r="A15" s="39" t="s">
        <v>481</v>
      </c>
      <c r="B15" s="36" t="s">
        <v>326</v>
      </c>
      <c r="C15" s="37">
        <v>1</v>
      </c>
      <c r="D15" s="37">
        <v>2</v>
      </c>
      <c r="E15" s="37">
        <v>2</v>
      </c>
      <c r="F15" s="37">
        <v>2</v>
      </c>
      <c r="G15" s="37">
        <v>1</v>
      </c>
      <c r="H15" s="37"/>
      <c r="I15" s="37"/>
      <c r="J15" s="37"/>
      <c r="K15" s="37">
        <v>8</v>
      </c>
    </row>
    <row r="16" spans="1:11">
      <c r="A16" s="39" t="s">
        <v>483</v>
      </c>
      <c r="B16" s="36" t="s">
        <v>327</v>
      </c>
      <c r="C16" s="37">
        <v>1</v>
      </c>
      <c r="D16" s="37">
        <v>2</v>
      </c>
      <c r="E16" s="37"/>
      <c r="F16" s="37">
        <v>2</v>
      </c>
      <c r="G16" s="37">
        <v>1</v>
      </c>
      <c r="H16" s="37"/>
      <c r="I16" s="37"/>
      <c r="J16" s="37"/>
      <c r="K16" s="37">
        <v>6</v>
      </c>
    </row>
    <row r="17" spans="1:11">
      <c r="A17" s="39" t="s">
        <v>484</v>
      </c>
      <c r="B17" s="36" t="s">
        <v>328</v>
      </c>
      <c r="C17" s="37">
        <v>1</v>
      </c>
      <c r="D17" s="37">
        <v>2</v>
      </c>
      <c r="E17" s="37">
        <v>2</v>
      </c>
      <c r="F17" s="37">
        <v>2</v>
      </c>
      <c r="G17" s="37">
        <v>1</v>
      </c>
      <c r="H17" s="37"/>
      <c r="I17" s="37"/>
      <c r="J17" s="37"/>
      <c r="K17" s="37">
        <v>8</v>
      </c>
    </row>
    <row r="18" spans="1:11">
      <c r="A18" s="39" t="s">
        <v>485</v>
      </c>
      <c r="B18" s="36" t="s">
        <v>329</v>
      </c>
      <c r="C18" s="37">
        <v>1</v>
      </c>
      <c r="D18" s="37">
        <v>2</v>
      </c>
      <c r="E18" s="37"/>
      <c r="F18" s="37">
        <v>2</v>
      </c>
      <c r="G18" s="37">
        <v>1</v>
      </c>
      <c r="H18" s="37"/>
      <c r="I18" s="37"/>
      <c r="J18" s="37"/>
      <c r="K18" s="37">
        <v>6</v>
      </c>
    </row>
    <row r="19" spans="1:11">
      <c r="A19" s="39" t="s">
        <v>486</v>
      </c>
      <c r="B19" s="36" t="s">
        <v>330</v>
      </c>
      <c r="C19" s="37"/>
      <c r="D19" s="37"/>
      <c r="E19" s="37"/>
      <c r="F19" s="37"/>
      <c r="G19" s="37">
        <v>1</v>
      </c>
      <c r="H19" s="37"/>
      <c r="I19" s="37"/>
      <c r="J19" s="37"/>
      <c r="K19" s="37">
        <v>1</v>
      </c>
    </row>
    <row r="20" spans="1:11">
      <c r="A20" s="39" t="s">
        <v>487</v>
      </c>
      <c r="B20" s="36" t="s">
        <v>331</v>
      </c>
      <c r="C20" s="37"/>
      <c r="D20" s="37">
        <v>2</v>
      </c>
      <c r="E20" s="37"/>
      <c r="F20" s="37">
        <v>2</v>
      </c>
      <c r="G20" s="37">
        <v>1</v>
      </c>
      <c r="H20" s="37"/>
      <c r="I20" s="37"/>
      <c r="J20" s="37"/>
      <c r="K20" s="37">
        <v>5</v>
      </c>
    </row>
    <row r="21" spans="1:11">
      <c r="A21" s="39" t="s">
        <v>488</v>
      </c>
      <c r="B21" s="36" t="s">
        <v>332</v>
      </c>
      <c r="C21" s="37"/>
      <c r="D21" s="37">
        <v>2</v>
      </c>
      <c r="E21" s="37"/>
      <c r="F21" s="37">
        <v>2</v>
      </c>
      <c r="G21" s="37">
        <v>1</v>
      </c>
      <c r="H21" s="37"/>
      <c r="I21" s="37"/>
      <c r="J21" s="37"/>
      <c r="K21" s="37">
        <v>5</v>
      </c>
    </row>
    <row r="22" spans="1:11">
      <c r="A22" s="39" t="s">
        <v>489</v>
      </c>
      <c r="B22" s="36" t="s">
        <v>333</v>
      </c>
      <c r="C22" s="37">
        <v>1</v>
      </c>
      <c r="D22" s="37">
        <v>2</v>
      </c>
      <c r="E22" s="37"/>
      <c r="F22" s="37">
        <v>2</v>
      </c>
      <c r="G22" s="37">
        <v>1</v>
      </c>
      <c r="H22" s="37"/>
      <c r="I22" s="37"/>
      <c r="J22" s="37"/>
      <c r="K22" s="37">
        <v>6</v>
      </c>
    </row>
    <row r="23" spans="1:11">
      <c r="A23" s="39" t="s">
        <v>490</v>
      </c>
      <c r="B23" s="36" t="s">
        <v>334</v>
      </c>
      <c r="C23" s="37">
        <v>1</v>
      </c>
      <c r="D23" s="37">
        <v>2</v>
      </c>
      <c r="E23" s="37"/>
      <c r="F23" s="37">
        <v>2</v>
      </c>
      <c r="G23" s="37">
        <v>1</v>
      </c>
      <c r="H23" s="37"/>
      <c r="I23" s="37"/>
      <c r="J23" s="37"/>
      <c r="K23" s="37">
        <v>6</v>
      </c>
    </row>
    <row r="24" spans="1:11">
      <c r="A24" s="39" t="s">
        <v>491</v>
      </c>
      <c r="B24" s="36" t="s">
        <v>335</v>
      </c>
      <c r="C24" s="37"/>
      <c r="D24" s="37"/>
      <c r="E24" s="37"/>
      <c r="F24" s="37">
        <v>1</v>
      </c>
      <c r="G24" s="37">
        <v>1</v>
      </c>
      <c r="H24" s="37"/>
      <c r="I24" s="37"/>
      <c r="J24" s="37"/>
      <c r="K24" s="37">
        <v>2</v>
      </c>
    </row>
    <row r="25" spans="1:11">
      <c r="A25" s="39" t="s">
        <v>492</v>
      </c>
      <c r="B25" s="36" t="s">
        <v>336</v>
      </c>
      <c r="C25" s="37"/>
      <c r="D25" s="37"/>
      <c r="E25" s="37"/>
      <c r="F25" s="37">
        <v>1</v>
      </c>
      <c r="G25" s="37">
        <v>1</v>
      </c>
      <c r="H25" s="37"/>
      <c r="I25" s="37"/>
      <c r="J25" s="37"/>
      <c r="K25" s="37">
        <v>2</v>
      </c>
    </row>
    <row r="26" spans="1:11">
      <c r="A26" s="39" t="s">
        <v>493</v>
      </c>
      <c r="B26" s="36" t="s">
        <v>337</v>
      </c>
      <c r="C26" s="37"/>
      <c r="D26" s="37"/>
      <c r="E26" s="37"/>
      <c r="F26" s="37"/>
      <c r="G26" s="37">
        <v>1</v>
      </c>
      <c r="H26" s="37"/>
      <c r="I26" s="37"/>
      <c r="J26" s="37"/>
      <c r="K26" s="37">
        <v>1</v>
      </c>
    </row>
    <row r="27" spans="1:11">
      <c r="A27" s="39" t="s">
        <v>494</v>
      </c>
      <c r="B27" s="36" t="s">
        <v>338</v>
      </c>
      <c r="C27" s="37">
        <v>1</v>
      </c>
      <c r="D27" s="37">
        <v>1</v>
      </c>
      <c r="E27" s="37"/>
      <c r="F27" s="37">
        <v>1</v>
      </c>
      <c r="G27" s="37">
        <v>1</v>
      </c>
      <c r="H27" s="37"/>
      <c r="I27" s="37"/>
      <c r="J27" s="37"/>
      <c r="K27" s="37">
        <v>4</v>
      </c>
    </row>
    <row r="28" spans="1:11">
      <c r="A28" s="39" t="s">
        <v>495</v>
      </c>
      <c r="B28" s="36" t="s">
        <v>339</v>
      </c>
      <c r="C28" s="37"/>
      <c r="D28" s="37">
        <v>1</v>
      </c>
      <c r="E28" s="37"/>
      <c r="F28" s="37">
        <v>1</v>
      </c>
      <c r="G28" s="37">
        <v>1</v>
      </c>
      <c r="H28" s="37"/>
      <c r="I28" s="37"/>
      <c r="J28" s="37"/>
      <c r="K28" s="37">
        <v>3</v>
      </c>
    </row>
    <row r="29" spans="1:11">
      <c r="A29" s="39" t="s">
        <v>496</v>
      </c>
      <c r="B29" s="36" t="s">
        <v>340</v>
      </c>
      <c r="C29" s="37"/>
      <c r="D29" s="37">
        <v>1</v>
      </c>
      <c r="E29" s="37"/>
      <c r="F29" s="37">
        <v>1</v>
      </c>
      <c r="G29" s="37">
        <v>1</v>
      </c>
      <c r="H29" s="37"/>
      <c r="I29" s="37"/>
      <c r="J29" s="37"/>
      <c r="K29" s="37">
        <v>3</v>
      </c>
    </row>
    <row r="30" spans="1:11">
      <c r="A30" s="50" t="s">
        <v>16</v>
      </c>
      <c r="B30" s="38"/>
      <c r="C30" s="40"/>
      <c r="D30" s="40"/>
      <c r="E30" s="40"/>
      <c r="F30" s="40">
        <v>24</v>
      </c>
      <c r="G30" s="40">
        <v>24</v>
      </c>
      <c r="H30" s="40">
        <v>24</v>
      </c>
      <c r="I30" s="40">
        <v>8</v>
      </c>
      <c r="J30" s="40"/>
      <c r="K30" s="40">
        <v>80</v>
      </c>
    </row>
    <row r="31" spans="1:11">
      <c r="A31" s="39" t="s">
        <v>437</v>
      </c>
      <c r="B31" s="36" t="s">
        <v>403</v>
      </c>
      <c r="C31" s="37"/>
      <c r="D31" s="37"/>
      <c r="E31" s="37"/>
      <c r="F31" s="37">
        <v>3</v>
      </c>
      <c r="G31" s="37">
        <v>3</v>
      </c>
      <c r="H31" s="37">
        <v>3</v>
      </c>
      <c r="I31" s="37">
        <v>1</v>
      </c>
      <c r="J31" s="37"/>
      <c r="K31" s="37">
        <v>10</v>
      </c>
    </row>
    <row r="32" spans="1:11">
      <c r="A32" s="39" t="s">
        <v>607</v>
      </c>
      <c r="B32" s="36" t="s">
        <v>404</v>
      </c>
      <c r="C32" s="37"/>
      <c r="D32" s="37"/>
      <c r="E32" s="37"/>
      <c r="F32" s="37">
        <v>3</v>
      </c>
      <c r="G32" s="37">
        <v>3</v>
      </c>
      <c r="H32" s="37">
        <v>3</v>
      </c>
      <c r="I32" s="37">
        <v>1</v>
      </c>
      <c r="J32" s="37"/>
      <c r="K32" s="37">
        <v>10</v>
      </c>
    </row>
    <row r="33" spans="1:11">
      <c r="A33" s="39" t="s">
        <v>608</v>
      </c>
      <c r="B33" s="36" t="s">
        <v>405</v>
      </c>
      <c r="C33" s="37"/>
      <c r="D33" s="37"/>
      <c r="E33" s="37"/>
      <c r="F33" s="37">
        <v>3</v>
      </c>
      <c r="G33" s="37">
        <v>3</v>
      </c>
      <c r="H33" s="37">
        <v>3</v>
      </c>
      <c r="I33" s="37">
        <v>1</v>
      </c>
      <c r="J33" s="37"/>
      <c r="K33" s="37">
        <v>10</v>
      </c>
    </row>
    <row r="34" spans="1:11">
      <c r="A34" s="39" t="s">
        <v>609</v>
      </c>
      <c r="B34" s="36" t="s">
        <v>406</v>
      </c>
      <c r="C34" s="37"/>
      <c r="D34" s="37"/>
      <c r="E34" s="37"/>
      <c r="F34" s="37">
        <v>3</v>
      </c>
      <c r="G34" s="37">
        <v>3</v>
      </c>
      <c r="H34" s="37">
        <v>3</v>
      </c>
      <c r="I34" s="37">
        <v>1</v>
      </c>
      <c r="J34" s="37"/>
      <c r="K34" s="37">
        <v>10</v>
      </c>
    </row>
    <row r="35" spans="1:11">
      <c r="A35" s="39" t="s">
        <v>610</v>
      </c>
      <c r="B35" s="36" t="s">
        <v>407</v>
      </c>
      <c r="C35" s="37"/>
      <c r="D35" s="37"/>
      <c r="E35" s="37"/>
      <c r="F35" s="37">
        <v>3</v>
      </c>
      <c r="G35" s="37">
        <v>3</v>
      </c>
      <c r="H35" s="37">
        <v>3</v>
      </c>
      <c r="I35" s="37">
        <v>1</v>
      </c>
      <c r="J35" s="37"/>
      <c r="K35" s="37">
        <v>10</v>
      </c>
    </row>
    <row r="36" spans="1:11">
      <c r="A36" s="39" t="s">
        <v>611</v>
      </c>
      <c r="B36" s="36" t="s">
        <v>408</v>
      </c>
      <c r="C36" s="37"/>
      <c r="D36" s="37"/>
      <c r="E36" s="37"/>
      <c r="F36" s="37">
        <v>3</v>
      </c>
      <c r="G36" s="37">
        <v>3</v>
      </c>
      <c r="H36" s="37">
        <v>3</v>
      </c>
      <c r="I36" s="37">
        <v>1</v>
      </c>
      <c r="J36" s="37"/>
      <c r="K36" s="37">
        <v>10</v>
      </c>
    </row>
    <row r="37" spans="1:11">
      <c r="A37" s="39" t="s">
        <v>612</v>
      </c>
      <c r="B37" s="36" t="s">
        <v>409</v>
      </c>
      <c r="C37" s="37"/>
      <c r="D37" s="37"/>
      <c r="E37" s="37"/>
      <c r="F37" s="37">
        <v>3</v>
      </c>
      <c r="G37" s="37">
        <v>3</v>
      </c>
      <c r="H37" s="37">
        <v>3</v>
      </c>
      <c r="I37" s="37">
        <v>1</v>
      </c>
      <c r="J37" s="37"/>
      <c r="K37" s="37">
        <v>10</v>
      </c>
    </row>
    <row r="38" spans="1:11">
      <c r="A38" s="39" t="s">
        <v>613</v>
      </c>
      <c r="B38" s="36" t="s">
        <v>410</v>
      </c>
      <c r="C38" s="37"/>
      <c r="D38" s="37"/>
      <c r="E38" s="37"/>
      <c r="F38" s="37">
        <v>3</v>
      </c>
      <c r="G38" s="37">
        <v>3</v>
      </c>
      <c r="H38" s="37">
        <v>3</v>
      </c>
      <c r="I38" s="37">
        <v>1</v>
      </c>
      <c r="J38" s="37"/>
      <c r="K38" s="37">
        <v>10</v>
      </c>
    </row>
    <row r="39" spans="1:11">
      <c r="A39" s="48" t="s">
        <v>13</v>
      </c>
      <c r="C39" s="35"/>
      <c r="D39" s="35">
        <v>21</v>
      </c>
      <c r="E39" s="35"/>
      <c r="F39" s="35">
        <v>24</v>
      </c>
      <c r="G39" s="35">
        <v>23</v>
      </c>
      <c r="H39" s="35">
        <v>20</v>
      </c>
      <c r="I39" s="35"/>
      <c r="J39" s="35"/>
      <c r="K39" s="35">
        <v>88</v>
      </c>
    </row>
    <row r="40" spans="1:11">
      <c r="A40" s="39" t="s">
        <v>431</v>
      </c>
      <c r="B40" s="36" t="s">
        <v>388</v>
      </c>
      <c r="C40" s="37"/>
      <c r="D40" s="37">
        <v>4</v>
      </c>
      <c r="E40" s="37"/>
      <c r="F40" s="37">
        <v>5</v>
      </c>
      <c r="G40" s="37">
        <v>5</v>
      </c>
      <c r="H40" s="37">
        <v>4</v>
      </c>
      <c r="I40" s="37"/>
      <c r="J40" s="37"/>
      <c r="K40" s="37">
        <v>18</v>
      </c>
    </row>
    <row r="41" spans="1:11">
      <c r="A41" s="39" t="s">
        <v>574</v>
      </c>
      <c r="B41" s="36" t="s">
        <v>389</v>
      </c>
      <c r="C41" s="37"/>
      <c r="D41" s="37">
        <v>2</v>
      </c>
      <c r="E41" s="37"/>
      <c r="F41" s="37">
        <v>3</v>
      </c>
      <c r="G41" s="37">
        <v>3</v>
      </c>
      <c r="H41" s="37">
        <v>2</v>
      </c>
      <c r="I41" s="37"/>
      <c r="J41" s="37"/>
      <c r="K41" s="37">
        <v>10</v>
      </c>
    </row>
    <row r="42" spans="1:11">
      <c r="A42" s="39" t="s">
        <v>575</v>
      </c>
      <c r="B42" s="36" t="s">
        <v>390</v>
      </c>
      <c r="C42" s="37"/>
      <c r="D42" s="37">
        <v>2</v>
      </c>
      <c r="E42" s="37"/>
      <c r="F42" s="37">
        <v>3</v>
      </c>
      <c r="G42" s="37">
        <v>3</v>
      </c>
      <c r="H42" s="37">
        <v>2</v>
      </c>
      <c r="I42" s="37"/>
      <c r="J42" s="37"/>
      <c r="K42" s="37">
        <v>10</v>
      </c>
    </row>
    <row r="43" spans="1:11">
      <c r="A43" s="39" t="s">
        <v>576</v>
      </c>
      <c r="B43" s="36" t="s">
        <v>391</v>
      </c>
      <c r="C43" s="37"/>
      <c r="D43" s="37">
        <v>1</v>
      </c>
      <c r="E43" s="37"/>
      <c r="F43" s="37">
        <v>1</v>
      </c>
      <c r="G43" s="37">
        <v>1</v>
      </c>
      <c r="H43" s="37">
        <v>1</v>
      </c>
      <c r="I43" s="37"/>
      <c r="J43" s="37"/>
      <c r="K43" s="37">
        <v>4</v>
      </c>
    </row>
    <row r="44" spans="1:11">
      <c r="A44" s="39" t="s">
        <v>577</v>
      </c>
      <c r="B44" s="36" t="s">
        <v>392</v>
      </c>
      <c r="C44" s="37"/>
      <c r="D44" s="37">
        <v>1</v>
      </c>
      <c r="E44" s="37"/>
      <c r="F44" s="37">
        <v>1</v>
      </c>
      <c r="G44" s="37">
        <v>1</v>
      </c>
      <c r="H44" s="37">
        <v>1</v>
      </c>
      <c r="I44" s="37"/>
      <c r="J44" s="37"/>
      <c r="K44" s="37">
        <v>4</v>
      </c>
    </row>
    <row r="45" spans="1:11">
      <c r="A45" s="39" t="s">
        <v>578</v>
      </c>
      <c r="B45" s="36" t="s">
        <v>393</v>
      </c>
      <c r="C45" s="37"/>
      <c r="D45" s="37">
        <v>1</v>
      </c>
      <c r="E45" s="37"/>
      <c r="F45" s="37">
        <v>1</v>
      </c>
      <c r="G45" s="37">
        <v>1</v>
      </c>
      <c r="H45" s="37">
        <v>1</v>
      </c>
      <c r="I45" s="37"/>
      <c r="J45" s="37"/>
      <c r="K45" s="37">
        <v>4</v>
      </c>
    </row>
    <row r="46" spans="1:11">
      <c r="A46" s="39" t="s">
        <v>579</v>
      </c>
      <c r="B46" s="36" t="s">
        <v>394</v>
      </c>
      <c r="C46" s="37"/>
      <c r="D46" s="37">
        <v>2</v>
      </c>
      <c r="E46" s="37"/>
      <c r="F46" s="37">
        <v>2</v>
      </c>
      <c r="G46" s="37">
        <v>1</v>
      </c>
      <c r="H46" s="37">
        <v>1</v>
      </c>
      <c r="I46" s="37"/>
      <c r="J46" s="37"/>
      <c r="K46" s="37">
        <v>6</v>
      </c>
    </row>
    <row r="47" spans="1:11">
      <c r="A47" s="39" t="s">
        <v>580</v>
      </c>
      <c r="B47" s="36" t="s">
        <v>395</v>
      </c>
      <c r="C47" s="37"/>
      <c r="D47" s="37">
        <v>1</v>
      </c>
      <c r="E47" s="37"/>
      <c r="F47" s="37">
        <v>1</v>
      </c>
      <c r="G47" s="37">
        <v>1</v>
      </c>
      <c r="H47" s="37">
        <v>1</v>
      </c>
      <c r="I47" s="37"/>
      <c r="J47" s="37"/>
      <c r="K47" s="37">
        <v>4</v>
      </c>
    </row>
    <row r="48" spans="1:11">
      <c r="A48" s="39" t="s">
        <v>581</v>
      </c>
      <c r="B48" s="36" t="s">
        <v>396</v>
      </c>
      <c r="C48" s="37"/>
      <c r="D48" s="37">
        <v>1</v>
      </c>
      <c r="E48" s="37"/>
      <c r="F48" s="37">
        <v>1</v>
      </c>
      <c r="G48" s="37">
        <v>1</v>
      </c>
      <c r="H48" s="37">
        <v>1</v>
      </c>
      <c r="I48" s="37"/>
      <c r="J48" s="37"/>
      <c r="K48" s="37">
        <v>4</v>
      </c>
    </row>
    <row r="49" spans="1:13">
      <c r="A49" s="39" t="s">
        <v>582</v>
      </c>
      <c r="B49" s="36" t="s">
        <v>397</v>
      </c>
      <c r="C49" s="37"/>
      <c r="D49" s="37">
        <v>1</v>
      </c>
      <c r="E49" s="37"/>
      <c r="F49" s="37">
        <v>1</v>
      </c>
      <c r="G49" s="37">
        <v>1</v>
      </c>
      <c r="H49" s="37">
        <v>1</v>
      </c>
      <c r="I49" s="37"/>
      <c r="J49" s="37"/>
      <c r="K49" s="37">
        <v>4</v>
      </c>
    </row>
    <row r="50" spans="1:13">
      <c r="A50" s="39" t="s">
        <v>583</v>
      </c>
      <c r="B50" s="36" t="s">
        <v>398</v>
      </c>
      <c r="C50" s="37"/>
      <c r="D50" s="37">
        <v>1</v>
      </c>
      <c r="E50" s="37"/>
      <c r="F50" s="37">
        <v>1</v>
      </c>
      <c r="G50" s="37">
        <v>1</v>
      </c>
      <c r="H50" s="37">
        <v>1</v>
      </c>
      <c r="I50" s="37"/>
      <c r="J50" s="37"/>
      <c r="K50" s="37">
        <v>4</v>
      </c>
    </row>
    <row r="51" spans="1:13">
      <c r="A51" s="39" t="s">
        <v>584</v>
      </c>
      <c r="B51" s="36" t="s">
        <v>399</v>
      </c>
      <c r="C51" s="37"/>
      <c r="D51" s="37">
        <v>1</v>
      </c>
      <c r="E51" s="37"/>
      <c r="F51" s="37">
        <v>1</v>
      </c>
      <c r="G51" s="37">
        <v>1</v>
      </c>
      <c r="H51" s="37">
        <v>1</v>
      </c>
      <c r="I51" s="37"/>
      <c r="J51" s="37"/>
      <c r="K51" s="37">
        <v>4</v>
      </c>
    </row>
    <row r="52" spans="1:13">
      <c r="A52" s="39" t="s">
        <v>585</v>
      </c>
      <c r="B52" s="36" t="s">
        <v>400</v>
      </c>
      <c r="C52" s="37"/>
      <c r="D52" s="37">
        <v>1</v>
      </c>
      <c r="E52" s="37"/>
      <c r="F52" s="37">
        <v>1</v>
      </c>
      <c r="G52" s="37">
        <v>1</v>
      </c>
      <c r="H52" s="37">
        <v>1</v>
      </c>
      <c r="I52" s="37"/>
      <c r="J52" s="37"/>
      <c r="K52" s="37">
        <v>4</v>
      </c>
    </row>
    <row r="53" spans="1:13">
      <c r="A53" s="39" t="s">
        <v>586</v>
      </c>
      <c r="B53" s="36" t="s">
        <v>401</v>
      </c>
      <c r="C53" s="37"/>
      <c r="D53" s="37">
        <v>1</v>
      </c>
      <c r="E53" s="37"/>
      <c r="F53" s="37">
        <v>1</v>
      </c>
      <c r="G53" s="37">
        <v>1</v>
      </c>
      <c r="H53" s="37">
        <v>1</v>
      </c>
      <c r="I53" s="37"/>
      <c r="J53" s="37"/>
      <c r="K53" s="37">
        <v>4</v>
      </c>
    </row>
    <row r="54" spans="1:13">
      <c r="A54" s="39" t="s">
        <v>587</v>
      </c>
      <c r="B54" s="36" t="s">
        <v>402</v>
      </c>
      <c r="C54" s="37"/>
      <c r="D54" s="37">
        <v>1</v>
      </c>
      <c r="E54" s="37"/>
      <c r="F54" s="37">
        <v>1</v>
      </c>
      <c r="G54" s="37">
        <v>1</v>
      </c>
      <c r="H54" s="37">
        <v>1</v>
      </c>
      <c r="I54" s="37"/>
      <c r="J54" s="37"/>
      <c r="K54" s="37">
        <v>4</v>
      </c>
    </row>
    <row r="55" spans="1:13">
      <c r="A55" s="48" t="s">
        <v>14</v>
      </c>
      <c r="C55" s="35"/>
      <c r="D55" s="35">
        <v>14</v>
      </c>
      <c r="E55" s="35"/>
      <c r="F55" s="35">
        <v>14</v>
      </c>
      <c r="G55" s="35"/>
      <c r="H55" s="35"/>
      <c r="I55" s="35"/>
      <c r="J55" s="35"/>
      <c r="K55" s="35">
        <v>28</v>
      </c>
    </row>
    <row r="56" spans="1:13">
      <c r="A56" s="39" t="s">
        <v>433</v>
      </c>
      <c r="B56" s="36" t="s">
        <v>66</v>
      </c>
      <c r="C56" s="37"/>
      <c r="D56" s="37">
        <v>2</v>
      </c>
      <c r="E56" s="37"/>
      <c r="F56" s="37">
        <v>2</v>
      </c>
      <c r="G56" s="37"/>
      <c r="H56" s="37"/>
      <c r="I56" s="37"/>
      <c r="J56" s="37"/>
      <c r="K56" s="37">
        <v>4</v>
      </c>
      <c r="M56" t="s">
        <v>641</v>
      </c>
    </row>
    <row r="57" spans="1:13">
      <c r="A57" s="39" t="s">
        <v>588</v>
      </c>
      <c r="B57" s="36" t="s">
        <v>67</v>
      </c>
      <c r="C57" s="37"/>
      <c r="D57" s="37">
        <v>2</v>
      </c>
      <c r="E57" s="37"/>
      <c r="F57" s="37">
        <v>2</v>
      </c>
      <c r="G57" s="37"/>
      <c r="H57" s="37"/>
      <c r="I57" s="37"/>
      <c r="J57" s="37"/>
      <c r="K57" s="37">
        <v>4</v>
      </c>
      <c r="M57" t="s">
        <v>642</v>
      </c>
    </row>
    <row r="58" spans="1:13">
      <c r="A58" s="39" t="s">
        <v>589</v>
      </c>
      <c r="B58" s="36" t="s">
        <v>68</v>
      </c>
      <c r="C58" s="37"/>
      <c r="D58" s="37">
        <v>2</v>
      </c>
      <c r="E58" s="37"/>
      <c r="F58" s="37">
        <v>2</v>
      </c>
      <c r="G58" s="37"/>
      <c r="H58" s="37"/>
      <c r="I58" s="37"/>
      <c r="J58" s="37"/>
      <c r="K58" s="37">
        <v>4</v>
      </c>
      <c r="M58" t="s">
        <v>643</v>
      </c>
    </row>
    <row r="59" spans="1:13">
      <c r="A59" s="39" t="s">
        <v>590</v>
      </c>
      <c r="B59" s="36" t="s">
        <v>69</v>
      </c>
      <c r="C59" s="37"/>
      <c r="D59" s="37">
        <v>2</v>
      </c>
      <c r="E59" s="37"/>
      <c r="F59" s="37">
        <v>2</v>
      </c>
      <c r="G59" s="37"/>
      <c r="H59" s="37"/>
      <c r="I59" s="37"/>
      <c r="J59" s="37"/>
      <c r="K59" s="37">
        <v>4</v>
      </c>
      <c r="M59" t="s">
        <v>644</v>
      </c>
    </row>
    <row r="60" spans="1:13">
      <c r="A60" s="39" t="s">
        <v>591</v>
      </c>
      <c r="B60" s="36" t="s">
        <v>70</v>
      </c>
      <c r="C60" s="37"/>
      <c r="D60" s="37">
        <v>2</v>
      </c>
      <c r="E60" s="37"/>
      <c r="F60" s="37">
        <v>2</v>
      </c>
      <c r="G60" s="37"/>
      <c r="H60" s="37"/>
      <c r="I60" s="37"/>
      <c r="J60" s="37"/>
      <c r="K60" s="37">
        <v>4</v>
      </c>
      <c r="M60" t="s">
        <v>645</v>
      </c>
    </row>
    <row r="61" spans="1:13">
      <c r="A61" s="39" t="s">
        <v>592</v>
      </c>
      <c r="B61" s="36" t="s">
        <v>71</v>
      </c>
      <c r="C61" s="37"/>
      <c r="D61" s="37">
        <v>2</v>
      </c>
      <c r="E61" s="37"/>
      <c r="F61" s="37">
        <v>2</v>
      </c>
      <c r="G61" s="37"/>
      <c r="H61" s="37"/>
      <c r="I61" s="37"/>
      <c r="J61" s="37"/>
      <c r="K61" s="37">
        <v>4</v>
      </c>
    </row>
    <row r="62" spans="1:13">
      <c r="A62" s="39" t="s">
        <v>593</v>
      </c>
      <c r="B62" s="36" t="s">
        <v>72</v>
      </c>
      <c r="C62" s="37"/>
      <c r="D62" s="37">
        <v>2</v>
      </c>
      <c r="E62" s="37"/>
      <c r="F62" s="37">
        <v>2</v>
      </c>
      <c r="G62" s="37"/>
      <c r="H62" s="37"/>
      <c r="I62" s="37"/>
      <c r="J62" s="37"/>
      <c r="K62" s="37">
        <v>4</v>
      </c>
    </row>
    <row r="63" spans="1:13">
      <c r="A63" s="48" t="s">
        <v>15</v>
      </c>
      <c r="C63" s="35"/>
      <c r="D63" s="35"/>
      <c r="E63" s="35"/>
      <c r="F63" s="35"/>
      <c r="G63" s="35">
        <v>42</v>
      </c>
      <c r="H63" s="35">
        <v>37</v>
      </c>
      <c r="I63" s="35"/>
      <c r="J63" s="35"/>
      <c r="K63" s="35">
        <v>79</v>
      </c>
    </row>
    <row r="64" spans="1:13">
      <c r="A64" s="39" t="s">
        <v>435</v>
      </c>
      <c r="B64" s="36" t="s">
        <v>73</v>
      </c>
      <c r="C64" s="37"/>
      <c r="D64" s="37"/>
      <c r="E64" s="37"/>
      <c r="F64" s="37"/>
      <c r="G64" s="37">
        <v>3</v>
      </c>
      <c r="H64" s="37"/>
      <c r="I64" s="37"/>
      <c r="J64" s="37"/>
      <c r="K64" s="37">
        <v>3</v>
      </c>
    </row>
    <row r="65" spans="1:11">
      <c r="A65" s="39" t="s">
        <v>594</v>
      </c>
      <c r="B65" s="36" t="s">
        <v>74</v>
      </c>
      <c r="C65" s="37"/>
      <c r="D65" s="37"/>
      <c r="E65" s="37"/>
      <c r="F65" s="37"/>
      <c r="G65" s="37">
        <v>3</v>
      </c>
      <c r="H65" s="37">
        <v>3</v>
      </c>
      <c r="I65" s="37"/>
      <c r="J65" s="37"/>
      <c r="K65" s="37">
        <v>6</v>
      </c>
    </row>
    <row r="66" spans="1:11">
      <c r="A66" s="39" t="s">
        <v>595</v>
      </c>
      <c r="B66" s="36" t="s">
        <v>75</v>
      </c>
      <c r="C66" s="37"/>
      <c r="D66" s="37"/>
      <c r="E66" s="37"/>
      <c r="F66" s="37"/>
      <c r="G66" s="37">
        <v>3</v>
      </c>
      <c r="H66" s="37">
        <v>3</v>
      </c>
      <c r="I66" s="37"/>
      <c r="J66" s="37"/>
      <c r="K66" s="37">
        <v>6</v>
      </c>
    </row>
    <row r="67" spans="1:11">
      <c r="A67" s="39" t="s">
        <v>596</v>
      </c>
      <c r="B67" s="36" t="s">
        <v>76</v>
      </c>
      <c r="C67" s="37"/>
      <c r="D67" s="37"/>
      <c r="E67" s="37"/>
      <c r="F67" s="37"/>
      <c r="G67" s="37">
        <v>3</v>
      </c>
      <c r="H67" s="37">
        <v>3</v>
      </c>
      <c r="I67" s="37"/>
      <c r="J67" s="37"/>
      <c r="K67" s="37">
        <v>6</v>
      </c>
    </row>
    <row r="68" spans="1:11">
      <c r="A68" s="39" t="s">
        <v>597</v>
      </c>
      <c r="B68" s="36" t="s">
        <v>77</v>
      </c>
      <c r="C68" s="37"/>
      <c r="D68" s="37"/>
      <c r="E68" s="37"/>
      <c r="F68" s="37"/>
      <c r="G68" s="37">
        <v>3</v>
      </c>
      <c r="H68" s="37">
        <v>1</v>
      </c>
      <c r="I68" s="37"/>
      <c r="J68" s="37"/>
      <c r="K68" s="37">
        <v>4</v>
      </c>
    </row>
    <row r="69" spans="1:11">
      <c r="A69" s="39" t="s">
        <v>598</v>
      </c>
      <c r="B69" s="36" t="s">
        <v>78</v>
      </c>
      <c r="C69" s="37"/>
      <c r="D69" s="37"/>
      <c r="E69" s="37"/>
      <c r="F69" s="37"/>
      <c r="G69" s="37">
        <v>3</v>
      </c>
      <c r="H69" s="37">
        <v>3</v>
      </c>
      <c r="I69" s="37"/>
      <c r="J69" s="37"/>
      <c r="K69" s="37">
        <v>6</v>
      </c>
    </row>
    <row r="70" spans="1:11">
      <c r="A70" s="39" t="s">
        <v>599</v>
      </c>
      <c r="B70" s="36" t="s">
        <v>79</v>
      </c>
      <c r="C70" s="37"/>
      <c r="D70" s="37"/>
      <c r="E70" s="37"/>
      <c r="F70" s="37"/>
      <c r="G70" s="37">
        <v>3</v>
      </c>
      <c r="H70" s="37">
        <v>3</v>
      </c>
      <c r="I70" s="37"/>
      <c r="J70" s="37"/>
      <c r="K70" s="37">
        <v>6</v>
      </c>
    </row>
    <row r="71" spans="1:11">
      <c r="A71" s="39" t="s">
        <v>600</v>
      </c>
      <c r="B71" s="36" t="s">
        <v>80</v>
      </c>
      <c r="C71" s="37"/>
      <c r="D71" s="37"/>
      <c r="E71" s="37"/>
      <c r="F71" s="37"/>
      <c r="G71" s="37">
        <v>3</v>
      </c>
      <c r="H71" s="37">
        <v>3</v>
      </c>
      <c r="I71" s="37"/>
      <c r="J71" s="37"/>
      <c r="K71" s="37">
        <v>6</v>
      </c>
    </row>
    <row r="72" spans="1:11">
      <c r="A72" s="39" t="s">
        <v>601</v>
      </c>
      <c r="B72" s="36" t="s">
        <v>81</v>
      </c>
      <c r="C72" s="37"/>
      <c r="D72" s="37"/>
      <c r="E72" s="37"/>
      <c r="F72" s="37"/>
      <c r="G72" s="37">
        <v>3</v>
      </c>
      <c r="H72" s="37">
        <v>3</v>
      </c>
      <c r="I72" s="37"/>
      <c r="J72" s="37"/>
      <c r="K72" s="37">
        <v>6</v>
      </c>
    </row>
    <row r="73" spans="1:11">
      <c r="A73" s="39" t="s">
        <v>602</v>
      </c>
      <c r="B73" s="36" t="s">
        <v>82</v>
      </c>
      <c r="C73" s="37"/>
      <c r="D73" s="37"/>
      <c r="E73" s="37"/>
      <c r="F73" s="37"/>
      <c r="G73" s="37">
        <v>3</v>
      </c>
      <c r="H73" s="37">
        <v>3</v>
      </c>
      <c r="I73" s="37"/>
      <c r="J73" s="37"/>
      <c r="K73" s="37">
        <v>6</v>
      </c>
    </row>
    <row r="74" spans="1:11">
      <c r="A74" s="39" t="s">
        <v>603</v>
      </c>
      <c r="B74" s="36" t="s">
        <v>83</v>
      </c>
      <c r="C74" s="37"/>
      <c r="D74" s="37"/>
      <c r="E74" s="37"/>
      <c r="F74" s="37"/>
      <c r="G74" s="37">
        <v>3</v>
      </c>
      <c r="H74" s="37">
        <v>3</v>
      </c>
      <c r="I74" s="37"/>
      <c r="J74" s="37"/>
      <c r="K74" s="37">
        <v>6</v>
      </c>
    </row>
    <row r="75" spans="1:11">
      <c r="A75" s="39" t="s">
        <v>604</v>
      </c>
      <c r="B75" s="36" t="s">
        <v>84</v>
      </c>
      <c r="C75" s="37"/>
      <c r="D75" s="37"/>
      <c r="E75" s="37"/>
      <c r="F75" s="37"/>
      <c r="G75" s="37">
        <v>3</v>
      </c>
      <c r="H75" s="37">
        <v>3</v>
      </c>
      <c r="I75" s="37"/>
      <c r="J75" s="37"/>
      <c r="K75" s="37">
        <v>6</v>
      </c>
    </row>
    <row r="76" spans="1:11">
      <c r="A76" s="39" t="s">
        <v>605</v>
      </c>
      <c r="B76" s="36" t="s">
        <v>85</v>
      </c>
      <c r="C76" s="37"/>
      <c r="D76" s="37"/>
      <c r="E76" s="37"/>
      <c r="F76" s="37"/>
      <c r="G76" s="37">
        <v>3</v>
      </c>
      <c r="H76" s="37">
        <v>3</v>
      </c>
      <c r="I76" s="37"/>
      <c r="J76" s="37"/>
      <c r="K76" s="37">
        <v>6</v>
      </c>
    </row>
    <row r="77" spans="1:11">
      <c r="A77" s="39" t="s">
        <v>606</v>
      </c>
      <c r="B77" s="36" t="s">
        <v>86</v>
      </c>
      <c r="C77" s="37"/>
      <c r="D77" s="37"/>
      <c r="E77" s="37"/>
      <c r="F77" s="37"/>
      <c r="G77" s="37">
        <v>3</v>
      </c>
      <c r="H77" s="37">
        <v>3</v>
      </c>
      <c r="I77" s="37"/>
      <c r="J77" s="37"/>
      <c r="K77" s="37">
        <v>6</v>
      </c>
    </row>
    <row r="78" spans="1:11">
      <c r="A78" s="48" t="s">
        <v>25</v>
      </c>
      <c r="C78" s="35"/>
      <c r="D78" s="35"/>
      <c r="E78" s="35">
        <v>8</v>
      </c>
      <c r="F78" s="35">
        <v>30</v>
      </c>
      <c r="G78" s="35">
        <v>24</v>
      </c>
      <c r="H78" s="35"/>
      <c r="I78" s="35"/>
      <c r="J78" s="35"/>
      <c r="K78" s="35">
        <v>62</v>
      </c>
    </row>
    <row r="79" spans="1:11">
      <c r="A79" s="39" t="s">
        <v>425</v>
      </c>
      <c r="B79" s="36" t="s">
        <v>31</v>
      </c>
      <c r="C79" s="37"/>
      <c r="D79" s="37"/>
      <c r="E79" s="37">
        <v>2</v>
      </c>
      <c r="F79" s="37">
        <v>2</v>
      </c>
      <c r="G79" s="37">
        <v>1</v>
      </c>
      <c r="H79" s="37"/>
      <c r="I79" s="37"/>
      <c r="J79" s="37"/>
      <c r="K79" s="37">
        <v>5</v>
      </c>
    </row>
    <row r="80" spans="1:11">
      <c r="A80" s="39" t="s">
        <v>538</v>
      </c>
      <c r="B80" s="36" t="s">
        <v>384</v>
      </c>
      <c r="C80" s="37"/>
      <c r="D80" s="37"/>
      <c r="E80" s="37">
        <v>2</v>
      </c>
      <c r="F80" s="37">
        <v>2</v>
      </c>
      <c r="G80" s="37">
        <v>1</v>
      </c>
      <c r="H80" s="37"/>
      <c r="I80" s="37"/>
      <c r="J80" s="37"/>
      <c r="K80" s="37">
        <v>5</v>
      </c>
    </row>
    <row r="81" spans="1:11">
      <c r="A81" s="39" t="s">
        <v>539</v>
      </c>
      <c r="B81" s="36" t="s">
        <v>32</v>
      </c>
      <c r="C81" s="37"/>
      <c r="D81" s="37"/>
      <c r="E81" s="37"/>
      <c r="F81" s="37">
        <v>2</v>
      </c>
      <c r="G81" s="37">
        <v>1</v>
      </c>
      <c r="H81" s="37"/>
      <c r="I81" s="37"/>
      <c r="J81" s="37"/>
      <c r="K81" s="37">
        <v>3</v>
      </c>
    </row>
    <row r="82" spans="1:11">
      <c r="A82" s="39" t="s">
        <v>540</v>
      </c>
      <c r="B82" s="36" t="s">
        <v>33</v>
      </c>
      <c r="C82" s="37"/>
      <c r="D82" s="37"/>
      <c r="E82" s="37"/>
      <c r="F82" s="37">
        <v>2</v>
      </c>
      <c r="G82" s="37">
        <v>1</v>
      </c>
      <c r="H82" s="37"/>
      <c r="I82" s="37"/>
      <c r="J82" s="37"/>
      <c r="K82" s="37">
        <v>3</v>
      </c>
    </row>
    <row r="83" spans="1:11">
      <c r="A83" s="39" t="s">
        <v>541</v>
      </c>
      <c r="B83" s="36" t="s">
        <v>34</v>
      </c>
      <c r="C83" s="37"/>
      <c r="D83" s="37"/>
      <c r="E83" s="37">
        <v>2</v>
      </c>
      <c r="F83" s="37">
        <v>2</v>
      </c>
      <c r="G83" s="37">
        <v>1</v>
      </c>
      <c r="H83" s="37"/>
      <c r="I83" s="37"/>
      <c r="J83" s="37"/>
      <c r="K83" s="37">
        <v>5</v>
      </c>
    </row>
    <row r="84" spans="1:11">
      <c r="A84" s="39" t="s">
        <v>542</v>
      </c>
      <c r="B84" s="36" t="s">
        <v>35</v>
      </c>
      <c r="C84" s="37"/>
      <c r="D84" s="37"/>
      <c r="E84" s="37">
        <v>2</v>
      </c>
      <c r="F84" s="37">
        <v>2</v>
      </c>
      <c r="G84" s="37">
        <v>1</v>
      </c>
      <c r="H84" s="37"/>
      <c r="I84" s="37"/>
      <c r="J84" s="37"/>
      <c r="K84" s="37">
        <v>5</v>
      </c>
    </row>
    <row r="85" spans="1:11">
      <c r="A85" s="39" t="s">
        <v>543</v>
      </c>
      <c r="B85" s="36" t="s">
        <v>36</v>
      </c>
      <c r="C85" s="37"/>
      <c r="D85" s="37"/>
      <c r="E85" s="37"/>
      <c r="F85" s="37">
        <v>1</v>
      </c>
      <c r="G85" s="37">
        <v>1</v>
      </c>
      <c r="H85" s="37"/>
      <c r="I85" s="37"/>
      <c r="J85" s="37"/>
      <c r="K85" s="37">
        <v>2</v>
      </c>
    </row>
    <row r="86" spans="1:11">
      <c r="A86" s="39" t="s">
        <v>544</v>
      </c>
      <c r="B86" s="36" t="s">
        <v>37</v>
      </c>
      <c r="C86" s="37"/>
      <c r="D86" s="37"/>
      <c r="E86" s="37"/>
      <c r="F86" s="37">
        <v>1</v>
      </c>
      <c r="G86" s="37">
        <v>1</v>
      </c>
      <c r="H86" s="37"/>
      <c r="I86" s="37"/>
      <c r="J86" s="37"/>
      <c r="K86" s="37">
        <v>2</v>
      </c>
    </row>
    <row r="87" spans="1:11">
      <c r="A87" s="39" t="s">
        <v>545</v>
      </c>
      <c r="B87" s="36" t="s">
        <v>38</v>
      </c>
      <c r="C87" s="37"/>
      <c r="D87" s="37"/>
      <c r="E87" s="37"/>
      <c r="F87" s="37">
        <v>1</v>
      </c>
      <c r="G87" s="37">
        <v>1</v>
      </c>
      <c r="H87" s="37"/>
      <c r="I87" s="37"/>
      <c r="J87" s="37"/>
      <c r="K87" s="37">
        <v>2</v>
      </c>
    </row>
    <row r="88" spans="1:11">
      <c r="A88" s="39" t="s">
        <v>546</v>
      </c>
      <c r="B88" s="36" t="s">
        <v>39</v>
      </c>
      <c r="C88" s="37"/>
      <c r="D88" s="37"/>
      <c r="E88" s="37"/>
      <c r="F88" s="37">
        <v>1</v>
      </c>
      <c r="G88" s="37">
        <v>1</v>
      </c>
      <c r="H88" s="37"/>
      <c r="I88" s="37"/>
      <c r="J88" s="37"/>
      <c r="K88" s="37">
        <v>2</v>
      </c>
    </row>
    <row r="89" spans="1:11">
      <c r="A89" s="39" t="s">
        <v>547</v>
      </c>
      <c r="B89" s="36" t="s">
        <v>40</v>
      </c>
      <c r="C89" s="37"/>
      <c r="D89" s="37"/>
      <c r="E89" s="37"/>
      <c r="F89" s="37">
        <v>1</v>
      </c>
      <c r="G89" s="37">
        <v>1</v>
      </c>
      <c r="H89" s="37"/>
      <c r="I89" s="37"/>
      <c r="J89" s="37"/>
      <c r="K89" s="37">
        <v>2</v>
      </c>
    </row>
    <row r="90" spans="1:11">
      <c r="A90" s="39" t="s">
        <v>548</v>
      </c>
      <c r="B90" s="36" t="s">
        <v>385</v>
      </c>
      <c r="C90" s="37"/>
      <c r="D90" s="37"/>
      <c r="E90" s="37"/>
      <c r="F90" s="37">
        <v>1</v>
      </c>
      <c r="G90" s="37">
        <v>1</v>
      </c>
      <c r="H90" s="37"/>
      <c r="I90" s="37"/>
      <c r="J90" s="37"/>
      <c r="K90" s="37">
        <v>2</v>
      </c>
    </row>
    <row r="91" spans="1:11">
      <c r="A91" s="39" t="s">
        <v>549</v>
      </c>
      <c r="B91" s="36" t="s">
        <v>386</v>
      </c>
      <c r="C91" s="37"/>
      <c r="D91" s="37"/>
      <c r="E91" s="37"/>
      <c r="F91" s="37">
        <v>1</v>
      </c>
      <c r="G91" s="37">
        <v>1</v>
      </c>
      <c r="H91" s="37"/>
      <c r="I91" s="37"/>
      <c r="J91" s="37"/>
      <c r="K91" s="37">
        <v>2</v>
      </c>
    </row>
    <row r="92" spans="1:11">
      <c r="A92" s="39" t="s">
        <v>550</v>
      </c>
      <c r="B92" s="36" t="s">
        <v>387</v>
      </c>
      <c r="C92" s="37"/>
      <c r="D92" s="37"/>
      <c r="E92" s="37"/>
      <c r="F92" s="37">
        <v>1</v>
      </c>
      <c r="G92" s="37">
        <v>1</v>
      </c>
      <c r="H92" s="37"/>
      <c r="I92" s="37"/>
      <c r="J92" s="37"/>
      <c r="K92" s="37">
        <v>2</v>
      </c>
    </row>
    <row r="93" spans="1:11">
      <c r="A93" s="39" t="s">
        <v>551</v>
      </c>
      <c r="B93" s="36" t="s">
        <v>41</v>
      </c>
      <c r="C93" s="37"/>
      <c r="D93" s="37"/>
      <c r="E93" s="37"/>
      <c r="F93" s="37">
        <v>1</v>
      </c>
      <c r="G93" s="37">
        <v>1</v>
      </c>
      <c r="H93" s="37"/>
      <c r="I93" s="37"/>
      <c r="J93" s="37"/>
      <c r="K93" s="37">
        <v>2</v>
      </c>
    </row>
    <row r="94" spans="1:11">
      <c r="A94" s="39" t="s">
        <v>552</v>
      </c>
      <c r="B94" s="36" t="s">
        <v>42</v>
      </c>
      <c r="C94" s="37"/>
      <c r="D94" s="37"/>
      <c r="E94" s="37"/>
      <c r="F94" s="37">
        <v>1</v>
      </c>
      <c r="G94" s="37">
        <v>1</v>
      </c>
      <c r="H94" s="37"/>
      <c r="I94" s="37"/>
      <c r="J94" s="37"/>
      <c r="K94" s="37">
        <v>2</v>
      </c>
    </row>
    <row r="95" spans="1:11">
      <c r="A95" s="39" t="s">
        <v>662</v>
      </c>
      <c r="B95" s="36" t="s">
        <v>684</v>
      </c>
      <c r="C95" s="37"/>
      <c r="D95" s="37"/>
      <c r="E95" s="37"/>
      <c r="F95" s="37">
        <v>2</v>
      </c>
      <c r="G95" s="37">
        <v>2</v>
      </c>
      <c r="H95" s="37"/>
      <c r="I95" s="37"/>
      <c r="J95" s="37"/>
      <c r="K95" s="37">
        <v>4</v>
      </c>
    </row>
    <row r="96" spans="1:11">
      <c r="A96" s="39" t="s">
        <v>668</v>
      </c>
      <c r="B96" s="36" t="s">
        <v>685</v>
      </c>
      <c r="C96" s="37"/>
      <c r="D96" s="37"/>
      <c r="E96" s="37"/>
      <c r="F96" s="37">
        <v>2</v>
      </c>
      <c r="G96" s="37">
        <v>2</v>
      </c>
      <c r="H96" s="37"/>
      <c r="I96" s="37"/>
      <c r="J96" s="37"/>
      <c r="K96" s="37">
        <v>4</v>
      </c>
    </row>
    <row r="97" spans="1:11">
      <c r="A97" s="39" t="s">
        <v>670</v>
      </c>
      <c r="B97" s="36" t="s">
        <v>677</v>
      </c>
      <c r="C97" s="37"/>
      <c r="D97" s="37"/>
      <c r="E97" s="37"/>
      <c r="F97" s="37">
        <v>2</v>
      </c>
      <c r="G97" s="37">
        <v>2</v>
      </c>
      <c r="H97" s="37"/>
      <c r="I97" s="37"/>
      <c r="J97" s="37"/>
      <c r="K97" s="37">
        <v>4</v>
      </c>
    </row>
    <row r="98" spans="1:11">
      <c r="A98" s="39" t="s">
        <v>672</v>
      </c>
      <c r="B98" s="36" t="s">
        <v>678</v>
      </c>
      <c r="C98" s="37"/>
      <c r="D98" s="37"/>
      <c r="E98" s="37"/>
      <c r="F98" s="37">
        <v>2</v>
      </c>
      <c r="G98" s="37">
        <v>2</v>
      </c>
      <c r="H98" s="37"/>
      <c r="I98" s="37"/>
      <c r="J98" s="37"/>
      <c r="K98" s="37">
        <v>4</v>
      </c>
    </row>
    <row r="99" spans="1:11">
      <c r="A99" s="48" t="s">
        <v>26</v>
      </c>
      <c r="C99" s="35">
        <v>16</v>
      </c>
      <c r="D99" s="35">
        <v>52</v>
      </c>
      <c r="E99" s="35">
        <v>15</v>
      </c>
      <c r="F99" s="35">
        <v>63</v>
      </c>
      <c r="G99" s="35">
        <v>35</v>
      </c>
      <c r="H99" s="35"/>
      <c r="I99" s="35"/>
      <c r="J99" s="35"/>
      <c r="K99" s="35">
        <v>181</v>
      </c>
    </row>
    <row r="100" spans="1:11">
      <c r="A100" s="39" t="s">
        <v>419</v>
      </c>
      <c r="B100" s="36" t="s">
        <v>629</v>
      </c>
      <c r="C100" s="37">
        <v>1</v>
      </c>
      <c r="D100" s="37">
        <v>3</v>
      </c>
      <c r="E100" s="37">
        <v>3</v>
      </c>
      <c r="F100" s="37">
        <v>3</v>
      </c>
      <c r="G100" s="37">
        <v>1</v>
      </c>
      <c r="H100" s="37"/>
      <c r="I100" s="37"/>
      <c r="J100" s="37"/>
      <c r="K100" s="37">
        <v>11</v>
      </c>
    </row>
    <row r="101" spans="1:11">
      <c r="A101" s="39" t="s">
        <v>443</v>
      </c>
      <c r="B101" s="36" t="s">
        <v>289</v>
      </c>
      <c r="C101" s="37">
        <v>1</v>
      </c>
      <c r="D101" s="37">
        <v>3</v>
      </c>
      <c r="E101" s="37">
        <v>3</v>
      </c>
      <c r="F101" s="37">
        <v>3</v>
      </c>
      <c r="G101" s="37">
        <v>1</v>
      </c>
      <c r="H101" s="37"/>
      <c r="I101" s="37"/>
      <c r="J101" s="37"/>
      <c r="K101" s="37">
        <v>11</v>
      </c>
    </row>
    <row r="102" spans="1:11">
      <c r="A102" s="39" t="s">
        <v>444</v>
      </c>
      <c r="B102" s="36" t="s">
        <v>290</v>
      </c>
      <c r="C102" s="37">
        <v>1</v>
      </c>
      <c r="D102" s="37">
        <v>3</v>
      </c>
      <c r="E102" s="37">
        <v>3</v>
      </c>
      <c r="F102" s="37">
        <v>3</v>
      </c>
      <c r="G102" s="37">
        <v>1</v>
      </c>
      <c r="H102" s="37"/>
      <c r="I102" s="37"/>
      <c r="J102" s="37"/>
      <c r="K102" s="37">
        <v>11</v>
      </c>
    </row>
    <row r="103" spans="1:11">
      <c r="A103" s="39" t="s">
        <v>445</v>
      </c>
      <c r="B103" s="36" t="s">
        <v>291</v>
      </c>
      <c r="C103" s="37">
        <v>2</v>
      </c>
      <c r="D103" s="37">
        <v>3</v>
      </c>
      <c r="E103" s="37"/>
      <c r="F103" s="37">
        <v>3</v>
      </c>
      <c r="G103" s="37">
        <v>1</v>
      </c>
      <c r="H103" s="37"/>
      <c r="I103" s="37"/>
      <c r="J103" s="37"/>
      <c r="K103" s="37">
        <v>9</v>
      </c>
    </row>
    <row r="104" spans="1:11">
      <c r="A104" s="39" t="s">
        <v>446</v>
      </c>
      <c r="B104" s="36" t="s">
        <v>292</v>
      </c>
      <c r="C104" s="37"/>
      <c r="D104" s="37"/>
      <c r="E104" s="37"/>
      <c r="F104" s="37">
        <v>1</v>
      </c>
      <c r="G104" s="37">
        <v>1</v>
      </c>
      <c r="H104" s="37"/>
      <c r="I104" s="37"/>
      <c r="J104" s="37"/>
      <c r="K104" s="37">
        <v>2</v>
      </c>
    </row>
    <row r="105" spans="1:11">
      <c r="A105" s="39" t="s">
        <v>447</v>
      </c>
      <c r="B105" s="36" t="s">
        <v>293</v>
      </c>
      <c r="C105" s="37"/>
      <c r="D105" s="37"/>
      <c r="E105" s="37"/>
      <c r="F105" s="37">
        <v>1</v>
      </c>
      <c r="G105" s="37">
        <v>1</v>
      </c>
      <c r="H105" s="37"/>
      <c r="I105" s="37"/>
      <c r="J105" s="37"/>
      <c r="K105" s="37">
        <v>2</v>
      </c>
    </row>
    <row r="106" spans="1:11">
      <c r="A106" s="39" t="s">
        <v>448</v>
      </c>
      <c r="B106" s="36" t="s">
        <v>294</v>
      </c>
      <c r="C106" s="37"/>
      <c r="D106" s="37">
        <v>2</v>
      </c>
      <c r="E106" s="37"/>
      <c r="F106" s="37">
        <v>2</v>
      </c>
      <c r="G106" s="37">
        <v>1</v>
      </c>
      <c r="H106" s="37"/>
      <c r="I106" s="37"/>
      <c r="J106" s="37"/>
      <c r="K106" s="37">
        <v>5</v>
      </c>
    </row>
    <row r="107" spans="1:11">
      <c r="A107" s="39" t="s">
        <v>449</v>
      </c>
      <c r="B107" s="36" t="s">
        <v>295</v>
      </c>
      <c r="C107" s="37"/>
      <c r="D107" s="37">
        <v>2</v>
      </c>
      <c r="E107" s="37"/>
      <c r="F107" s="37">
        <v>2</v>
      </c>
      <c r="G107" s="37">
        <v>1</v>
      </c>
      <c r="H107" s="37"/>
      <c r="I107" s="37"/>
      <c r="J107" s="37"/>
      <c r="K107" s="37">
        <v>5</v>
      </c>
    </row>
    <row r="108" spans="1:11">
      <c r="A108" s="39" t="s">
        <v>450</v>
      </c>
      <c r="B108" s="36" t="s">
        <v>296</v>
      </c>
      <c r="C108" s="37">
        <v>1</v>
      </c>
      <c r="D108" s="37">
        <v>2</v>
      </c>
      <c r="E108" s="37"/>
      <c r="F108" s="37">
        <v>2</v>
      </c>
      <c r="G108" s="37">
        <v>1</v>
      </c>
      <c r="H108" s="37"/>
      <c r="I108" s="37"/>
      <c r="J108" s="37"/>
      <c r="K108" s="37">
        <v>6</v>
      </c>
    </row>
    <row r="109" spans="1:11">
      <c r="A109" s="39" t="s">
        <v>451</v>
      </c>
      <c r="B109" s="36" t="s">
        <v>630</v>
      </c>
      <c r="C109" s="37"/>
      <c r="D109" s="37">
        <v>2</v>
      </c>
      <c r="E109" s="37"/>
      <c r="F109" s="37">
        <v>2</v>
      </c>
      <c r="G109" s="37">
        <v>1</v>
      </c>
      <c r="H109" s="37"/>
      <c r="I109" s="37"/>
      <c r="J109" s="37"/>
      <c r="K109" s="37">
        <v>5</v>
      </c>
    </row>
    <row r="110" spans="1:11">
      <c r="A110" s="39" t="s">
        <v>452</v>
      </c>
      <c r="B110" s="36" t="s">
        <v>297</v>
      </c>
      <c r="C110" s="37"/>
      <c r="D110" s="37">
        <v>2</v>
      </c>
      <c r="E110" s="37"/>
      <c r="F110" s="37">
        <v>2</v>
      </c>
      <c r="G110" s="37">
        <v>1</v>
      </c>
      <c r="H110" s="37"/>
      <c r="I110" s="37"/>
      <c r="J110" s="37"/>
      <c r="K110" s="37">
        <v>5</v>
      </c>
    </row>
    <row r="111" spans="1:11">
      <c r="A111" s="39" t="s">
        <v>453</v>
      </c>
      <c r="B111" s="36" t="s">
        <v>298</v>
      </c>
      <c r="C111" s="37"/>
      <c r="D111" s="37">
        <v>2</v>
      </c>
      <c r="E111" s="37"/>
      <c r="F111" s="37">
        <v>2</v>
      </c>
      <c r="G111" s="37">
        <v>1</v>
      </c>
      <c r="H111" s="37"/>
      <c r="I111" s="37"/>
      <c r="J111" s="37"/>
      <c r="K111" s="37">
        <v>5</v>
      </c>
    </row>
    <row r="112" spans="1:11">
      <c r="A112" s="39" t="s">
        <v>454</v>
      </c>
      <c r="B112" s="36" t="s">
        <v>299</v>
      </c>
      <c r="C112" s="37">
        <v>1</v>
      </c>
      <c r="D112" s="37">
        <v>2</v>
      </c>
      <c r="E112" s="37"/>
      <c r="F112" s="37">
        <v>2</v>
      </c>
      <c r="G112" s="37">
        <v>1</v>
      </c>
      <c r="H112" s="37"/>
      <c r="I112" s="37"/>
      <c r="J112" s="37"/>
      <c r="K112" s="37">
        <v>6</v>
      </c>
    </row>
    <row r="113" spans="1:11">
      <c r="A113" s="39" t="s">
        <v>455</v>
      </c>
      <c r="B113" s="36" t="s">
        <v>300</v>
      </c>
      <c r="C113" s="37"/>
      <c r="D113" s="37">
        <v>2</v>
      </c>
      <c r="E113" s="37"/>
      <c r="F113" s="37">
        <v>2</v>
      </c>
      <c r="G113" s="37">
        <v>1</v>
      </c>
      <c r="H113" s="37"/>
      <c r="I113" s="37"/>
      <c r="J113" s="37"/>
      <c r="K113" s="37">
        <v>5</v>
      </c>
    </row>
    <row r="114" spans="1:11">
      <c r="A114" s="39" t="s">
        <v>456</v>
      </c>
      <c r="B114" s="36" t="s">
        <v>301</v>
      </c>
      <c r="C114" s="37"/>
      <c r="D114" s="37">
        <v>2</v>
      </c>
      <c r="E114" s="37"/>
      <c r="F114" s="37">
        <v>2</v>
      </c>
      <c r="G114" s="37">
        <v>1</v>
      </c>
      <c r="H114" s="37"/>
      <c r="I114" s="37"/>
      <c r="J114" s="37"/>
      <c r="K114" s="37">
        <v>5</v>
      </c>
    </row>
    <row r="115" spans="1:11">
      <c r="A115" s="39" t="s">
        <v>457</v>
      </c>
      <c r="B115" s="36" t="s">
        <v>302</v>
      </c>
      <c r="C115" s="37"/>
      <c r="D115" s="37">
        <v>2</v>
      </c>
      <c r="E115" s="37"/>
      <c r="F115" s="37">
        <v>2</v>
      </c>
      <c r="G115" s="37">
        <v>1</v>
      </c>
      <c r="H115" s="37"/>
      <c r="I115" s="37"/>
      <c r="J115" s="37"/>
      <c r="K115" s="37">
        <v>5</v>
      </c>
    </row>
    <row r="116" spans="1:11">
      <c r="A116" s="39" t="s">
        <v>458</v>
      </c>
      <c r="B116" s="36" t="s">
        <v>303</v>
      </c>
      <c r="C116" s="37"/>
      <c r="D116" s="37"/>
      <c r="E116" s="37"/>
      <c r="F116" s="37">
        <v>1</v>
      </c>
      <c r="G116" s="37">
        <v>1</v>
      </c>
      <c r="H116" s="37"/>
      <c r="I116" s="37"/>
      <c r="J116" s="37"/>
      <c r="K116" s="37">
        <v>2</v>
      </c>
    </row>
    <row r="117" spans="1:11">
      <c r="A117" s="39" t="s">
        <v>459</v>
      </c>
      <c r="B117" s="36" t="s">
        <v>304</v>
      </c>
      <c r="C117" s="37">
        <v>1</v>
      </c>
      <c r="D117" s="37"/>
      <c r="E117" s="37"/>
      <c r="F117" s="37">
        <v>2</v>
      </c>
      <c r="G117" s="37">
        <v>1</v>
      </c>
      <c r="H117" s="37"/>
      <c r="I117" s="37"/>
      <c r="J117" s="37"/>
      <c r="K117" s="37">
        <v>4</v>
      </c>
    </row>
    <row r="118" spans="1:11">
      <c r="A118" s="39" t="s">
        <v>460</v>
      </c>
      <c r="B118" s="36" t="s">
        <v>305</v>
      </c>
      <c r="C118" s="37"/>
      <c r="D118" s="37"/>
      <c r="E118" s="37"/>
      <c r="F118" s="37">
        <v>1</v>
      </c>
      <c r="G118" s="37">
        <v>1</v>
      </c>
      <c r="H118" s="37"/>
      <c r="I118" s="37"/>
      <c r="J118" s="37"/>
      <c r="K118" s="37">
        <v>2</v>
      </c>
    </row>
    <row r="119" spans="1:11">
      <c r="A119" s="39" t="s">
        <v>461</v>
      </c>
      <c r="B119" s="36" t="s">
        <v>306</v>
      </c>
      <c r="C119" s="37"/>
      <c r="D119" s="37">
        <v>2</v>
      </c>
      <c r="E119" s="37"/>
      <c r="F119" s="37">
        <v>2</v>
      </c>
      <c r="G119" s="37">
        <v>1</v>
      </c>
      <c r="H119" s="37"/>
      <c r="I119" s="37"/>
      <c r="J119" s="37"/>
      <c r="K119" s="37">
        <v>5</v>
      </c>
    </row>
    <row r="120" spans="1:11">
      <c r="A120" s="39" t="s">
        <v>462</v>
      </c>
      <c r="B120" s="36" t="s">
        <v>307</v>
      </c>
      <c r="C120" s="37"/>
      <c r="D120" s="37">
        <v>1</v>
      </c>
      <c r="E120" s="37"/>
      <c r="F120" s="37">
        <v>1</v>
      </c>
      <c r="G120" s="37">
        <v>1</v>
      </c>
      <c r="H120" s="37"/>
      <c r="I120" s="37"/>
      <c r="J120" s="37"/>
      <c r="K120" s="37">
        <v>3</v>
      </c>
    </row>
    <row r="121" spans="1:11">
      <c r="A121" s="39" t="s">
        <v>463</v>
      </c>
      <c r="B121" s="36" t="s">
        <v>308</v>
      </c>
      <c r="C121" s="37"/>
      <c r="D121" s="37"/>
      <c r="E121" s="37"/>
      <c r="F121" s="37">
        <v>1</v>
      </c>
      <c r="G121" s="37">
        <v>1</v>
      </c>
      <c r="H121" s="37"/>
      <c r="I121" s="37"/>
      <c r="J121" s="37"/>
      <c r="K121" s="37">
        <v>2</v>
      </c>
    </row>
    <row r="122" spans="1:11">
      <c r="A122" s="39" t="s">
        <v>464</v>
      </c>
      <c r="B122" s="36" t="s">
        <v>309</v>
      </c>
      <c r="C122" s="37"/>
      <c r="D122" s="37"/>
      <c r="E122" s="37"/>
      <c r="F122" s="37">
        <v>1</v>
      </c>
      <c r="G122" s="37">
        <v>1</v>
      </c>
      <c r="H122" s="37"/>
      <c r="I122" s="37"/>
      <c r="J122" s="37"/>
      <c r="K122" s="37">
        <v>2</v>
      </c>
    </row>
    <row r="123" spans="1:11">
      <c r="A123" s="39" t="s">
        <v>465</v>
      </c>
      <c r="B123" s="36" t="s">
        <v>310</v>
      </c>
      <c r="C123" s="37"/>
      <c r="D123" s="37"/>
      <c r="E123" s="37"/>
      <c r="F123" s="37">
        <v>1</v>
      </c>
      <c r="G123" s="37">
        <v>1</v>
      </c>
      <c r="H123" s="37"/>
      <c r="I123" s="37"/>
      <c r="J123" s="37"/>
      <c r="K123" s="37">
        <v>2</v>
      </c>
    </row>
    <row r="124" spans="1:11">
      <c r="A124" s="39" t="s">
        <v>466</v>
      </c>
      <c r="B124" s="36" t="s">
        <v>311</v>
      </c>
      <c r="C124" s="37"/>
      <c r="D124" s="37"/>
      <c r="E124" s="37"/>
      <c r="F124" s="37">
        <v>1</v>
      </c>
      <c r="G124" s="37">
        <v>1</v>
      </c>
      <c r="H124" s="37"/>
      <c r="I124" s="37"/>
      <c r="J124" s="37"/>
      <c r="K124" s="37">
        <v>2</v>
      </c>
    </row>
    <row r="125" spans="1:11">
      <c r="A125" s="39" t="s">
        <v>467</v>
      </c>
      <c r="B125" s="36" t="s">
        <v>312</v>
      </c>
      <c r="C125" s="37"/>
      <c r="D125" s="37"/>
      <c r="E125" s="37"/>
      <c r="F125" s="37">
        <v>1</v>
      </c>
      <c r="G125" s="37">
        <v>1</v>
      </c>
      <c r="H125" s="37"/>
      <c r="I125" s="37"/>
      <c r="J125" s="37"/>
      <c r="K125" s="37">
        <v>2</v>
      </c>
    </row>
    <row r="126" spans="1:11">
      <c r="A126" s="39" t="s">
        <v>468</v>
      </c>
      <c r="B126" s="36" t="s">
        <v>313</v>
      </c>
      <c r="C126" s="37"/>
      <c r="D126" s="37">
        <v>1</v>
      </c>
      <c r="E126" s="37"/>
      <c r="F126" s="37">
        <v>1</v>
      </c>
      <c r="G126" s="37">
        <v>1</v>
      </c>
      <c r="H126" s="37"/>
      <c r="I126" s="37"/>
      <c r="J126" s="37"/>
      <c r="K126" s="37">
        <v>3</v>
      </c>
    </row>
    <row r="127" spans="1:11">
      <c r="A127" s="39" t="s">
        <v>469</v>
      </c>
      <c r="B127" s="36" t="s">
        <v>314</v>
      </c>
      <c r="C127" s="37"/>
      <c r="D127" s="37">
        <v>1</v>
      </c>
      <c r="E127" s="37"/>
      <c r="F127" s="37">
        <v>1</v>
      </c>
      <c r="G127" s="37">
        <v>1</v>
      </c>
      <c r="H127" s="37"/>
      <c r="I127" s="37"/>
      <c r="J127" s="37"/>
      <c r="K127" s="37">
        <v>3</v>
      </c>
    </row>
    <row r="128" spans="1:11">
      <c r="A128" s="39" t="s">
        <v>470</v>
      </c>
      <c r="B128" s="36" t="s">
        <v>315</v>
      </c>
      <c r="C128" s="37"/>
      <c r="D128" s="37"/>
      <c r="E128" s="37"/>
      <c r="F128" s="37">
        <v>1</v>
      </c>
      <c r="G128" s="37">
        <v>1</v>
      </c>
      <c r="H128" s="37"/>
      <c r="I128" s="37"/>
      <c r="J128" s="37"/>
      <c r="K128" s="37">
        <v>2</v>
      </c>
    </row>
    <row r="129" spans="1:11">
      <c r="A129" s="39" t="s">
        <v>471</v>
      </c>
      <c r="B129" s="36" t="s">
        <v>316</v>
      </c>
      <c r="C129" s="37"/>
      <c r="D129" s="37"/>
      <c r="E129" s="37"/>
      <c r="F129" s="37">
        <v>1</v>
      </c>
      <c r="G129" s="37">
        <v>1</v>
      </c>
      <c r="H129" s="37"/>
      <c r="I129" s="37"/>
      <c r="J129" s="37"/>
      <c r="K129" s="37">
        <v>2</v>
      </c>
    </row>
    <row r="130" spans="1:11">
      <c r="A130" s="39" t="s">
        <v>472</v>
      </c>
      <c r="B130" s="36" t="s">
        <v>317</v>
      </c>
      <c r="C130" s="37"/>
      <c r="D130" s="37"/>
      <c r="E130" s="37"/>
      <c r="F130" s="37">
        <v>1</v>
      </c>
      <c r="G130" s="37">
        <v>1</v>
      </c>
      <c r="H130" s="37"/>
      <c r="I130" s="37"/>
      <c r="J130" s="37"/>
      <c r="K130" s="37">
        <v>2</v>
      </c>
    </row>
    <row r="131" spans="1:11">
      <c r="A131" s="39" t="s">
        <v>473</v>
      </c>
      <c r="B131" s="36" t="s">
        <v>318</v>
      </c>
      <c r="C131" s="37"/>
      <c r="D131" s="37">
        <v>1</v>
      </c>
      <c r="E131" s="37"/>
      <c r="F131" s="37"/>
      <c r="G131" s="37"/>
      <c r="H131" s="37"/>
      <c r="I131" s="37"/>
      <c r="J131" s="37"/>
      <c r="K131" s="37">
        <v>1</v>
      </c>
    </row>
    <row r="132" spans="1:11">
      <c r="A132" s="39" t="s">
        <v>474</v>
      </c>
      <c r="B132" s="36" t="s">
        <v>319</v>
      </c>
      <c r="C132" s="37"/>
      <c r="D132" s="37">
        <v>1</v>
      </c>
      <c r="E132" s="37"/>
      <c r="F132" s="37"/>
      <c r="G132" s="37"/>
      <c r="H132" s="37"/>
      <c r="I132" s="37"/>
      <c r="J132" s="37"/>
      <c r="K132" s="37">
        <v>1</v>
      </c>
    </row>
    <row r="133" spans="1:11">
      <c r="A133" s="39" t="s">
        <v>475</v>
      </c>
      <c r="B133" s="36" t="s">
        <v>320</v>
      </c>
      <c r="C133" s="37">
        <v>1</v>
      </c>
      <c r="D133" s="37">
        <v>2</v>
      </c>
      <c r="E133" s="37"/>
      <c r="F133" s="37">
        <v>1</v>
      </c>
      <c r="G133" s="37"/>
      <c r="H133" s="37"/>
      <c r="I133" s="37"/>
      <c r="J133" s="37"/>
      <c r="K133" s="37">
        <v>4</v>
      </c>
    </row>
    <row r="134" spans="1:11">
      <c r="A134" s="39" t="s">
        <v>476</v>
      </c>
      <c r="B134" s="36" t="s">
        <v>321</v>
      </c>
      <c r="C134" s="37">
        <v>1</v>
      </c>
      <c r="D134" s="37">
        <v>3</v>
      </c>
      <c r="E134" s="37">
        <v>3</v>
      </c>
      <c r="F134" s="37">
        <v>3</v>
      </c>
      <c r="G134" s="37">
        <v>2</v>
      </c>
      <c r="H134" s="37"/>
      <c r="I134" s="37"/>
      <c r="J134" s="37"/>
      <c r="K134" s="37">
        <v>12</v>
      </c>
    </row>
    <row r="135" spans="1:11">
      <c r="A135" s="39" t="s">
        <v>477</v>
      </c>
      <c r="B135" s="36" t="s">
        <v>322</v>
      </c>
      <c r="C135" s="37">
        <v>1</v>
      </c>
      <c r="D135" s="37">
        <v>3</v>
      </c>
      <c r="E135" s="37">
        <v>3</v>
      </c>
      <c r="F135" s="37">
        <v>3</v>
      </c>
      <c r="G135" s="37">
        <v>2</v>
      </c>
      <c r="H135" s="37"/>
      <c r="I135" s="37"/>
      <c r="J135" s="37"/>
      <c r="K135" s="37">
        <v>12</v>
      </c>
    </row>
    <row r="136" spans="1:11">
      <c r="A136" s="39" t="s">
        <v>478</v>
      </c>
      <c r="B136" s="36" t="s">
        <v>323</v>
      </c>
      <c r="C136" s="37">
        <v>2</v>
      </c>
      <c r="D136" s="37">
        <v>2</v>
      </c>
      <c r="E136" s="37"/>
      <c r="F136" s="37">
        <v>2</v>
      </c>
      <c r="G136" s="37"/>
      <c r="H136" s="37"/>
      <c r="I136" s="37"/>
      <c r="J136" s="37"/>
      <c r="K136" s="37">
        <v>6</v>
      </c>
    </row>
    <row r="137" spans="1:11">
      <c r="A137" s="39" t="s">
        <v>479</v>
      </c>
      <c r="B137" s="36" t="s">
        <v>324</v>
      </c>
      <c r="C137" s="37">
        <v>2</v>
      </c>
      <c r="D137" s="37">
        <v>2</v>
      </c>
      <c r="E137" s="37"/>
      <c r="F137" s="37">
        <v>2</v>
      </c>
      <c r="G137" s="37"/>
      <c r="H137" s="37"/>
      <c r="I137" s="37"/>
      <c r="J137" s="37"/>
      <c r="K137" s="37">
        <v>6</v>
      </c>
    </row>
    <row r="138" spans="1:11">
      <c r="A138" s="39" t="s">
        <v>480</v>
      </c>
      <c r="B138" s="36" t="s">
        <v>325</v>
      </c>
      <c r="C138" s="37">
        <v>1</v>
      </c>
      <c r="D138" s="37">
        <v>1</v>
      </c>
      <c r="E138" s="37"/>
      <c r="F138" s="37">
        <v>1</v>
      </c>
      <c r="G138" s="37"/>
      <c r="H138" s="37"/>
      <c r="I138" s="37"/>
      <c r="J138" s="37"/>
      <c r="K138" s="37">
        <v>3</v>
      </c>
    </row>
    <row r="139" spans="1:11">
      <c r="A139" s="48" t="s">
        <v>12</v>
      </c>
      <c r="C139" s="35"/>
      <c r="D139" s="35">
        <v>39</v>
      </c>
      <c r="E139" s="35"/>
      <c r="F139" s="35"/>
      <c r="G139" s="35"/>
      <c r="H139" s="35"/>
      <c r="I139" s="35"/>
      <c r="J139" s="35"/>
      <c r="K139" s="35">
        <v>39</v>
      </c>
    </row>
    <row r="140" spans="1:11">
      <c r="A140" s="39" t="s">
        <v>429</v>
      </c>
      <c r="B140" s="36" t="s">
        <v>53</v>
      </c>
      <c r="C140" s="37"/>
      <c r="D140" s="37">
        <v>3</v>
      </c>
      <c r="E140" s="37"/>
      <c r="F140" s="37"/>
      <c r="G140" s="37"/>
      <c r="H140" s="37"/>
      <c r="I140" s="37"/>
      <c r="J140" s="37"/>
      <c r="K140" s="37">
        <v>3</v>
      </c>
    </row>
    <row r="141" spans="1:11">
      <c r="A141" s="39" t="s">
        <v>562</v>
      </c>
      <c r="B141" s="36" t="s">
        <v>54</v>
      </c>
      <c r="C141" s="37"/>
      <c r="D141" s="37">
        <v>3</v>
      </c>
      <c r="E141" s="37"/>
      <c r="F141" s="37"/>
      <c r="G141" s="37"/>
      <c r="H141" s="37"/>
      <c r="I141" s="37"/>
      <c r="J141" s="37"/>
      <c r="K141" s="37">
        <v>3</v>
      </c>
    </row>
    <row r="142" spans="1:11">
      <c r="A142" s="39" t="s">
        <v>563</v>
      </c>
      <c r="B142" s="36" t="s">
        <v>55</v>
      </c>
      <c r="C142" s="37"/>
      <c r="D142" s="37">
        <v>3</v>
      </c>
      <c r="E142" s="37"/>
      <c r="F142" s="37"/>
      <c r="G142" s="37"/>
      <c r="H142" s="37"/>
      <c r="I142" s="37"/>
      <c r="J142" s="37"/>
      <c r="K142" s="37">
        <v>3</v>
      </c>
    </row>
    <row r="143" spans="1:11">
      <c r="A143" s="39" t="s">
        <v>564</v>
      </c>
      <c r="B143" s="36" t="s">
        <v>56</v>
      </c>
      <c r="C143" s="37"/>
      <c r="D143" s="37">
        <v>3</v>
      </c>
      <c r="E143" s="37"/>
      <c r="F143" s="37"/>
      <c r="G143" s="37"/>
      <c r="H143" s="37"/>
      <c r="I143" s="37"/>
      <c r="J143" s="37"/>
      <c r="K143" s="37">
        <v>3</v>
      </c>
    </row>
    <row r="144" spans="1:11">
      <c r="A144" s="39" t="s">
        <v>565</v>
      </c>
      <c r="B144" s="36" t="s">
        <v>57</v>
      </c>
      <c r="C144" s="37"/>
      <c r="D144" s="37">
        <v>3</v>
      </c>
      <c r="E144" s="37"/>
      <c r="F144" s="37"/>
      <c r="G144" s="37"/>
      <c r="H144" s="37"/>
      <c r="I144" s="37"/>
      <c r="J144" s="37"/>
      <c r="K144" s="37">
        <v>3</v>
      </c>
    </row>
    <row r="145" spans="1:11">
      <c r="A145" s="39" t="s">
        <v>566</v>
      </c>
      <c r="B145" s="36" t="s">
        <v>58</v>
      </c>
      <c r="C145" s="37"/>
      <c r="D145" s="37">
        <v>3</v>
      </c>
      <c r="E145" s="37"/>
      <c r="F145" s="37"/>
      <c r="G145" s="37"/>
      <c r="H145" s="37"/>
      <c r="I145" s="37"/>
      <c r="J145" s="37"/>
      <c r="K145" s="37">
        <v>3</v>
      </c>
    </row>
    <row r="146" spans="1:11">
      <c r="A146" s="39" t="s">
        <v>567</v>
      </c>
      <c r="B146" s="36" t="s">
        <v>59</v>
      </c>
      <c r="C146" s="37"/>
      <c r="D146" s="37">
        <v>3</v>
      </c>
      <c r="E146" s="37"/>
      <c r="F146" s="37"/>
      <c r="G146" s="37"/>
      <c r="H146" s="37"/>
      <c r="I146" s="37"/>
      <c r="J146" s="37"/>
      <c r="K146" s="37">
        <v>3</v>
      </c>
    </row>
    <row r="147" spans="1:11">
      <c r="A147" s="39" t="s">
        <v>568</v>
      </c>
      <c r="B147" s="36" t="s">
        <v>60</v>
      </c>
      <c r="C147" s="37"/>
      <c r="D147" s="37">
        <v>3</v>
      </c>
      <c r="E147" s="37"/>
      <c r="F147" s="37"/>
      <c r="G147" s="37"/>
      <c r="H147" s="37"/>
      <c r="I147" s="37"/>
      <c r="J147" s="37"/>
      <c r="K147" s="37">
        <v>3</v>
      </c>
    </row>
    <row r="148" spans="1:11">
      <c r="A148" s="39" t="s">
        <v>569</v>
      </c>
      <c r="B148" s="36" t="s">
        <v>61</v>
      </c>
      <c r="C148" s="37"/>
      <c r="D148" s="37">
        <v>3</v>
      </c>
      <c r="E148" s="37"/>
      <c r="F148" s="37"/>
      <c r="G148" s="37"/>
      <c r="H148" s="37"/>
      <c r="I148" s="37"/>
      <c r="J148" s="37"/>
      <c r="K148" s="37">
        <v>3</v>
      </c>
    </row>
    <row r="149" spans="1:11">
      <c r="A149" s="39" t="s">
        <v>570</v>
      </c>
      <c r="B149" s="36" t="s">
        <v>62</v>
      </c>
      <c r="C149" s="37"/>
      <c r="D149" s="37">
        <v>3</v>
      </c>
      <c r="E149" s="37"/>
      <c r="F149" s="37"/>
      <c r="G149" s="37"/>
      <c r="H149" s="37"/>
      <c r="I149" s="37"/>
      <c r="J149" s="37"/>
      <c r="K149" s="37">
        <v>3</v>
      </c>
    </row>
    <row r="150" spans="1:11">
      <c r="A150" s="39" t="s">
        <v>571</v>
      </c>
      <c r="B150" s="36" t="s">
        <v>63</v>
      </c>
      <c r="C150" s="37"/>
      <c r="D150" s="37">
        <v>3</v>
      </c>
      <c r="E150" s="37"/>
      <c r="F150" s="37"/>
      <c r="G150" s="37"/>
      <c r="H150" s="37"/>
      <c r="I150" s="37"/>
      <c r="J150" s="37"/>
      <c r="K150" s="37">
        <v>3</v>
      </c>
    </row>
    <row r="151" spans="1:11">
      <c r="A151" s="39" t="s">
        <v>572</v>
      </c>
      <c r="B151" s="36" t="s">
        <v>64</v>
      </c>
      <c r="C151" s="37"/>
      <c r="D151" s="37">
        <v>3</v>
      </c>
      <c r="E151" s="37"/>
      <c r="F151" s="37"/>
      <c r="G151" s="37"/>
      <c r="H151" s="37"/>
      <c r="I151" s="37"/>
      <c r="J151" s="37"/>
      <c r="K151" s="37">
        <v>3</v>
      </c>
    </row>
    <row r="152" spans="1:11">
      <c r="A152" s="39" t="s">
        <v>573</v>
      </c>
      <c r="B152" s="36" t="s">
        <v>65</v>
      </c>
      <c r="C152" s="37"/>
      <c r="D152" s="37">
        <v>3</v>
      </c>
      <c r="E152" s="37"/>
      <c r="F152" s="37"/>
      <c r="G152" s="37"/>
      <c r="H152" s="37"/>
      <c r="I152" s="37"/>
      <c r="J152" s="37"/>
      <c r="K152" s="37">
        <v>3</v>
      </c>
    </row>
    <row r="153" spans="1:11">
      <c r="A153" s="48" t="s">
        <v>27</v>
      </c>
      <c r="C153" s="35"/>
      <c r="D153" s="35"/>
      <c r="E153" s="35"/>
      <c r="F153" s="35">
        <v>104</v>
      </c>
      <c r="G153" s="35">
        <v>102</v>
      </c>
      <c r="H153" s="35">
        <v>4</v>
      </c>
      <c r="I153" s="35"/>
      <c r="J153" s="35"/>
      <c r="K153" s="35">
        <v>210</v>
      </c>
    </row>
    <row r="154" spans="1:11">
      <c r="A154" s="39" t="s">
        <v>423</v>
      </c>
      <c r="B154" s="36" t="s">
        <v>349</v>
      </c>
      <c r="C154" s="37"/>
      <c r="D154" s="37"/>
      <c r="E154" s="37"/>
      <c r="F154" s="37">
        <v>3</v>
      </c>
      <c r="G154" s="37">
        <v>3</v>
      </c>
      <c r="H154" s="37">
        <v>1</v>
      </c>
      <c r="I154" s="37"/>
      <c r="J154" s="37"/>
      <c r="K154" s="37">
        <v>7</v>
      </c>
    </row>
    <row r="155" spans="1:11">
      <c r="A155" s="39" t="s">
        <v>504</v>
      </c>
      <c r="B155" s="36" t="s">
        <v>350</v>
      </c>
      <c r="C155" s="37"/>
      <c r="D155" s="37"/>
      <c r="E155" s="37"/>
      <c r="F155" s="37">
        <v>3</v>
      </c>
      <c r="G155" s="37">
        <v>3</v>
      </c>
      <c r="H155" s="37">
        <v>1</v>
      </c>
      <c r="I155" s="37"/>
      <c r="J155" s="37"/>
      <c r="K155" s="37">
        <v>7</v>
      </c>
    </row>
    <row r="156" spans="1:11">
      <c r="A156" s="39" t="s">
        <v>505</v>
      </c>
      <c r="B156" s="36" t="s">
        <v>351</v>
      </c>
      <c r="C156" s="37"/>
      <c r="D156" s="37"/>
      <c r="E156" s="37"/>
      <c r="F156" s="37">
        <v>3</v>
      </c>
      <c r="G156" s="37">
        <v>2</v>
      </c>
      <c r="H156" s="37">
        <v>1</v>
      </c>
      <c r="I156" s="37"/>
      <c r="J156" s="37"/>
      <c r="K156" s="37">
        <v>6</v>
      </c>
    </row>
    <row r="157" spans="1:11">
      <c r="A157" s="39" t="s">
        <v>506</v>
      </c>
      <c r="B157" s="36" t="s">
        <v>352</v>
      </c>
      <c r="C157" s="37"/>
      <c r="D157" s="37"/>
      <c r="E157" s="37"/>
      <c r="F157" s="37">
        <v>3</v>
      </c>
      <c r="G157" s="37">
        <v>3</v>
      </c>
      <c r="H157" s="37">
        <v>0</v>
      </c>
      <c r="I157" s="37"/>
      <c r="J157" s="37"/>
      <c r="K157" s="37">
        <v>6</v>
      </c>
    </row>
    <row r="158" spans="1:11">
      <c r="A158" s="39" t="s">
        <v>507</v>
      </c>
      <c r="B158" s="36" t="s">
        <v>353</v>
      </c>
      <c r="C158" s="37"/>
      <c r="D158" s="37"/>
      <c r="E158" s="37"/>
      <c r="F158" s="37">
        <v>3</v>
      </c>
      <c r="G158" s="37">
        <v>3</v>
      </c>
      <c r="H158" s="37"/>
      <c r="I158" s="37"/>
      <c r="J158" s="37"/>
      <c r="K158" s="37">
        <v>6</v>
      </c>
    </row>
    <row r="159" spans="1:11">
      <c r="A159" s="39" t="s">
        <v>508</v>
      </c>
      <c r="B159" s="36" t="s">
        <v>354</v>
      </c>
      <c r="C159" s="37"/>
      <c r="D159" s="37"/>
      <c r="E159" s="37"/>
      <c r="F159" s="37">
        <v>3</v>
      </c>
      <c r="G159" s="37">
        <v>3</v>
      </c>
      <c r="H159" s="37"/>
      <c r="I159" s="37"/>
      <c r="J159" s="37"/>
      <c r="K159" s="37">
        <v>6</v>
      </c>
    </row>
    <row r="160" spans="1:11">
      <c r="A160" s="39" t="s">
        <v>509</v>
      </c>
      <c r="B160" s="36" t="s">
        <v>355</v>
      </c>
      <c r="C160" s="37"/>
      <c r="D160" s="37"/>
      <c r="E160" s="37"/>
      <c r="F160" s="37">
        <v>3</v>
      </c>
      <c r="G160" s="37">
        <v>3</v>
      </c>
      <c r="H160" s="37"/>
      <c r="I160" s="37"/>
      <c r="J160" s="37"/>
      <c r="K160" s="37">
        <v>6</v>
      </c>
    </row>
    <row r="161" spans="1:11">
      <c r="A161" s="39" t="s">
        <v>510</v>
      </c>
      <c r="B161" s="36" t="s">
        <v>356</v>
      </c>
      <c r="C161" s="37"/>
      <c r="D161" s="37"/>
      <c r="E161" s="37"/>
      <c r="F161" s="37">
        <v>3</v>
      </c>
      <c r="G161" s="37">
        <v>3</v>
      </c>
      <c r="H161" s="37"/>
      <c r="I161" s="37"/>
      <c r="J161" s="37"/>
      <c r="K161" s="37">
        <v>6</v>
      </c>
    </row>
    <row r="162" spans="1:11">
      <c r="A162" s="39" t="s">
        <v>511</v>
      </c>
      <c r="B162" s="36" t="s">
        <v>357</v>
      </c>
      <c r="C162" s="37"/>
      <c r="D162" s="37"/>
      <c r="E162" s="37"/>
      <c r="F162" s="37">
        <v>3</v>
      </c>
      <c r="G162" s="37">
        <v>3</v>
      </c>
      <c r="H162" s="37">
        <v>1</v>
      </c>
      <c r="I162" s="37"/>
      <c r="J162" s="37"/>
      <c r="K162" s="37">
        <v>7</v>
      </c>
    </row>
    <row r="163" spans="1:11">
      <c r="A163" s="39" t="s">
        <v>512</v>
      </c>
      <c r="B163" s="36" t="s">
        <v>358</v>
      </c>
      <c r="C163" s="37"/>
      <c r="D163" s="37"/>
      <c r="E163" s="37"/>
      <c r="F163" s="37">
        <v>3</v>
      </c>
      <c r="G163" s="37">
        <v>3</v>
      </c>
      <c r="H163" s="37"/>
      <c r="I163" s="37"/>
      <c r="J163" s="37"/>
      <c r="K163" s="37">
        <v>6</v>
      </c>
    </row>
    <row r="164" spans="1:11">
      <c r="A164" s="39" t="s">
        <v>513</v>
      </c>
      <c r="B164" s="36" t="s">
        <v>359</v>
      </c>
      <c r="C164" s="37"/>
      <c r="D164" s="37"/>
      <c r="E164" s="37"/>
      <c r="F164" s="37">
        <v>3</v>
      </c>
      <c r="G164" s="37">
        <v>3</v>
      </c>
      <c r="H164" s="37"/>
      <c r="I164" s="37"/>
      <c r="J164" s="37"/>
      <c r="K164" s="37">
        <v>6</v>
      </c>
    </row>
    <row r="165" spans="1:11">
      <c r="A165" s="39" t="s">
        <v>514</v>
      </c>
      <c r="B165" s="36" t="s">
        <v>360</v>
      </c>
      <c r="C165" s="37"/>
      <c r="D165" s="37"/>
      <c r="E165" s="37"/>
      <c r="F165" s="37">
        <v>3</v>
      </c>
      <c r="G165" s="37">
        <v>3</v>
      </c>
      <c r="H165" s="37"/>
      <c r="I165" s="37"/>
      <c r="J165" s="37"/>
      <c r="K165" s="37">
        <v>6</v>
      </c>
    </row>
    <row r="166" spans="1:11">
      <c r="A166" s="39" t="s">
        <v>515</v>
      </c>
      <c r="B166" s="36" t="s">
        <v>361</v>
      </c>
      <c r="C166" s="37"/>
      <c r="D166" s="37"/>
      <c r="E166" s="37"/>
      <c r="F166" s="37">
        <v>3</v>
      </c>
      <c r="G166" s="37">
        <v>3</v>
      </c>
      <c r="H166" s="37"/>
      <c r="I166" s="37"/>
      <c r="J166" s="37"/>
      <c r="K166" s="37">
        <v>6</v>
      </c>
    </row>
    <row r="167" spans="1:11">
      <c r="A167" s="39" t="s">
        <v>516</v>
      </c>
      <c r="B167" s="36" t="s">
        <v>362</v>
      </c>
      <c r="C167" s="37"/>
      <c r="D167" s="37"/>
      <c r="E167" s="37"/>
      <c r="F167" s="37">
        <v>3</v>
      </c>
      <c r="G167" s="37">
        <v>3</v>
      </c>
      <c r="H167" s="37"/>
      <c r="I167" s="37"/>
      <c r="J167" s="37"/>
      <c r="K167" s="37">
        <v>6</v>
      </c>
    </row>
    <row r="168" spans="1:11">
      <c r="A168" s="39" t="s">
        <v>517</v>
      </c>
      <c r="B168" s="36" t="s">
        <v>363</v>
      </c>
      <c r="C168" s="37"/>
      <c r="D168" s="37"/>
      <c r="E168" s="37"/>
      <c r="F168" s="37">
        <v>3</v>
      </c>
      <c r="G168" s="37">
        <v>3</v>
      </c>
      <c r="H168" s="37"/>
      <c r="I168" s="37"/>
      <c r="J168" s="37"/>
      <c r="K168" s="37">
        <v>6</v>
      </c>
    </row>
    <row r="169" spans="1:11">
      <c r="A169" s="39" t="s">
        <v>518</v>
      </c>
      <c r="B169" s="36" t="s">
        <v>364</v>
      </c>
      <c r="C169" s="37"/>
      <c r="D169" s="37"/>
      <c r="E169" s="37"/>
      <c r="F169" s="37">
        <v>3</v>
      </c>
      <c r="G169" s="37">
        <v>3</v>
      </c>
      <c r="H169" s="37"/>
      <c r="I169" s="37"/>
      <c r="J169" s="37"/>
      <c r="K169" s="37">
        <v>6</v>
      </c>
    </row>
    <row r="170" spans="1:11">
      <c r="A170" s="39" t="s">
        <v>519</v>
      </c>
      <c r="B170" s="36" t="s">
        <v>365</v>
      </c>
      <c r="C170" s="37"/>
      <c r="D170" s="37"/>
      <c r="E170" s="37"/>
      <c r="F170" s="37">
        <v>3</v>
      </c>
      <c r="G170" s="37">
        <v>3</v>
      </c>
      <c r="H170" s="37"/>
      <c r="I170" s="37"/>
      <c r="J170" s="37"/>
      <c r="K170" s="37">
        <v>6</v>
      </c>
    </row>
    <row r="171" spans="1:11">
      <c r="A171" s="39" t="s">
        <v>520</v>
      </c>
      <c r="B171" s="36" t="s">
        <v>366</v>
      </c>
      <c r="C171" s="37"/>
      <c r="D171" s="37"/>
      <c r="E171" s="37"/>
      <c r="F171" s="37">
        <v>3</v>
      </c>
      <c r="G171" s="37">
        <v>3</v>
      </c>
      <c r="H171" s="37"/>
      <c r="I171" s="37"/>
      <c r="J171" s="37"/>
      <c r="K171" s="37">
        <v>6</v>
      </c>
    </row>
    <row r="172" spans="1:11">
      <c r="A172" s="39" t="s">
        <v>521</v>
      </c>
      <c r="B172" s="36" t="s">
        <v>367</v>
      </c>
      <c r="C172" s="37"/>
      <c r="D172" s="37"/>
      <c r="E172" s="37"/>
      <c r="F172" s="37">
        <v>3</v>
      </c>
      <c r="G172" s="37">
        <v>3</v>
      </c>
      <c r="H172" s="37"/>
      <c r="I172" s="37"/>
      <c r="J172" s="37"/>
      <c r="K172" s="37">
        <v>6</v>
      </c>
    </row>
    <row r="173" spans="1:11">
      <c r="A173" s="39" t="s">
        <v>522</v>
      </c>
      <c r="B173" s="36" t="s">
        <v>368</v>
      </c>
      <c r="C173" s="37"/>
      <c r="D173" s="37"/>
      <c r="E173" s="37"/>
      <c r="F173" s="37">
        <v>3</v>
      </c>
      <c r="G173" s="37">
        <v>3</v>
      </c>
      <c r="H173" s="37"/>
      <c r="I173" s="37"/>
      <c r="J173" s="37"/>
      <c r="K173" s="37">
        <v>6</v>
      </c>
    </row>
    <row r="174" spans="1:11">
      <c r="A174" s="39" t="s">
        <v>523</v>
      </c>
      <c r="B174" s="36" t="s">
        <v>369</v>
      </c>
      <c r="C174" s="37"/>
      <c r="D174" s="37"/>
      <c r="E174" s="37"/>
      <c r="F174" s="37">
        <v>3</v>
      </c>
      <c r="G174" s="37">
        <v>3</v>
      </c>
      <c r="H174" s="37"/>
      <c r="I174" s="37"/>
      <c r="J174" s="37"/>
      <c r="K174" s="37">
        <v>6</v>
      </c>
    </row>
    <row r="175" spans="1:11">
      <c r="A175" s="39" t="s">
        <v>524</v>
      </c>
      <c r="B175" s="36" t="s">
        <v>370</v>
      </c>
      <c r="C175" s="37"/>
      <c r="D175" s="37"/>
      <c r="E175" s="37"/>
      <c r="F175" s="37">
        <v>2</v>
      </c>
      <c r="G175" s="37">
        <v>3</v>
      </c>
      <c r="H175" s="37"/>
      <c r="I175" s="37"/>
      <c r="J175" s="37"/>
      <c r="K175" s="37">
        <v>5</v>
      </c>
    </row>
    <row r="176" spans="1:11">
      <c r="A176" s="39" t="s">
        <v>525</v>
      </c>
      <c r="B176" s="36" t="s">
        <v>371</v>
      </c>
      <c r="C176" s="37"/>
      <c r="D176" s="37"/>
      <c r="E176" s="37"/>
      <c r="F176" s="37">
        <v>3</v>
      </c>
      <c r="G176" s="37">
        <v>3</v>
      </c>
      <c r="H176" s="37"/>
      <c r="I176" s="37"/>
      <c r="J176" s="37"/>
      <c r="K176" s="37">
        <v>6</v>
      </c>
    </row>
    <row r="177" spans="1:11">
      <c r="A177" s="39" t="s">
        <v>526</v>
      </c>
      <c r="B177" s="36" t="s">
        <v>372</v>
      </c>
      <c r="C177" s="37"/>
      <c r="D177" s="37"/>
      <c r="E177" s="37"/>
      <c r="F177" s="37">
        <v>3</v>
      </c>
      <c r="G177" s="37">
        <v>3</v>
      </c>
      <c r="H177" s="37"/>
      <c r="I177" s="37"/>
      <c r="J177" s="37"/>
      <c r="K177" s="37">
        <v>6</v>
      </c>
    </row>
    <row r="178" spans="1:11">
      <c r="A178" s="39" t="s">
        <v>527</v>
      </c>
      <c r="B178" s="36" t="s">
        <v>373</v>
      </c>
      <c r="C178" s="37"/>
      <c r="D178" s="37"/>
      <c r="E178" s="37"/>
      <c r="F178" s="37">
        <v>3</v>
      </c>
      <c r="G178" s="37">
        <v>1</v>
      </c>
      <c r="H178" s="37"/>
      <c r="I178" s="37"/>
      <c r="J178" s="37"/>
      <c r="K178" s="37">
        <v>4</v>
      </c>
    </row>
    <row r="179" spans="1:11">
      <c r="A179" s="39" t="s">
        <v>528</v>
      </c>
      <c r="B179" s="36" t="s">
        <v>374</v>
      </c>
      <c r="C179" s="37"/>
      <c r="D179" s="37"/>
      <c r="E179" s="37"/>
      <c r="F179" s="37">
        <v>3</v>
      </c>
      <c r="G179" s="37">
        <v>3</v>
      </c>
      <c r="H179" s="37"/>
      <c r="I179" s="37"/>
      <c r="J179" s="37"/>
      <c r="K179" s="37">
        <v>6</v>
      </c>
    </row>
    <row r="180" spans="1:11">
      <c r="A180" s="39" t="s">
        <v>529</v>
      </c>
      <c r="B180" s="36" t="s">
        <v>375</v>
      </c>
      <c r="C180" s="37"/>
      <c r="D180" s="37"/>
      <c r="E180" s="37"/>
      <c r="F180" s="37">
        <v>3</v>
      </c>
      <c r="G180" s="37">
        <v>3</v>
      </c>
      <c r="H180" s="37"/>
      <c r="I180" s="37"/>
      <c r="J180" s="37"/>
      <c r="K180" s="37">
        <v>6</v>
      </c>
    </row>
    <row r="181" spans="1:11">
      <c r="A181" s="39" t="s">
        <v>530</v>
      </c>
      <c r="B181" s="36" t="s">
        <v>376</v>
      </c>
      <c r="C181" s="37"/>
      <c r="D181" s="37"/>
      <c r="E181" s="37"/>
      <c r="F181" s="37">
        <v>3</v>
      </c>
      <c r="G181" s="37">
        <v>3</v>
      </c>
      <c r="H181" s="37"/>
      <c r="I181" s="37"/>
      <c r="J181" s="37"/>
      <c r="K181" s="37">
        <v>6</v>
      </c>
    </row>
    <row r="182" spans="1:11">
      <c r="A182" s="39" t="s">
        <v>531</v>
      </c>
      <c r="B182" s="36" t="s">
        <v>377</v>
      </c>
      <c r="C182" s="37"/>
      <c r="D182" s="37"/>
      <c r="E182" s="37"/>
      <c r="F182" s="37">
        <v>3</v>
      </c>
      <c r="G182" s="37">
        <v>3</v>
      </c>
      <c r="H182" s="37"/>
      <c r="I182" s="37"/>
      <c r="J182" s="37"/>
      <c r="K182" s="37">
        <v>6</v>
      </c>
    </row>
    <row r="183" spans="1:11">
      <c r="A183" s="39" t="s">
        <v>532</v>
      </c>
      <c r="B183" s="36" t="s">
        <v>378</v>
      </c>
      <c r="C183" s="37"/>
      <c r="D183" s="37"/>
      <c r="E183" s="37"/>
      <c r="F183" s="37">
        <v>3</v>
      </c>
      <c r="G183" s="37">
        <v>3</v>
      </c>
      <c r="H183" s="37"/>
      <c r="I183" s="37"/>
      <c r="J183" s="37"/>
      <c r="K183" s="37">
        <v>6</v>
      </c>
    </row>
    <row r="184" spans="1:11">
      <c r="A184" s="39" t="s">
        <v>533</v>
      </c>
      <c r="B184" s="36" t="s">
        <v>379</v>
      </c>
      <c r="C184" s="37"/>
      <c r="D184" s="37"/>
      <c r="E184" s="37"/>
      <c r="F184" s="37">
        <v>3</v>
      </c>
      <c r="G184" s="37">
        <v>3</v>
      </c>
      <c r="H184" s="37"/>
      <c r="I184" s="37"/>
      <c r="J184" s="37"/>
      <c r="K184" s="37">
        <v>6</v>
      </c>
    </row>
    <row r="185" spans="1:11">
      <c r="A185" s="39" t="s">
        <v>534</v>
      </c>
      <c r="B185" s="36" t="s">
        <v>380</v>
      </c>
      <c r="C185" s="37"/>
      <c r="D185" s="37"/>
      <c r="E185" s="37"/>
      <c r="F185" s="37">
        <v>3</v>
      </c>
      <c r="G185" s="37">
        <v>3</v>
      </c>
      <c r="H185" s="37"/>
      <c r="I185" s="37"/>
      <c r="J185" s="37"/>
      <c r="K185" s="37">
        <v>6</v>
      </c>
    </row>
    <row r="186" spans="1:11">
      <c r="A186" s="39" t="s">
        <v>535</v>
      </c>
      <c r="B186" s="36" t="s">
        <v>381</v>
      </c>
      <c r="C186" s="37"/>
      <c r="D186" s="37"/>
      <c r="E186" s="37"/>
      <c r="F186" s="37">
        <v>3</v>
      </c>
      <c r="G186" s="37">
        <v>3</v>
      </c>
      <c r="H186" s="37"/>
      <c r="I186" s="37"/>
      <c r="J186" s="37"/>
      <c r="K186" s="37">
        <v>6</v>
      </c>
    </row>
    <row r="187" spans="1:11">
      <c r="A187" s="39" t="s">
        <v>536</v>
      </c>
      <c r="B187" s="36" t="s">
        <v>382</v>
      </c>
      <c r="C187" s="37"/>
      <c r="D187" s="37"/>
      <c r="E187" s="37"/>
      <c r="F187" s="37">
        <v>3</v>
      </c>
      <c r="G187" s="37">
        <v>3</v>
      </c>
      <c r="H187" s="37"/>
      <c r="I187" s="37"/>
      <c r="J187" s="37"/>
      <c r="K187" s="37">
        <v>6</v>
      </c>
    </row>
    <row r="188" spans="1:11">
      <c r="A188" s="39" t="s">
        <v>537</v>
      </c>
      <c r="B188" s="36" t="s">
        <v>383</v>
      </c>
      <c r="C188" s="37"/>
      <c r="D188" s="37"/>
      <c r="E188" s="37"/>
      <c r="F188" s="37">
        <v>3</v>
      </c>
      <c r="G188" s="37">
        <v>3</v>
      </c>
      <c r="H188" s="37"/>
      <c r="I188" s="37"/>
      <c r="J188" s="37"/>
      <c r="K188" s="37">
        <v>6</v>
      </c>
    </row>
    <row r="189" spans="1:11">
      <c r="A189" s="48" t="s">
        <v>17</v>
      </c>
      <c r="C189" s="35"/>
      <c r="D189" s="35"/>
      <c r="E189" s="35"/>
      <c r="F189" s="35">
        <v>30</v>
      </c>
      <c r="G189" s="35">
        <v>30</v>
      </c>
      <c r="H189" s="35"/>
      <c r="I189" s="35"/>
      <c r="J189" s="35"/>
      <c r="K189" s="35">
        <v>60</v>
      </c>
    </row>
    <row r="190" spans="1:11">
      <c r="A190" s="39" t="s">
        <v>439</v>
      </c>
      <c r="B190" s="36" t="s">
        <v>87</v>
      </c>
      <c r="C190" s="37"/>
      <c r="D190" s="37"/>
      <c r="E190" s="37"/>
      <c r="F190" s="37">
        <v>3</v>
      </c>
      <c r="G190" s="37">
        <v>3</v>
      </c>
      <c r="H190" s="37"/>
      <c r="I190" s="37"/>
      <c r="J190" s="37"/>
      <c r="K190" s="37">
        <v>6</v>
      </c>
    </row>
    <row r="191" spans="1:11">
      <c r="A191" s="39" t="s">
        <v>614</v>
      </c>
      <c r="B191" s="36" t="s">
        <v>88</v>
      </c>
      <c r="C191" s="37"/>
      <c r="D191" s="37"/>
      <c r="E191" s="37"/>
      <c r="F191" s="37">
        <v>3</v>
      </c>
      <c r="G191" s="37">
        <v>3</v>
      </c>
      <c r="H191" s="37"/>
      <c r="I191" s="37"/>
      <c r="J191" s="37"/>
      <c r="K191" s="37">
        <v>6</v>
      </c>
    </row>
    <row r="192" spans="1:11">
      <c r="A192" s="39" t="s">
        <v>615</v>
      </c>
      <c r="B192" s="36" t="s">
        <v>89</v>
      </c>
      <c r="C192" s="37"/>
      <c r="D192" s="37"/>
      <c r="E192" s="37"/>
      <c r="F192" s="37">
        <v>3</v>
      </c>
      <c r="G192" s="37">
        <v>3</v>
      </c>
      <c r="H192" s="37"/>
      <c r="I192" s="37"/>
      <c r="J192" s="37"/>
      <c r="K192" s="37">
        <v>6</v>
      </c>
    </row>
    <row r="193" spans="1:11">
      <c r="A193" s="39" t="s">
        <v>616</v>
      </c>
      <c r="B193" s="36" t="s">
        <v>90</v>
      </c>
      <c r="C193" s="37"/>
      <c r="D193" s="37"/>
      <c r="E193" s="37"/>
      <c r="F193" s="37">
        <v>3</v>
      </c>
      <c r="G193" s="37">
        <v>3</v>
      </c>
      <c r="H193" s="37"/>
      <c r="I193" s="37"/>
      <c r="J193" s="37"/>
      <c r="K193" s="37">
        <v>6</v>
      </c>
    </row>
    <row r="194" spans="1:11">
      <c r="A194" s="39" t="s">
        <v>617</v>
      </c>
      <c r="B194" s="36" t="s">
        <v>91</v>
      </c>
      <c r="C194" s="37"/>
      <c r="D194" s="37"/>
      <c r="E194" s="37"/>
      <c r="F194" s="37">
        <v>3</v>
      </c>
      <c r="G194" s="37">
        <v>3</v>
      </c>
      <c r="H194" s="37"/>
      <c r="I194" s="37"/>
      <c r="J194" s="37"/>
      <c r="K194" s="37">
        <v>6</v>
      </c>
    </row>
    <row r="195" spans="1:11">
      <c r="A195" s="39" t="s">
        <v>618</v>
      </c>
      <c r="B195" s="36" t="s">
        <v>92</v>
      </c>
      <c r="C195" s="37"/>
      <c r="D195" s="37"/>
      <c r="E195" s="37"/>
      <c r="F195" s="37">
        <v>3</v>
      </c>
      <c r="G195" s="37">
        <v>3</v>
      </c>
      <c r="H195" s="37"/>
      <c r="I195" s="37"/>
      <c r="J195" s="37"/>
      <c r="K195" s="37">
        <v>6</v>
      </c>
    </row>
    <row r="196" spans="1:11">
      <c r="A196" s="39" t="s">
        <v>619</v>
      </c>
      <c r="B196" s="36" t="s">
        <v>93</v>
      </c>
      <c r="C196" s="37"/>
      <c r="D196" s="37"/>
      <c r="E196" s="37"/>
      <c r="F196" s="37">
        <v>3</v>
      </c>
      <c r="G196" s="37">
        <v>3</v>
      </c>
      <c r="H196" s="37"/>
      <c r="I196" s="37"/>
      <c r="J196" s="37"/>
      <c r="K196" s="37">
        <v>6</v>
      </c>
    </row>
    <row r="197" spans="1:11">
      <c r="A197" s="39" t="s">
        <v>620</v>
      </c>
      <c r="B197" s="36" t="s">
        <v>94</v>
      </c>
      <c r="C197" s="37"/>
      <c r="D197" s="37"/>
      <c r="E197" s="37"/>
      <c r="F197" s="37">
        <v>3</v>
      </c>
      <c r="G197" s="37">
        <v>3</v>
      </c>
      <c r="H197" s="37"/>
      <c r="I197" s="37"/>
      <c r="J197" s="37"/>
      <c r="K197" s="37">
        <v>6</v>
      </c>
    </row>
    <row r="198" spans="1:11">
      <c r="A198" s="39" t="s">
        <v>621</v>
      </c>
      <c r="B198" s="36" t="s">
        <v>95</v>
      </c>
      <c r="C198" s="37"/>
      <c r="D198" s="37"/>
      <c r="E198" s="37"/>
      <c r="F198" s="37">
        <v>3</v>
      </c>
      <c r="G198" s="37">
        <v>3</v>
      </c>
      <c r="H198" s="37"/>
      <c r="I198" s="37"/>
      <c r="J198" s="37"/>
      <c r="K198" s="37">
        <v>6</v>
      </c>
    </row>
    <row r="199" spans="1:11">
      <c r="A199" s="39" t="s">
        <v>622</v>
      </c>
      <c r="B199" s="36" t="s">
        <v>96</v>
      </c>
      <c r="C199" s="37"/>
      <c r="D199" s="37"/>
      <c r="E199" s="37"/>
      <c r="F199" s="37">
        <v>3</v>
      </c>
      <c r="G199" s="37">
        <v>3</v>
      </c>
      <c r="H199" s="37"/>
      <c r="I199" s="37"/>
      <c r="J199" s="37"/>
      <c r="K199" s="37">
        <v>6</v>
      </c>
    </row>
    <row r="200" spans="1:11">
      <c r="A200" s="48" t="s">
        <v>18</v>
      </c>
      <c r="C200" s="35"/>
      <c r="D200" s="35"/>
      <c r="E200" s="35"/>
      <c r="F200" s="35">
        <v>5</v>
      </c>
      <c r="G200" s="35">
        <v>3</v>
      </c>
      <c r="H200" s="35"/>
      <c r="I200" s="35"/>
      <c r="J200" s="35"/>
      <c r="K200" s="35">
        <v>8</v>
      </c>
    </row>
    <row r="201" spans="1:11">
      <c r="A201" s="39" t="s">
        <v>441</v>
      </c>
      <c r="B201" s="36" t="s">
        <v>411</v>
      </c>
      <c r="C201" s="37"/>
      <c r="D201" s="37"/>
      <c r="E201" s="37"/>
      <c r="F201" s="37">
        <v>5</v>
      </c>
      <c r="G201" s="37">
        <v>3</v>
      </c>
      <c r="H201" s="37"/>
      <c r="I201" s="37"/>
      <c r="J201" s="37"/>
      <c r="K201" s="37">
        <v>8</v>
      </c>
    </row>
    <row r="202" spans="1:11">
      <c r="A202" s="48" t="s">
        <v>11</v>
      </c>
      <c r="C202" s="35"/>
      <c r="D202" s="35"/>
      <c r="E202" s="35"/>
      <c r="F202" s="35">
        <v>18</v>
      </c>
      <c r="G202" s="35">
        <v>16</v>
      </c>
      <c r="H202" s="35"/>
      <c r="I202" s="35"/>
      <c r="J202" s="35"/>
      <c r="K202" s="35">
        <v>34</v>
      </c>
    </row>
    <row r="203" spans="1:11">
      <c r="A203" s="39" t="s">
        <v>427</v>
      </c>
      <c r="B203" s="36" t="s">
        <v>43</v>
      </c>
      <c r="C203" s="37"/>
      <c r="D203" s="37"/>
      <c r="E203" s="37"/>
      <c r="F203" s="37">
        <v>2</v>
      </c>
      <c r="G203" s="37">
        <v>2</v>
      </c>
      <c r="H203" s="37"/>
      <c r="I203" s="37"/>
      <c r="J203" s="37"/>
      <c r="K203" s="37">
        <v>4</v>
      </c>
    </row>
    <row r="204" spans="1:11">
      <c r="A204" s="39" t="s">
        <v>553</v>
      </c>
      <c r="B204" s="36" t="s">
        <v>44</v>
      </c>
      <c r="C204" s="37"/>
      <c r="D204" s="37"/>
      <c r="E204" s="37"/>
      <c r="F204" s="37">
        <v>1</v>
      </c>
      <c r="G204" s="37">
        <v>1</v>
      </c>
      <c r="H204" s="37"/>
      <c r="I204" s="37"/>
      <c r="J204" s="37"/>
      <c r="K204" s="37">
        <v>2</v>
      </c>
    </row>
    <row r="205" spans="1:11">
      <c r="A205" s="39" t="s">
        <v>554</v>
      </c>
      <c r="B205" s="36" t="s">
        <v>45</v>
      </c>
      <c r="C205" s="37"/>
      <c r="D205" s="37"/>
      <c r="E205" s="37"/>
      <c r="F205" s="37">
        <v>2</v>
      </c>
      <c r="G205" s="37">
        <v>2</v>
      </c>
      <c r="H205" s="37"/>
      <c r="I205" s="37"/>
      <c r="J205" s="37"/>
      <c r="K205" s="37">
        <v>4</v>
      </c>
    </row>
    <row r="206" spans="1:11">
      <c r="A206" s="39" t="s">
        <v>555</v>
      </c>
      <c r="B206" s="36" t="s">
        <v>46</v>
      </c>
      <c r="C206" s="37"/>
      <c r="D206" s="37"/>
      <c r="E206" s="37"/>
      <c r="F206" s="37">
        <v>1</v>
      </c>
      <c r="G206" s="37">
        <v>1</v>
      </c>
      <c r="H206" s="37"/>
      <c r="I206" s="37"/>
      <c r="J206" s="37"/>
      <c r="K206" s="37">
        <v>2</v>
      </c>
    </row>
    <row r="207" spans="1:11">
      <c r="A207" s="39" t="s">
        <v>556</v>
      </c>
      <c r="B207" s="36" t="s">
        <v>47</v>
      </c>
      <c r="C207" s="37"/>
      <c r="D207" s="37"/>
      <c r="E207" s="37"/>
      <c r="F207" s="37">
        <v>3</v>
      </c>
      <c r="G207" s="37">
        <v>2</v>
      </c>
      <c r="H207" s="37"/>
      <c r="I207" s="37"/>
      <c r="J207" s="37"/>
      <c r="K207" s="37">
        <v>5</v>
      </c>
    </row>
    <row r="208" spans="1:11">
      <c r="A208" s="39" t="s">
        <v>557</v>
      </c>
      <c r="B208" s="36" t="s">
        <v>48</v>
      </c>
      <c r="C208" s="37"/>
      <c r="D208" s="37"/>
      <c r="E208" s="37"/>
      <c r="F208" s="37">
        <v>1</v>
      </c>
      <c r="G208" s="37">
        <v>1</v>
      </c>
      <c r="H208" s="37"/>
      <c r="I208" s="37"/>
      <c r="J208" s="37"/>
      <c r="K208" s="37">
        <v>2</v>
      </c>
    </row>
    <row r="209" spans="1:11">
      <c r="A209" s="39" t="s">
        <v>558</v>
      </c>
      <c r="B209" s="36" t="s">
        <v>49</v>
      </c>
      <c r="C209" s="37"/>
      <c r="D209" s="37"/>
      <c r="E209" s="37"/>
      <c r="F209" s="37">
        <v>2</v>
      </c>
      <c r="G209" s="37">
        <v>2</v>
      </c>
      <c r="H209" s="37"/>
      <c r="I209" s="37"/>
      <c r="J209" s="37"/>
      <c r="K209" s="37">
        <v>4</v>
      </c>
    </row>
    <row r="210" spans="1:11">
      <c r="A210" s="39" t="s">
        <v>559</v>
      </c>
      <c r="B210" s="36" t="s">
        <v>50</v>
      </c>
      <c r="C210" s="37"/>
      <c r="D210" s="37"/>
      <c r="E210" s="37"/>
      <c r="F210" s="37">
        <v>2</v>
      </c>
      <c r="G210" s="37">
        <v>2</v>
      </c>
      <c r="H210" s="37"/>
      <c r="I210" s="37"/>
      <c r="J210" s="37"/>
      <c r="K210" s="37">
        <v>4</v>
      </c>
    </row>
    <row r="211" spans="1:11">
      <c r="A211" s="39" t="s">
        <v>560</v>
      </c>
      <c r="B211" s="36" t="s">
        <v>51</v>
      </c>
      <c r="C211" s="37"/>
      <c r="D211" s="37"/>
      <c r="E211" s="37"/>
      <c r="F211" s="37">
        <v>2</v>
      </c>
      <c r="G211" s="37">
        <v>2</v>
      </c>
      <c r="H211" s="37"/>
      <c r="I211" s="37"/>
      <c r="J211" s="37"/>
      <c r="K211" s="37">
        <v>4</v>
      </c>
    </row>
    <row r="212" spans="1:11">
      <c r="A212" s="39" t="s">
        <v>561</v>
      </c>
      <c r="B212" s="36" t="s">
        <v>52</v>
      </c>
      <c r="C212" s="37"/>
      <c r="D212" s="37"/>
      <c r="E212" s="37"/>
      <c r="F212" s="37">
        <v>2</v>
      </c>
      <c r="G212" s="37">
        <v>1</v>
      </c>
      <c r="H212" s="37"/>
      <c r="I212" s="37"/>
      <c r="J212" s="37"/>
      <c r="K212" s="37">
        <v>3</v>
      </c>
    </row>
    <row r="213" spans="1:11">
      <c r="A213" s="48" t="s">
        <v>21</v>
      </c>
      <c r="C213" s="35"/>
      <c r="D213" s="35"/>
      <c r="E213" s="35"/>
      <c r="F213" s="35"/>
      <c r="G213" s="35"/>
      <c r="H213" s="35"/>
      <c r="I213" s="35"/>
      <c r="J213" s="35">
        <v>0</v>
      </c>
      <c r="K213" s="35">
        <v>0</v>
      </c>
    </row>
    <row r="214" spans="1:11">
      <c r="A214" s="39" t="s">
        <v>21</v>
      </c>
      <c r="B214" s="36" t="s">
        <v>21</v>
      </c>
      <c r="C214" s="37"/>
      <c r="D214" s="37"/>
      <c r="E214" s="37"/>
      <c r="F214" s="37"/>
      <c r="G214" s="37"/>
      <c r="H214" s="37"/>
      <c r="I214" s="37"/>
      <c r="J214" s="37">
        <v>0</v>
      </c>
      <c r="K214" s="37">
        <v>0</v>
      </c>
    </row>
    <row r="215" spans="1:11">
      <c r="A215" s="48" t="s">
        <v>686</v>
      </c>
      <c r="C215" s="35"/>
      <c r="D215" s="35">
        <v>10</v>
      </c>
      <c r="E215" s="35">
        <v>10</v>
      </c>
      <c r="F215" s="35"/>
      <c r="G215" s="35"/>
      <c r="H215" s="35"/>
      <c r="I215" s="35"/>
      <c r="J215" s="35"/>
      <c r="K215" s="35">
        <v>20</v>
      </c>
    </row>
    <row r="216" spans="1:11">
      <c r="A216" s="39" t="s">
        <v>651</v>
      </c>
      <c r="B216" s="36" t="s">
        <v>679</v>
      </c>
      <c r="C216" s="37"/>
      <c r="D216" s="37">
        <v>2</v>
      </c>
      <c r="E216" s="37">
        <v>2</v>
      </c>
      <c r="F216" s="37"/>
      <c r="G216" s="37"/>
      <c r="H216" s="37"/>
      <c r="I216" s="37"/>
      <c r="J216" s="37"/>
      <c r="K216" s="37">
        <v>4</v>
      </c>
    </row>
    <row r="217" spans="1:11">
      <c r="A217" s="39" t="s">
        <v>653</v>
      </c>
      <c r="B217" s="36" t="s">
        <v>680</v>
      </c>
      <c r="C217" s="37"/>
      <c r="D217" s="37">
        <v>2</v>
      </c>
      <c r="E217" s="37">
        <v>2</v>
      </c>
      <c r="F217" s="37"/>
      <c r="G217" s="37"/>
      <c r="H217" s="37"/>
      <c r="I217" s="37"/>
      <c r="J217" s="37"/>
      <c r="K217" s="37">
        <v>4</v>
      </c>
    </row>
    <row r="218" spans="1:11">
      <c r="A218" s="39" t="s">
        <v>654</v>
      </c>
      <c r="B218" s="36" t="s">
        <v>681</v>
      </c>
      <c r="C218" s="37"/>
      <c r="D218" s="37">
        <v>2</v>
      </c>
      <c r="E218" s="37">
        <v>2</v>
      </c>
      <c r="F218" s="37"/>
      <c r="G218" s="37"/>
      <c r="H218" s="37"/>
      <c r="I218" s="37"/>
      <c r="J218" s="37"/>
      <c r="K218" s="37">
        <v>4</v>
      </c>
    </row>
    <row r="219" spans="1:11">
      <c r="A219" s="39" t="s">
        <v>655</v>
      </c>
      <c r="B219" s="36" t="s">
        <v>682</v>
      </c>
      <c r="C219" s="37"/>
      <c r="D219" s="37">
        <v>2</v>
      </c>
      <c r="E219" s="37">
        <v>2</v>
      </c>
      <c r="F219" s="37"/>
      <c r="G219" s="37"/>
      <c r="H219" s="37"/>
      <c r="I219" s="37"/>
      <c r="J219" s="37"/>
      <c r="K219" s="37">
        <v>4</v>
      </c>
    </row>
    <row r="220" spans="1:11">
      <c r="A220" s="39" t="s">
        <v>656</v>
      </c>
      <c r="B220" s="36" t="s">
        <v>683</v>
      </c>
      <c r="C220" s="37"/>
      <c r="D220" s="37">
        <v>2</v>
      </c>
      <c r="E220" s="37">
        <v>2</v>
      </c>
      <c r="F220" s="37"/>
      <c r="G220" s="37"/>
      <c r="H220" s="37"/>
      <c r="I220" s="37"/>
      <c r="J220" s="37"/>
      <c r="K220" s="37">
        <v>4</v>
      </c>
    </row>
    <row r="221" spans="1:11">
      <c r="A221" s="48" t="s">
        <v>22</v>
      </c>
      <c r="C221" s="35">
        <v>25</v>
      </c>
      <c r="D221" s="35">
        <v>165</v>
      </c>
      <c r="E221" s="35">
        <v>41</v>
      </c>
      <c r="F221" s="35">
        <v>343</v>
      </c>
      <c r="G221" s="35">
        <v>322</v>
      </c>
      <c r="H221" s="35">
        <v>85</v>
      </c>
      <c r="I221" s="35">
        <v>8</v>
      </c>
      <c r="J221" s="35">
        <v>0</v>
      </c>
      <c r="K221" s="35">
        <v>989</v>
      </c>
    </row>
  </sheetData>
  <phoneticPr fontId="3" type="noConversion"/>
  <pageMargins left="0.7" right="0.7" top="0.75" bottom="0.75" header="0.3" footer="0.3"/>
  <pageSetup paperSize="9" orientation="portrait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1</vt:i4>
      </vt:variant>
    </vt:vector>
  </HeadingPairs>
  <TitlesOfParts>
    <vt:vector size="5" baseType="lpstr">
      <vt:lpstr>Sheet1</vt:lpstr>
      <vt:lpstr>Sheet2</vt:lpstr>
      <vt:lpstr>DATA</vt:lpstr>
      <vt:lpstr>레이스랩재고표</vt:lpstr>
      <vt:lpstr>DATA!_FilterDatabase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Registered User</dc:creator>
  <cp:lastModifiedBy>Registered User</cp:lastModifiedBy>
  <cp:lastPrinted>2017-08-28T11:56:04Z</cp:lastPrinted>
  <dcterms:created xsi:type="dcterms:W3CDTF">2017-07-12T08:39:54Z</dcterms:created>
  <dcterms:modified xsi:type="dcterms:W3CDTF">2017-09-08T02:31:42Z</dcterms:modified>
</cp:coreProperties>
</file>