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파일이전\주문서\엔젤\"/>
    </mc:Choice>
  </mc:AlternateContent>
  <xr:revisionPtr revIDLastSave="0" documentId="13_ncr:1_{42AD4DDB-3126-4BE0-AD26-6782B0C91C03}" xr6:coauthVersionLast="46" xr6:coauthVersionMax="46" xr10:uidLastSave="{00000000-0000-0000-0000-000000000000}"/>
  <bookViews>
    <workbookView xWindow="40650" yWindow="960" windowWidth="26925" windowHeight="17490" xr2:uid="{A7DD1F46-53DF-43F5-BEA2-B549DEEF82EA}"/>
  </bookViews>
  <sheets>
    <sheet name="Sheet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I11" i="1"/>
  <c r="H11" i="1"/>
  <c r="H10" i="1"/>
  <c r="I26" i="1"/>
  <c r="H5" i="1"/>
  <c r="H22" i="1"/>
  <c r="H16" i="1"/>
  <c r="H32" i="1" l="1"/>
  <c r="H19" i="1"/>
  <c r="H14" i="1"/>
  <c r="H13" i="1"/>
  <c r="E16" i="1"/>
  <c r="E15" i="1"/>
  <c r="E57" i="1"/>
  <c r="C56" i="1"/>
  <c r="E56" i="1" s="1"/>
  <c r="C55" i="1"/>
  <c r="E55" i="1" s="1"/>
  <c r="C54" i="1"/>
  <c r="E54" i="1" s="1"/>
  <c r="C53" i="1"/>
  <c r="E53" i="1" s="1"/>
  <c r="D52" i="1"/>
  <c r="E52" i="1" s="1"/>
  <c r="D51" i="1"/>
  <c r="E51" i="1" s="1"/>
  <c r="D50" i="1"/>
  <c r="C50" i="1"/>
  <c r="D49" i="1"/>
  <c r="C49" i="1"/>
  <c r="D48" i="1"/>
  <c r="C48" i="1"/>
  <c r="D47" i="1"/>
  <c r="C47" i="1"/>
  <c r="D46" i="1"/>
  <c r="C46" i="1"/>
  <c r="C45" i="1"/>
  <c r="E45" i="1" s="1"/>
  <c r="D44" i="1"/>
  <c r="C44" i="1"/>
  <c r="D43" i="1"/>
  <c r="E43" i="1" s="1"/>
  <c r="C43" i="1"/>
  <c r="D42" i="1"/>
  <c r="C42" i="1"/>
  <c r="D41" i="1"/>
  <c r="C41" i="1"/>
  <c r="D40" i="1"/>
  <c r="E40" i="1" s="1"/>
  <c r="C40" i="1"/>
  <c r="D39" i="1"/>
  <c r="E39" i="1" s="1"/>
  <c r="C39" i="1"/>
  <c r="D38" i="1"/>
  <c r="C38" i="1"/>
  <c r="D37" i="1"/>
  <c r="C37" i="1"/>
  <c r="D36" i="1"/>
  <c r="C36" i="1"/>
  <c r="D35" i="1"/>
  <c r="E35" i="1" s="1"/>
  <c r="C35" i="1"/>
  <c r="D34" i="1"/>
  <c r="C34" i="1"/>
  <c r="D33" i="1"/>
  <c r="C33" i="1"/>
  <c r="D32" i="1"/>
  <c r="C32" i="1"/>
  <c r="C31" i="1"/>
  <c r="E31" i="1" s="1"/>
  <c r="D30" i="1"/>
  <c r="C30" i="1"/>
  <c r="D29" i="1"/>
  <c r="C29" i="1"/>
  <c r="D28" i="1"/>
  <c r="C28" i="1"/>
  <c r="D27" i="1"/>
  <c r="C27" i="1"/>
  <c r="E27" i="1" s="1"/>
  <c r="D26" i="1"/>
  <c r="C26" i="1"/>
  <c r="H26" i="1" s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C17" i="1"/>
  <c r="C10" i="1"/>
  <c r="C9" i="1"/>
  <c r="E32" i="1" l="1"/>
  <c r="E29" i="1"/>
  <c r="E46" i="1"/>
  <c r="E30" i="1"/>
  <c r="E20" i="1"/>
  <c r="E28" i="1"/>
  <c r="E21" i="1"/>
  <c r="E38" i="1"/>
  <c r="E22" i="1"/>
  <c r="E47" i="1"/>
  <c r="E36" i="1"/>
  <c r="E44" i="1"/>
  <c r="E37" i="1"/>
  <c r="E19" i="1"/>
  <c r="E23" i="1"/>
  <c r="E48" i="1"/>
  <c r="E24" i="1"/>
  <c r="E49" i="1"/>
  <c r="E33" i="1"/>
  <c r="E41" i="1"/>
  <c r="E17" i="1"/>
  <c r="E25" i="1"/>
  <c r="E50" i="1"/>
  <c r="E34" i="1"/>
  <c r="E42" i="1"/>
  <c r="E18" i="1"/>
  <c r="E26" i="1"/>
  <c r="D5" i="1"/>
  <c r="D6" i="1"/>
  <c r="C6" i="1"/>
  <c r="C5" i="1"/>
</calcChain>
</file>

<file path=xl/sharedStrings.xml><?xml version="1.0" encoding="utf-8"?>
<sst xmlns="http://schemas.openxmlformats.org/spreadsheetml/2006/main" count="35" uniqueCount="34">
  <si>
    <t>페인트</t>
    <phoneticPr fontId="2" type="noConversion"/>
  </si>
  <si>
    <t>네온</t>
    <phoneticPr fontId="2" type="noConversion"/>
  </si>
  <si>
    <t>1온즈</t>
    <phoneticPr fontId="2" type="noConversion"/>
  </si>
  <si>
    <t>4온즈</t>
    <phoneticPr fontId="2" type="noConversion"/>
  </si>
  <si>
    <t>콜렉터</t>
    <phoneticPr fontId="2" type="noConversion"/>
  </si>
  <si>
    <t>글리터</t>
    <phoneticPr fontId="2" type="noConversion"/>
  </si>
  <si>
    <t>메탈</t>
    <phoneticPr fontId="2" type="noConversion"/>
  </si>
  <si>
    <t>펄레슨트</t>
    <phoneticPr fontId="2" type="noConversion"/>
  </si>
  <si>
    <t>820PT000</t>
    <phoneticPr fontId="2" type="noConversion"/>
  </si>
  <si>
    <t>과거</t>
    <phoneticPr fontId="2" type="noConversion"/>
  </si>
  <si>
    <t>현재</t>
    <phoneticPr fontId="2" type="noConversion"/>
  </si>
  <si>
    <t>인상율</t>
    <phoneticPr fontId="2" type="noConversion"/>
  </si>
  <si>
    <t>제품명</t>
    <phoneticPr fontId="2" type="noConversion"/>
  </si>
  <si>
    <t>84008KIT</t>
    <phoneticPr fontId="5" type="noConversion"/>
  </si>
  <si>
    <t>845WS000</t>
    <phoneticPr fontId="2" type="noConversion"/>
  </si>
  <si>
    <t>84205KIT</t>
    <phoneticPr fontId="2" type="noConversion"/>
  </si>
  <si>
    <t>851WS000</t>
  </si>
  <si>
    <t>72201000soft</t>
    <phoneticPr fontId="2" type="noConversion"/>
  </si>
  <si>
    <t>72204000soft</t>
    <phoneticPr fontId="2" type="noConversion"/>
  </si>
  <si>
    <t>72201000hard</t>
    <phoneticPr fontId="2" type="noConversion"/>
  </si>
  <si>
    <t>72204000hard</t>
    <phoneticPr fontId="2" type="noConversion"/>
  </si>
  <si>
    <t>99103MO100</t>
  </si>
  <si>
    <t>89500KIT</t>
    <phoneticPr fontId="5" type="noConversion"/>
  </si>
  <si>
    <t>99205PremSneakerBrush</t>
    <phoneticPr fontId="2" type="noConversion"/>
  </si>
  <si>
    <t>599BT000</t>
  </si>
  <si>
    <t>599FT000</t>
  </si>
  <si>
    <t>7993M2PK</t>
  </si>
  <si>
    <t>7995M2PK</t>
  </si>
  <si>
    <t>992E00KNIFE</t>
    <phoneticPr fontId="2" type="noConversion"/>
  </si>
  <si>
    <t>992E912MAT</t>
    <phoneticPr fontId="2" type="noConversion"/>
  </si>
  <si>
    <t>992E1218MAT</t>
  </si>
  <si>
    <t>992E1824MAT</t>
  </si>
  <si>
    <t>레더다이</t>
    <phoneticPr fontId="2" type="noConversion"/>
  </si>
  <si>
    <t>스웨이드다이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</si>
</sst>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00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Arial"/>
      <family val="2"/>
    </font>
    <font>
      <sz val="11"/>
      <color rgb="FF000000"/>
      <name val="Arial"/>
      <family val="3"/>
      <charset val="134"/>
    </font>
    <font>
      <sz val="10"/>
      <color rgb="FF000000"/>
      <name val="Calibri"/>
      <family val="3"/>
      <charset val="134"/>
    </font>
    <font>
      <sz val="9"/>
      <color theme="1"/>
      <name val="굴림"/>
      <family val="3"/>
      <charset val="129"/>
    </font>
    <font>
      <b/>
      <sz val="9"/>
      <color theme="1"/>
      <name val="굴림"/>
      <family val="3"/>
      <charset val="129"/>
    </font>
    <font>
      <sz val="9"/>
      <color rgb="FF000000"/>
      <name val="Arial"/>
      <family val="3"/>
      <charset val="134"/>
    </font>
    <font>
      <sz val="11"/>
      <color theme="1"/>
      <name val="맑은 고딕"/>
      <family val="3"/>
      <charset val="129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9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1" xfId="1" applyNumberFormat="1" applyFont="1" applyBorder="1" applyAlignment="1">
      <alignment horizontal="center"/>
    </xf>
    <xf numFmtId="0" fontId="4" fillId="0" borderId="0" xfId="0" applyFont="1" applyAlignment="1">
      <alignment horizontal="left" vertical="top"/>
    </xf>
    <xf numFmtId="0" fontId="6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0" fillId="0" borderId="1" xfId="0" applyBorder="1">
      <alignment vertical="center"/>
    </xf>
    <xf numFmtId="0" fontId="8" fillId="0" borderId="0" xfId="0" applyFont="1" applyAlignment="1">
      <alignment horizontal="left" vertical="top"/>
    </xf>
    <xf numFmtId="0" fontId="0" fillId="0" borderId="1" xfId="0" applyBorder="1" applyAlignment="1">
      <alignment vertical="center" wrapText="1"/>
    </xf>
    <xf numFmtId="0" fontId="10" fillId="0" borderId="1" xfId="2" applyFont="1" applyBorder="1" applyAlignment="1">
      <alignment horizontal="left" vertical="top" wrapText="1"/>
    </xf>
    <xf numFmtId="176" fontId="0" fillId="0" borderId="0" xfId="0" applyNumberFormat="1">
      <alignment vertical="center"/>
    </xf>
  </cellXfs>
  <cellStyles count="3">
    <cellStyle name="쉼표 [0]" xfId="1" builtinId="6"/>
    <cellStyle name="표준" xfId="0" builtinId="0"/>
    <cellStyle name="표준 5" xfId="2" xr:uid="{81FCDFF8-6742-43A4-B291-662852939C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&#54028;&#51068;&#51060;&#51204;/&#51452;&#47928;&#49436;/&#44144;&#47000;&#47749;&#49464;&#49436;&#51088;&#46041;&#54532;&#47196;&#44536;&#47016;(2021&#45380;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4032;&#44201;&#54364;/&#50644;&#51236;&#47084;&#49828;2021&#45380;&#44032;&#44201;&#47532;&#49828;&#5394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디엔에스"/>
      <sheetName val="거래명세서"/>
      <sheetName val="주문리스트"/>
      <sheetName val="재고수량"/>
      <sheetName val="거래처명단"/>
      <sheetName val="제품리스트"/>
      <sheetName val="청구서"/>
      <sheetName val="월별매출내역"/>
      <sheetName val="이익내역"/>
      <sheetName val="일별매출내역"/>
      <sheetName val="일별이익내역"/>
      <sheetName val="판매수량"/>
      <sheetName val="레이스랩판매"/>
      <sheetName val="레이스랩재고"/>
      <sheetName val="입출금장부"/>
      <sheetName val="Sheet1"/>
      <sheetName val="Sheet2"/>
      <sheetName val="Sheet3"/>
      <sheetName val="aa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E1" t="str">
            <v>환율</v>
          </cell>
          <cell r="F1">
            <v>1150</v>
          </cell>
        </row>
        <row r="2">
          <cell r="A2" t="str">
            <v>코드</v>
          </cell>
          <cell r="B2" t="str">
            <v>제품명</v>
          </cell>
          <cell r="C2" t="str">
            <v>판매가</v>
          </cell>
          <cell r="D2" t="str">
            <v>바코드</v>
          </cell>
          <cell r="E2" t="str">
            <v>수입원가</v>
          </cell>
          <cell r="F2" t="str">
            <v>수입단가</v>
          </cell>
          <cell r="G2" t="str">
            <v>브랜드</v>
          </cell>
          <cell r="H2" t="str">
            <v>제품분류</v>
          </cell>
          <cell r="I2" t="str">
            <v>레이스랩제품명</v>
          </cell>
        </row>
        <row r="3">
          <cell r="A3">
            <v>72001001</v>
          </cell>
          <cell r="B3" t="str">
            <v>#001-레더페인트-Black</v>
          </cell>
          <cell r="C3">
            <v>7800</v>
          </cell>
          <cell r="D3" t="str">
            <v>086366710012</v>
          </cell>
          <cell r="E3">
            <v>16.2</v>
          </cell>
          <cell r="F3">
            <v>1862.9999999999995</v>
          </cell>
          <cell r="G3" t="str">
            <v>엔젤러스</v>
          </cell>
          <cell r="H3" t="str">
            <v>1-1.레더페인트</v>
          </cell>
        </row>
        <row r="4">
          <cell r="A4">
            <v>72001004</v>
          </cell>
          <cell r="B4" t="str">
            <v>#004-레더페인트-Neutral</v>
          </cell>
          <cell r="C4">
            <v>7800</v>
          </cell>
          <cell r="D4" t="str">
            <v>086366710043</v>
          </cell>
          <cell r="E4">
            <v>16.2</v>
          </cell>
          <cell r="F4">
            <v>1862.9999999999995</v>
          </cell>
          <cell r="G4" t="str">
            <v>엔젤러스</v>
          </cell>
          <cell r="H4" t="str">
            <v>1-1.레더페인트</v>
          </cell>
        </row>
        <row r="5">
          <cell r="A5">
            <v>72001005</v>
          </cell>
          <cell r="B5" t="str">
            <v>#005-레더페인트-White</v>
          </cell>
          <cell r="C5">
            <v>7800</v>
          </cell>
          <cell r="D5" t="str">
            <v>086366710050</v>
          </cell>
          <cell r="E5">
            <v>16.2</v>
          </cell>
          <cell r="F5">
            <v>1862.9999999999995</v>
          </cell>
          <cell r="G5" t="str">
            <v>엔젤러스</v>
          </cell>
          <cell r="H5" t="str">
            <v>1-1.레더페인트</v>
          </cell>
        </row>
        <row r="6">
          <cell r="A6">
            <v>72001014</v>
          </cell>
          <cell r="B6" t="str">
            <v>#014-레더페인트-Brown</v>
          </cell>
          <cell r="C6">
            <v>7800</v>
          </cell>
          <cell r="D6" t="str">
            <v>086366710142</v>
          </cell>
          <cell r="E6">
            <v>16.2</v>
          </cell>
          <cell r="F6">
            <v>1862.9999999999995</v>
          </cell>
          <cell r="G6" t="str">
            <v>엔젤러스</v>
          </cell>
          <cell r="H6" t="str">
            <v>1-1.레더페인트</v>
          </cell>
        </row>
        <row r="7">
          <cell r="A7">
            <v>72001015</v>
          </cell>
          <cell r="B7" t="str">
            <v>#015-레더페인트-Chocolate</v>
          </cell>
          <cell r="C7">
            <v>7800</v>
          </cell>
          <cell r="D7" t="str">
            <v>086366710159</v>
          </cell>
          <cell r="E7">
            <v>16.2</v>
          </cell>
          <cell r="F7">
            <v>1862.9999999999995</v>
          </cell>
          <cell r="G7" t="str">
            <v>엔젤러스</v>
          </cell>
          <cell r="H7" t="str">
            <v>1-1.레더페인트</v>
          </cell>
        </row>
        <row r="8">
          <cell r="A8">
            <v>72001018</v>
          </cell>
          <cell r="B8" t="str">
            <v>#018-레더페인트-DarkBrown</v>
          </cell>
          <cell r="C8">
            <v>7800</v>
          </cell>
          <cell r="D8" t="str">
            <v>086366710180</v>
          </cell>
          <cell r="E8">
            <v>16.2</v>
          </cell>
          <cell r="F8">
            <v>1862.9999999999995</v>
          </cell>
          <cell r="G8" t="str">
            <v>엔젤러스</v>
          </cell>
          <cell r="H8" t="str">
            <v>1-1.레더페인트</v>
          </cell>
        </row>
        <row r="9">
          <cell r="A9">
            <v>72001019</v>
          </cell>
          <cell r="B9" t="str">
            <v>#019-레더페인트-English Tan</v>
          </cell>
          <cell r="C9">
            <v>7800</v>
          </cell>
          <cell r="D9" t="str">
            <v>086366710190</v>
          </cell>
          <cell r="E9">
            <v>16.2</v>
          </cell>
          <cell r="F9">
            <v>1862.9999999999995</v>
          </cell>
          <cell r="G9" t="str">
            <v>엔젤러스</v>
          </cell>
          <cell r="H9" t="str">
            <v>1-1.레더페인트</v>
          </cell>
        </row>
        <row r="10">
          <cell r="A10">
            <v>72001021</v>
          </cell>
          <cell r="B10" t="str">
            <v>#021-레더페인트-LightBrown</v>
          </cell>
          <cell r="C10">
            <v>7800</v>
          </cell>
          <cell r="D10" t="str">
            <v>086366710210</v>
          </cell>
          <cell r="E10">
            <v>16.2</v>
          </cell>
          <cell r="F10">
            <v>1862.9999999999995</v>
          </cell>
          <cell r="G10" t="str">
            <v>엔젤러스</v>
          </cell>
          <cell r="H10" t="str">
            <v>1-1.레더페인트</v>
          </cell>
        </row>
        <row r="11">
          <cell r="A11">
            <v>72001024</v>
          </cell>
          <cell r="B11" t="str">
            <v>#024-레더페인트-Orange</v>
          </cell>
          <cell r="C11">
            <v>7800</v>
          </cell>
          <cell r="D11" t="str">
            <v>086366710241</v>
          </cell>
          <cell r="E11">
            <v>16.2</v>
          </cell>
          <cell r="F11">
            <v>1862.9999999999995</v>
          </cell>
          <cell r="G11" t="str">
            <v>엔젤러스</v>
          </cell>
          <cell r="H11" t="str">
            <v>1-1.레더페인트</v>
          </cell>
        </row>
        <row r="12">
          <cell r="A12">
            <v>72001027</v>
          </cell>
          <cell r="B12" t="str">
            <v>#027-레더페인트- SADDLE</v>
          </cell>
          <cell r="C12">
            <v>7800</v>
          </cell>
          <cell r="D12" t="str">
            <v>086366710272</v>
          </cell>
          <cell r="E12">
            <v>16.2</v>
          </cell>
          <cell r="F12">
            <v>1862.9999999999995</v>
          </cell>
          <cell r="G12" t="str">
            <v>엔젤러스</v>
          </cell>
          <cell r="H12" t="str">
            <v>1-1.레더페인트</v>
          </cell>
        </row>
        <row r="13">
          <cell r="A13">
            <v>72001029</v>
          </cell>
          <cell r="B13" t="str">
            <v>#029-레더페인트- Tan</v>
          </cell>
          <cell r="C13">
            <v>7800</v>
          </cell>
          <cell r="D13" t="str">
            <v>086366710296</v>
          </cell>
          <cell r="E13">
            <v>16.2</v>
          </cell>
          <cell r="F13">
            <v>1862.9999999999995</v>
          </cell>
          <cell r="G13" t="str">
            <v>엔젤러스</v>
          </cell>
          <cell r="H13" t="str">
            <v>1-1.레더페인트</v>
          </cell>
        </row>
        <row r="14">
          <cell r="A14">
            <v>72001040</v>
          </cell>
          <cell r="B14" t="str">
            <v>#040-레더페인트-BLUE</v>
          </cell>
          <cell r="C14">
            <v>7800</v>
          </cell>
          <cell r="D14" t="str">
            <v>086366710401</v>
          </cell>
          <cell r="E14">
            <v>16.2</v>
          </cell>
          <cell r="F14">
            <v>1862.9999999999995</v>
          </cell>
          <cell r="G14" t="str">
            <v>엔젤러스</v>
          </cell>
          <cell r="H14" t="str">
            <v>1-1.레더페인트</v>
          </cell>
        </row>
        <row r="15">
          <cell r="A15">
            <v>72001041</v>
          </cell>
          <cell r="B15" t="str">
            <v>#041-레더페인트-LightBLUE</v>
          </cell>
          <cell r="C15">
            <v>7800</v>
          </cell>
          <cell r="D15" t="str">
            <v>086366710418</v>
          </cell>
          <cell r="E15">
            <v>16.2</v>
          </cell>
          <cell r="F15">
            <v>1862.9999999999995</v>
          </cell>
          <cell r="G15" t="str">
            <v>엔젤러스</v>
          </cell>
          <cell r="H15" t="str">
            <v>1-1.레더페인트</v>
          </cell>
        </row>
        <row r="16">
          <cell r="A16">
            <v>72001042</v>
          </cell>
          <cell r="B16" t="str">
            <v>#042-레더페인트-NavyBlue</v>
          </cell>
          <cell r="C16">
            <v>7800</v>
          </cell>
          <cell r="D16" t="str">
            <v>086366710425</v>
          </cell>
          <cell r="E16">
            <v>16.2</v>
          </cell>
          <cell r="F16">
            <v>1862.9999999999995</v>
          </cell>
          <cell r="G16" t="str">
            <v>엔젤러스</v>
          </cell>
          <cell r="H16" t="str">
            <v>1-1.레더페인트</v>
          </cell>
        </row>
        <row r="17">
          <cell r="A17">
            <v>72001043</v>
          </cell>
          <cell r="B17" t="str">
            <v>#043-레더페인트-Turgouise</v>
          </cell>
          <cell r="C17">
            <v>7800</v>
          </cell>
          <cell r="D17" t="str">
            <v>086366710432</v>
          </cell>
          <cell r="E17">
            <v>16.2</v>
          </cell>
          <cell r="F17">
            <v>1862.9999999999995</v>
          </cell>
          <cell r="G17" t="str">
            <v>엔젤러스</v>
          </cell>
          <cell r="H17" t="str">
            <v>1-1.레더페인트</v>
          </cell>
        </row>
        <row r="18">
          <cell r="A18">
            <v>72001045</v>
          </cell>
          <cell r="B18" t="str">
            <v>#045-레더페인트-Blue Turquoise</v>
          </cell>
          <cell r="C18">
            <v>7800</v>
          </cell>
          <cell r="D18" t="str">
            <v>086366710456</v>
          </cell>
          <cell r="E18">
            <v>16.2</v>
          </cell>
          <cell r="F18">
            <v>1862.9999999999995</v>
          </cell>
          <cell r="G18" t="str">
            <v>엔젤러스</v>
          </cell>
          <cell r="H18" t="str">
            <v>1-1.레더페인트</v>
          </cell>
        </row>
        <row r="19">
          <cell r="A19">
            <v>72001047</v>
          </cell>
          <cell r="B19" t="str">
            <v>#047-레더페인트-Purple</v>
          </cell>
          <cell r="C19">
            <v>7800</v>
          </cell>
          <cell r="D19" t="str">
            <v>086366710470</v>
          </cell>
          <cell r="E19">
            <v>16.2</v>
          </cell>
          <cell r="F19">
            <v>1862.9999999999995</v>
          </cell>
          <cell r="G19" t="str">
            <v>엔젤러스</v>
          </cell>
          <cell r="H19" t="str">
            <v>1-1.레더페인트</v>
          </cell>
        </row>
        <row r="20">
          <cell r="A20">
            <v>72001050</v>
          </cell>
          <cell r="B20" t="str">
            <v>#050-레더페인트-Green</v>
          </cell>
          <cell r="C20">
            <v>7800</v>
          </cell>
          <cell r="D20" t="str">
            <v>086366710500</v>
          </cell>
          <cell r="E20">
            <v>16.2</v>
          </cell>
          <cell r="F20">
            <v>1862.9999999999995</v>
          </cell>
          <cell r="G20" t="str">
            <v>엔젤러스</v>
          </cell>
          <cell r="H20" t="str">
            <v>1-1.레더페인트</v>
          </cell>
        </row>
        <row r="21">
          <cell r="A21">
            <v>72001052</v>
          </cell>
          <cell r="B21" t="str">
            <v>#052-레더페인트-MidniteGreen</v>
          </cell>
          <cell r="C21">
            <v>7800</v>
          </cell>
          <cell r="D21" t="str">
            <v>086366710524</v>
          </cell>
          <cell r="E21">
            <v>16.2</v>
          </cell>
          <cell r="F21">
            <v>1862.9999999999995</v>
          </cell>
          <cell r="G21" t="str">
            <v>엔젤러스</v>
          </cell>
          <cell r="H21" t="str">
            <v>1-1.레더페인트</v>
          </cell>
        </row>
        <row r="22">
          <cell r="A22">
            <v>72001060</v>
          </cell>
          <cell r="B22" t="str">
            <v>#060-레더페인트-Burgundy</v>
          </cell>
          <cell r="C22">
            <v>7800</v>
          </cell>
          <cell r="D22" t="str">
            <v>086366710609</v>
          </cell>
          <cell r="E22">
            <v>16.2</v>
          </cell>
          <cell r="F22">
            <v>1862.9999999999995</v>
          </cell>
          <cell r="G22" t="str">
            <v>엔젤러스</v>
          </cell>
          <cell r="H22" t="str">
            <v>1-1.레더페인트</v>
          </cell>
        </row>
        <row r="23">
          <cell r="A23">
            <v>72001064</v>
          </cell>
          <cell r="B23" t="str">
            <v>#064-레더페인트-Red</v>
          </cell>
          <cell r="C23">
            <v>7800</v>
          </cell>
          <cell r="D23" t="str">
            <v>086366710647</v>
          </cell>
          <cell r="E23">
            <v>16.2</v>
          </cell>
          <cell r="F23">
            <v>1862.9999999999995</v>
          </cell>
          <cell r="G23" t="str">
            <v>엔젤러스</v>
          </cell>
          <cell r="H23" t="str">
            <v>1-1.레더페인트</v>
          </cell>
        </row>
        <row r="24">
          <cell r="A24">
            <v>72001070</v>
          </cell>
          <cell r="B24" t="str">
            <v>#070-레더페인트-Beige</v>
          </cell>
          <cell r="C24">
            <v>7800</v>
          </cell>
          <cell r="D24" t="str">
            <v>086366710708</v>
          </cell>
          <cell r="E24">
            <v>16.2</v>
          </cell>
          <cell r="F24">
            <v>1862.9999999999995</v>
          </cell>
          <cell r="G24" t="str">
            <v>엔젤러스</v>
          </cell>
          <cell r="H24" t="str">
            <v>1-1.레더페인트</v>
          </cell>
        </row>
        <row r="25">
          <cell r="A25">
            <v>72001072</v>
          </cell>
          <cell r="B25" t="str">
            <v>#072-레더페인트-Gold</v>
          </cell>
          <cell r="C25">
            <v>7800</v>
          </cell>
          <cell r="D25" t="str">
            <v>086366710722</v>
          </cell>
          <cell r="E25">
            <v>16.2</v>
          </cell>
          <cell r="F25">
            <v>1862.9999999999995</v>
          </cell>
          <cell r="G25" t="str">
            <v>엔젤러스</v>
          </cell>
          <cell r="H25" t="str">
            <v>1-1.레더페인트</v>
          </cell>
        </row>
        <row r="26">
          <cell r="A26">
            <v>72001075</v>
          </cell>
          <cell r="B26" t="str">
            <v>#075-레더페인트-Yellow</v>
          </cell>
          <cell r="C26">
            <v>7800</v>
          </cell>
          <cell r="D26" t="str">
            <v>086366710753</v>
          </cell>
          <cell r="E26">
            <v>16.2</v>
          </cell>
          <cell r="F26">
            <v>1862.9999999999995</v>
          </cell>
          <cell r="G26" t="str">
            <v>엔젤러스</v>
          </cell>
          <cell r="H26" t="str">
            <v>1-1.레더페인트</v>
          </cell>
        </row>
        <row r="27">
          <cell r="A27">
            <v>72001080</v>
          </cell>
          <cell r="B27" t="str">
            <v>#080-레더페인트-DarkGrey</v>
          </cell>
          <cell r="C27">
            <v>7800</v>
          </cell>
          <cell r="D27" t="str">
            <v>086366710807</v>
          </cell>
          <cell r="E27">
            <v>16.2</v>
          </cell>
          <cell r="F27">
            <v>1862.9999999999995</v>
          </cell>
          <cell r="G27" t="str">
            <v>엔젤러스</v>
          </cell>
          <cell r="H27" t="str">
            <v>1-1.레더페인트</v>
          </cell>
        </row>
        <row r="28">
          <cell r="A28">
            <v>72001081</v>
          </cell>
          <cell r="B28" t="str">
            <v>#081-레더페인트-Grey</v>
          </cell>
          <cell r="C28">
            <v>7800</v>
          </cell>
          <cell r="D28" t="str">
            <v>086366710814</v>
          </cell>
          <cell r="E28">
            <v>16.2</v>
          </cell>
          <cell r="F28">
            <v>1862.9999999999995</v>
          </cell>
          <cell r="G28" t="str">
            <v>엔젤러스</v>
          </cell>
          <cell r="H28" t="str">
            <v>1-1.레더페인트</v>
          </cell>
        </row>
        <row r="29">
          <cell r="A29">
            <v>72001082</v>
          </cell>
          <cell r="B29" t="str">
            <v>#082-레더페인트-LightGrey</v>
          </cell>
          <cell r="C29">
            <v>7800</v>
          </cell>
          <cell r="D29" t="str">
            <v>086366710821</v>
          </cell>
          <cell r="E29">
            <v>16.2</v>
          </cell>
          <cell r="F29">
            <v>1862.9999999999995</v>
          </cell>
          <cell r="G29" t="str">
            <v>엔젤러스</v>
          </cell>
          <cell r="H29" t="str">
            <v>1-1.레더페인트</v>
          </cell>
        </row>
        <row r="30">
          <cell r="A30">
            <v>72001093</v>
          </cell>
          <cell r="B30" t="str">
            <v>#093-레더페인트-Brick</v>
          </cell>
          <cell r="C30">
            <v>7800</v>
          </cell>
          <cell r="D30" t="str">
            <v>086366710937</v>
          </cell>
          <cell r="E30">
            <v>16.2</v>
          </cell>
          <cell r="F30">
            <v>1862.9999999999995</v>
          </cell>
          <cell r="G30" t="str">
            <v>엔젤러스</v>
          </cell>
          <cell r="H30" t="str">
            <v>1-1.레더페인트</v>
          </cell>
        </row>
        <row r="31">
          <cell r="A31">
            <v>72001101</v>
          </cell>
          <cell r="B31" t="str">
            <v>#101-레더페인트-Flat Black</v>
          </cell>
          <cell r="C31">
            <v>7800</v>
          </cell>
          <cell r="D31" t="str">
            <v>086366711019</v>
          </cell>
          <cell r="E31">
            <v>16.2</v>
          </cell>
          <cell r="F31">
            <v>1862.9999999999995</v>
          </cell>
          <cell r="G31" t="str">
            <v>엔젤러스</v>
          </cell>
          <cell r="H31" t="str">
            <v>1-1.레더페인트</v>
          </cell>
        </row>
        <row r="32">
          <cell r="A32">
            <v>72001105</v>
          </cell>
          <cell r="B32" t="str">
            <v>#105-레더페인트-Flat White</v>
          </cell>
          <cell r="C32">
            <v>7800</v>
          </cell>
          <cell r="D32" t="str">
            <v>086366711057</v>
          </cell>
          <cell r="E32">
            <v>16.2</v>
          </cell>
          <cell r="F32">
            <v>1862.9999999999995</v>
          </cell>
          <cell r="G32" t="str">
            <v>엔젤러스</v>
          </cell>
          <cell r="H32" t="str">
            <v>1-1.레더페인트</v>
          </cell>
        </row>
        <row r="33">
          <cell r="A33">
            <v>72001141</v>
          </cell>
          <cell r="B33" t="str">
            <v>#141-레더페인트-Copper</v>
          </cell>
          <cell r="C33">
            <v>7800</v>
          </cell>
          <cell r="D33" t="str">
            <v>086366711415</v>
          </cell>
          <cell r="E33">
            <v>16.2</v>
          </cell>
          <cell r="F33">
            <v>1862.9999999999995</v>
          </cell>
          <cell r="G33" t="str">
            <v>엔젤러스</v>
          </cell>
          <cell r="H33" t="str">
            <v>1-1.레더페인트</v>
          </cell>
        </row>
        <row r="34">
          <cell r="A34">
            <v>72001142</v>
          </cell>
          <cell r="B34" t="str">
            <v>#142-레더페인트-Bronze</v>
          </cell>
          <cell r="C34">
            <v>7800</v>
          </cell>
          <cell r="D34" t="str">
            <v>086366711422</v>
          </cell>
          <cell r="E34">
            <v>16.2</v>
          </cell>
          <cell r="F34">
            <v>1862.9999999999995</v>
          </cell>
          <cell r="G34" t="str">
            <v>엔젤러스</v>
          </cell>
          <cell r="H34" t="str">
            <v>1-1.레더페인트</v>
          </cell>
        </row>
        <row r="35">
          <cell r="A35">
            <v>72001143</v>
          </cell>
          <cell r="B35" t="str">
            <v>#143-레더페인트-Pewter</v>
          </cell>
          <cell r="C35">
            <v>7800</v>
          </cell>
          <cell r="D35" t="str">
            <v>086366711439</v>
          </cell>
          <cell r="E35">
            <v>16.2</v>
          </cell>
          <cell r="F35">
            <v>1862.9999999999995</v>
          </cell>
          <cell r="G35" t="str">
            <v>엔젤러스</v>
          </cell>
          <cell r="H35" t="str">
            <v>1-1.레더페인트</v>
          </cell>
        </row>
        <row r="36">
          <cell r="A36">
            <v>72001150</v>
          </cell>
          <cell r="B36" t="str">
            <v>#150-레더페인트-SILVER</v>
          </cell>
          <cell r="C36">
            <v>7800</v>
          </cell>
          <cell r="D36" t="str">
            <v>086366711507</v>
          </cell>
          <cell r="E36">
            <v>16.2</v>
          </cell>
          <cell r="F36">
            <v>1862.9999999999995</v>
          </cell>
          <cell r="G36" t="str">
            <v>엔젤러스</v>
          </cell>
          <cell r="H36" t="str">
            <v>1-1.레더페인트</v>
          </cell>
        </row>
        <row r="37">
          <cell r="A37">
            <v>72001155</v>
          </cell>
          <cell r="B37" t="str">
            <v>#155-레더페인트-Bone</v>
          </cell>
          <cell r="C37">
            <v>7800</v>
          </cell>
          <cell r="D37" t="str">
            <v>086366711552</v>
          </cell>
          <cell r="E37">
            <v>16.2</v>
          </cell>
          <cell r="F37">
            <v>1862.9999999999995</v>
          </cell>
          <cell r="G37" t="str">
            <v>엔젤러스</v>
          </cell>
          <cell r="H37" t="str">
            <v>1-1.레더페인트</v>
          </cell>
        </row>
        <row r="38">
          <cell r="A38">
            <v>72001156</v>
          </cell>
          <cell r="B38" t="str">
            <v>#156-레더페인트-Champagne</v>
          </cell>
          <cell r="C38">
            <v>7800</v>
          </cell>
          <cell r="D38" t="str">
            <v>086366711569</v>
          </cell>
          <cell r="E38">
            <v>16.2</v>
          </cell>
          <cell r="F38">
            <v>1862.9999999999995</v>
          </cell>
          <cell r="G38" t="str">
            <v>엔젤러스</v>
          </cell>
          <cell r="H38" t="str">
            <v>1-1.레더페인트</v>
          </cell>
        </row>
        <row r="39">
          <cell r="A39">
            <v>72001157</v>
          </cell>
          <cell r="B39" t="str">
            <v>#157-레더페인트-DarkBone</v>
          </cell>
          <cell r="C39">
            <v>7800</v>
          </cell>
          <cell r="D39" t="str">
            <v>086366711576</v>
          </cell>
          <cell r="E39">
            <v>16.2</v>
          </cell>
          <cell r="F39">
            <v>1862.9999999999995</v>
          </cell>
          <cell r="G39" t="str">
            <v>엔젤러스</v>
          </cell>
          <cell r="H39" t="str">
            <v>1-1.레더페인트</v>
          </cell>
        </row>
        <row r="40">
          <cell r="A40">
            <v>72001159</v>
          </cell>
          <cell r="B40" t="str">
            <v>#159-레더페인트-Mist</v>
          </cell>
          <cell r="C40">
            <v>7800</v>
          </cell>
          <cell r="D40" t="str">
            <v>086366711590</v>
          </cell>
          <cell r="E40">
            <v>16.2</v>
          </cell>
          <cell r="F40">
            <v>1862.9999999999995</v>
          </cell>
          <cell r="G40" t="str">
            <v>엔젤러스</v>
          </cell>
          <cell r="H40" t="str">
            <v>1-1.레더페인트</v>
          </cell>
        </row>
        <row r="41">
          <cell r="A41">
            <v>72001160</v>
          </cell>
          <cell r="B41" t="str">
            <v>#160-레더페인트-Vanilla</v>
          </cell>
          <cell r="C41">
            <v>7800</v>
          </cell>
          <cell r="D41" t="str">
            <v>086366711606</v>
          </cell>
          <cell r="E41">
            <v>16.2</v>
          </cell>
          <cell r="F41">
            <v>1862.9999999999995</v>
          </cell>
          <cell r="G41" t="str">
            <v>엔젤러스</v>
          </cell>
          <cell r="H41" t="str">
            <v>1-1.레더페인트</v>
          </cell>
        </row>
        <row r="42">
          <cell r="A42">
            <v>72001161</v>
          </cell>
          <cell r="B42" t="str">
            <v>#161-레더페인트-Natural</v>
          </cell>
          <cell r="C42">
            <v>7800</v>
          </cell>
          <cell r="D42" t="str">
            <v>086366711613</v>
          </cell>
          <cell r="E42">
            <v>16.2</v>
          </cell>
          <cell r="F42">
            <v>1862.9999999999995</v>
          </cell>
          <cell r="G42" t="str">
            <v>엔젤러스</v>
          </cell>
          <cell r="H42" t="str">
            <v>1-1.레더페인트</v>
          </cell>
        </row>
        <row r="43">
          <cell r="A43">
            <v>72001162</v>
          </cell>
          <cell r="B43" t="str">
            <v>#162-레더페인트-Cream</v>
          </cell>
          <cell r="C43">
            <v>7800</v>
          </cell>
          <cell r="D43" t="str">
            <v>086366711620</v>
          </cell>
          <cell r="E43">
            <v>16.2</v>
          </cell>
          <cell r="F43">
            <v>1862.9999999999995</v>
          </cell>
          <cell r="G43" t="str">
            <v>엔젤러스</v>
          </cell>
          <cell r="H43" t="str">
            <v>1-1.레더페인트</v>
          </cell>
        </row>
        <row r="44">
          <cell r="A44">
            <v>72001163</v>
          </cell>
          <cell r="B44" t="str">
            <v>#163-레더페인트-CapazioTan</v>
          </cell>
          <cell r="C44">
            <v>7800</v>
          </cell>
          <cell r="D44" t="str">
            <v>086366711637</v>
          </cell>
          <cell r="E44">
            <v>16.2</v>
          </cell>
          <cell r="F44">
            <v>1862.9999999999995</v>
          </cell>
          <cell r="G44" t="str">
            <v>엔젤러스</v>
          </cell>
          <cell r="H44" t="str">
            <v>1-1.레더페인트</v>
          </cell>
        </row>
        <row r="45">
          <cell r="A45">
            <v>72001165</v>
          </cell>
          <cell r="B45" t="str">
            <v>#165-레더페인트-BeigeTaupe</v>
          </cell>
          <cell r="C45">
            <v>7800</v>
          </cell>
          <cell r="D45" t="str">
            <v>086366711651</v>
          </cell>
          <cell r="E45">
            <v>16.2</v>
          </cell>
          <cell r="F45">
            <v>1862.9999999999995</v>
          </cell>
          <cell r="G45" t="str">
            <v>엔젤러스</v>
          </cell>
          <cell r="H45" t="str">
            <v>1-1.레더페인트</v>
          </cell>
        </row>
        <row r="46">
          <cell r="A46">
            <v>72001166</v>
          </cell>
          <cell r="B46" t="str">
            <v>#166-레더페인트-GreyTaupe</v>
          </cell>
          <cell r="C46">
            <v>7800</v>
          </cell>
          <cell r="D46" t="str">
            <v>086366711668</v>
          </cell>
          <cell r="E46">
            <v>16.2</v>
          </cell>
          <cell r="F46">
            <v>1862.9999999999995</v>
          </cell>
          <cell r="G46" t="str">
            <v>엔젤러스</v>
          </cell>
          <cell r="H46" t="str">
            <v>1-1.레더페인트</v>
          </cell>
        </row>
        <row r="47">
          <cell r="A47">
            <v>72001167</v>
          </cell>
          <cell r="B47" t="str">
            <v>#167-레더페인트-Taupe</v>
          </cell>
          <cell r="C47">
            <v>7800</v>
          </cell>
          <cell r="D47" t="str">
            <v>086366711675</v>
          </cell>
          <cell r="E47">
            <v>16.2</v>
          </cell>
          <cell r="F47">
            <v>1862.9999999999995</v>
          </cell>
          <cell r="G47" t="str">
            <v>엔젤러스</v>
          </cell>
          <cell r="H47" t="str">
            <v>1-1.레더페인트</v>
          </cell>
        </row>
        <row r="48">
          <cell r="A48">
            <v>72001168</v>
          </cell>
          <cell r="B48" t="str">
            <v>#168-레더페인트-DarkTaupe</v>
          </cell>
          <cell r="C48">
            <v>7800</v>
          </cell>
          <cell r="D48" t="str">
            <v>086366711682</v>
          </cell>
          <cell r="E48">
            <v>16.2</v>
          </cell>
          <cell r="F48">
            <v>1862.9999999999995</v>
          </cell>
          <cell r="G48" t="str">
            <v>엔젤러스</v>
          </cell>
          <cell r="H48" t="str">
            <v>1-1.레더페인트</v>
          </cell>
        </row>
        <row r="49">
          <cell r="A49">
            <v>72001169</v>
          </cell>
          <cell r="B49" t="str">
            <v>#169-레더페인트-Mauve</v>
          </cell>
          <cell r="C49">
            <v>7800</v>
          </cell>
          <cell r="D49" t="str">
            <v>086366711699</v>
          </cell>
          <cell r="E49">
            <v>16.2</v>
          </cell>
          <cell r="F49">
            <v>1862.9999999999995</v>
          </cell>
          <cell r="G49" t="str">
            <v>엔젤러스</v>
          </cell>
          <cell r="H49" t="str">
            <v>1-1.레더페인트</v>
          </cell>
        </row>
        <row r="50">
          <cell r="A50">
            <v>72001170</v>
          </cell>
          <cell r="B50" t="str">
            <v>#170-레더페인트-Avocado</v>
          </cell>
          <cell r="C50">
            <v>7800</v>
          </cell>
          <cell r="D50" t="str">
            <v>086366711705</v>
          </cell>
          <cell r="E50">
            <v>16.2</v>
          </cell>
          <cell r="F50">
            <v>1862.9999999999995</v>
          </cell>
          <cell r="G50" t="str">
            <v>엔젤러스</v>
          </cell>
          <cell r="H50" t="str">
            <v>1-1.레더페인트</v>
          </cell>
        </row>
        <row r="51">
          <cell r="A51">
            <v>72001171</v>
          </cell>
          <cell r="B51" t="str">
            <v>#171-레더페인트-DarkGreen</v>
          </cell>
          <cell r="C51">
            <v>7800</v>
          </cell>
          <cell r="D51" t="str">
            <v>086366711712</v>
          </cell>
          <cell r="E51">
            <v>16.2</v>
          </cell>
          <cell r="F51">
            <v>1862.9999999999995</v>
          </cell>
          <cell r="G51" t="str">
            <v>엔젤러스</v>
          </cell>
          <cell r="H51" t="str">
            <v>1-1.레더페인트</v>
          </cell>
        </row>
        <row r="52">
          <cell r="A52">
            <v>72001172</v>
          </cell>
          <cell r="B52" t="str">
            <v>#172-레더페인트-Light Green</v>
          </cell>
          <cell r="C52">
            <v>7800</v>
          </cell>
          <cell r="D52" t="str">
            <v>086366711729</v>
          </cell>
          <cell r="E52">
            <v>16.2</v>
          </cell>
          <cell r="F52">
            <v>1862.9999999999995</v>
          </cell>
          <cell r="G52" t="str">
            <v>엔젤러스</v>
          </cell>
          <cell r="H52" t="str">
            <v>1-1.레더페인트</v>
          </cell>
        </row>
        <row r="53">
          <cell r="A53">
            <v>72001174</v>
          </cell>
          <cell r="B53" t="str">
            <v>#174-레더페인트-GiftBoxBlue</v>
          </cell>
          <cell r="C53">
            <v>7800</v>
          </cell>
          <cell r="D53" t="str">
            <v>086366711743</v>
          </cell>
          <cell r="E53">
            <v>16.2</v>
          </cell>
          <cell r="F53">
            <v>1862.9999999999995</v>
          </cell>
          <cell r="G53" t="str">
            <v>엔젤러스</v>
          </cell>
          <cell r="H53" t="str">
            <v>1-1.레더페인트</v>
          </cell>
        </row>
        <row r="54">
          <cell r="A54">
            <v>72001175</v>
          </cell>
          <cell r="B54" t="str">
            <v>#175-레더페인트-Lylac</v>
          </cell>
          <cell r="C54">
            <v>7800</v>
          </cell>
          <cell r="D54" t="str">
            <v>086366711750</v>
          </cell>
          <cell r="E54">
            <v>16.2</v>
          </cell>
          <cell r="F54">
            <v>1862.9999999999995</v>
          </cell>
          <cell r="G54" t="str">
            <v>엔젤러스</v>
          </cell>
          <cell r="H54" t="str">
            <v>1-1.레더페인트</v>
          </cell>
        </row>
        <row r="55">
          <cell r="A55">
            <v>72001176</v>
          </cell>
          <cell r="B55" t="str">
            <v>#176-레더페인트-PaleBlue</v>
          </cell>
          <cell r="C55">
            <v>7800</v>
          </cell>
          <cell r="D55" t="str">
            <v>086366711767</v>
          </cell>
          <cell r="E55">
            <v>16.2</v>
          </cell>
          <cell r="F55">
            <v>1862.9999999999995</v>
          </cell>
          <cell r="G55" t="str">
            <v>엔젤러스</v>
          </cell>
          <cell r="H55" t="str">
            <v>1-1.레더페인트</v>
          </cell>
        </row>
        <row r="56">
          <cell r="A56">
            <v>72001177</v>
          </cell>
          <cell r="B56" t="str">
            <v>#177-레더페인트-Sapphire</v>
          </cell>
          <cell r="C56">
            <v>7800</v>
          </cell>
          <cell r="D56" t="str">
            <v>086366711778</v>
          </cell>
          <cell r="E56">
            <v>16.2</v>
          </cell>
          <cell r="F56">
            <v>1862.9999999999995</v>
          </cell>
          <cell r="G56" t="str">
            <v>엔젤러스</v>
          </cell>
          <cell r="H56" t="str">
            <v>1-1.레더페인트</v>
          </cell>
        </row>
        <row r="57">
          <cell r="A57">
            <v>72001178</v>
          </cell>
          <cell r="B57" t="str">
            <v>#178-레더페인트-Violet</v>
          </cell>
          <cell r="C57">
            <v>7800</v>
          </cell>
          <cell r="D57" t="str">
            <v>086366711781</v>
          </cell>
          <cell r="E57">
            <v>16.2</v>
          </cell>
          <cell r="F57">
            <v>1862.9999999999995</v>
          </cell>
          <cell r="G57" t="str">
            <v>엔젤러스</v>
          </cell>
          <cell r="H57" t="str">
            <v>1-1.레더페인트</v>
          </cell>
        </row>
        <row r="58">
          <cell r="A58">
            <v>72001179</v>
          </cell>
          <cell r="B58" t="str">
            <v>#179-레더페인트-DarkBlue</v>
          </cell>
          <cell r="C58">
            <v>7800</v>
          </cell>
          <cell r="D58" t="str">
            <v>086366711798</v>
          </cell>
          <cell r="E58">
            <v>16.2</v>
          </cell>
          <cell r="F58">
            <v>1862.9999999999995</v>
          </cell>
          <cell r="G58" t="str">
            <v>엔젤러스</v>
          </cell>
          <cell r="H58" t="str">
            <v>1-1.레더페인트</v>
          </cell>
        </row>
        <row r="59">
          <cell r="A59">
            <v>72001180</v>
          </cell>
          <cell r="B59" t="str">
            <v>#180-레더페인트-Cognac</v>
          </cell>
          <cell r="C59">
            <v>7800</v>
          </cell>
          <cell r="D59" t="str">
            <v>086366711804</v>
          </cell>
          <cell r="E59">
            <v>16.2</v>
          </cell>
          <cell r="F59">
            <v>1862.9999999999995</v>
          </cell>
          <cell r="G59" t="str">
            <v>엔젤러스</v>
          </cell>
          <cell r="H59" t="str">
            <v>1-1.레더페인트</v>
          </cell>
        </row>
        <row r="60">
          <cell r="A60">
            <v>72001181</v>
          </cell>
          <cell r="B60" t="str">
            <v>#181-레더페인트-RichBrown</v>
          </cell>
          <cell r="C60">
            <v>7800</v>
          </cell>
          <cell r="D60" t="str">
            <v>086366711811</v>
          </cell>
          <cell r="E60">
            <v>16.2</v>
          </cell>
          <cell r="F60">
            <v>1862.9999999999995</v>
          </cell>
          <cell r="G60" t="str">
            <v>엔젤러스</v>
          </cell>
          <cell r="H60" t="str">
            <v>1-1.레더페인트</v>
          </cell>
        </row>
        <row r="61">
          <cell r="A61">
            <v>72001182</v>
          </cell>
          <cell r="B61" t="str">
            <v>#182-레더페인트-Sand</v>
          </cell>
          <cell r="C61">
            <v>7800</v>
          </cell>
          <cell r="D61" t="str">
            <v>086366711828</v>
          </cell>
          <cell r="E61">
            <v>16.2</v>
          </cell>
          <cell r="F61">
            <v>1862.9999999999995</v>
          </cell>
          <cell r="G61" t="str">
            <v>엔젤러스</v>
          </cell>
          <cell r="H61" t="str">
            <v>1-1.레더페인트</v>
          </cell>
        </row>
        <row r="62">
          <cell r="A62">
            <v>72001183</v>
          </cell>
          <cell r="B62" t="str">
            <v>#183-레더페인트-TerraCottaRed</v>
          </cell>
          <cell r="C62">
            <v>7800</v>
          </cell>
          <cell r="D62" t="str">
            <v>086366711835</v>
          </cell>
          <cell r="E62">
            <v>16.2</v>
          </cell>
          <cell r="F62">
            <v>1862.9999999999995</v>
          </cell>
          <cell r="G62" t="str">
            <v>엔젤러스</v>
          </cell>
          <cell r="H62" t="str">
            <v>1-1.레더페인트</v>
          </cell>
        </row>
        <row r="63">
          <cell r="A63">
            <v>72001184</v>
          </cell>
          <cell r="B63" t="str">
            <v>#184-레더페인트-AutumnRed</v>
          </cell>
          <cell r="C63">
            <v>7800</v>
          </cell>
          <cell r="D63" t="str">
            <v>086366711842</v>
          </cell>
          <cell r="E63">
            <v>16.2</v>
          </cell>
          <cell r="F63">
            <v>1862.9999999999995</v>
          </cell>
          <cell r="G63" t="str">
            <v>엔젤러스</v>
          </cell>
          <cell r="H63" t="str">
            <v>1-1.레더페인트</v>
          </cell>
        </row>
        <row r="64">
          <cell r="A64">
            <v>72001185</v>
          </cell>
          <cell r="B64" t="str">
            <v>#185-레더페인트-FireRed</v>
          </cell>
          <cell r="C64">
            <v>7800</v>
          </cell>
          <cell r="D64" t="str">
            <v>086366711859</v>
          </cell>
          <cell r="E64">
            <v>16.2</v>
          </cell>
          <cell r="F64">
            <v>1862.9999999999995</v>
          </cell>
          <cell r="G64" t="str">
            <v>엔젤러스</v>
          </cell>
          <cell r="H64" t="str">
            <v>1-1.레더페인트</v>
          </cell>
        </row>
        <row r="65">
          <cell r="A65">
            <v>72001186</v>
          </cell>
          <cell r="B65" t="str">
            <v>#186-레더페인트-HotPink</v>
          </cell>
          <cell r="C65">
            <v>7800</v>
          </cell>
          <cell r="D65" t="str">
            <v>086366711866</v>
          </cell>
          <cell r="E65">
            <v>16.2</v>
          </cell>
          <cell r="F65">
            <v>1862.9999999999995</v>
          </cell>
          <cell r="G65" t="str">
            <v>엔젤러스</v>
          </cell>
          <cell r="H65" t="str">
            <v>1-1.레더페인트</v>
          </cell>
        </row>
        <row r="66">
          <cell r="A66">
            <v>72001187</v>
          </cell>
          <cell r="B66" t="str">
            <v>#187-레더페인트-Magenta</v>
          </cell>
          <cell r="C66">
            <v>7800</v>
          </cell>
          <cell r="D66" t="str">
            <v>086366711873</v>
          </cell>
          <cell r="E66">
            <v>16.2</v>
          </cell>
          <cell r="F66">
            <v>1862.9999999999995</v>
          </cell>
          <cell r="G66" t="str">
            <v>엔젤러스</v>
          </cell>
          <cell r="H66" t="str">
            <v>1-1.레더페인트</v>
          </cell>
        </row>
        <row r="67">
          <cell r="A67">
            <v>72001188</v>
          </cell>
          <cell r="B67" t="str">
            <v>#188-레더페인트-Pink</v>
          </cell>
          <cell r="C67">
            <v>7800</v>
          </cell>
          <cell r="D67" t="str">
            <v>086366711880</v>
          </cell>
          <cell r="E67">
            <v>16.2</v>
          </cell>
          <cell r="F67">
            <v>1862.9999999999995</v>
          </cell>
          <cell r="G67" t="str">
            <v>엔젤러스</v>
          </cell>
          <cell r="H67" t="str">
            <v>1-1.레더페인트</v>
          </cell>
        </row>
        <row r="68">
          <cell r="A68">
            <v>72001189</v>
          </cell>
          <cell r="B68" t="str">
            <v>#189-레더페인트-Petal Pink</v>
          </cell>
          <cell r="C68">
            <v>7800</v>
          </cell>
          <cell r="D68" t="str">
            <v>086366711897</v>
          </cell>
          <cell r="E68">
            <v>16.2</v>
          </cell>
          <cell r="F68">
            <v>1862.9999999999995</v>
          </cell>
          <cell r="G68" t="str">
            <v>엔젤러스</v>
          </cell>
          <cell r="H68" t="str">
            <v>1-1.레더페인트</v>
          </cell>
        </row>
        <row r="69">
          <cell r="A69">
            <v>72001190</v>
          </cell>
          <cell r="B69" t="str">
            <v>#190-레더페인트-ScaletRed</v>
          </cell>
          <cell r="C69">
            <v>7800</v>
          </cell>
          <cell r="D69" t="str">
            <v>086366711903</v>
          </cell>
          <cell r="E69">
            <v>16.2</v>
          </cell>
          <cell r="F69">
            <v>1862.9999999999995</v>
          </cell>
          <cell r="G69" t="str">
            <v>엔젤러스</v>
          </cell>
          <cell r="H69" t="str">
            <v>1-1.레더페인트</v>
          </cell>
        </row>
        <row r="70">
          <cell r="A70">
            <v>72001191</v>
          </cell>
          <cell r="B70" t="str">
            <v>#191-레더페인트-Shell Pink</v>
          </cell>
          <cell r="C70">
            <v>7800</v>
          </cell>
          <cell r="D70" t="str">
            <v>086366711910</v>
          </cell>
          <cell r="E70">
            <v>16.2</v>
          </cell>
          <cell r="F70">
            <v>1862.9999999999995</v>
          </cell>
          <cell r="G70" t="str">
            <v>엔젤러스</v>
          </cell>
          <cell r="H70" t="str">
            <v>1-1.레더페인트</v>
          </cell>
        </row>
        <row r="71">
          <cell r="A71">
            <v>72001194</v>
          </cell>
          <cell r="B71" t="str">
            <v>#194-레더페인트-Caramel</v>
          </cell>
          <cell r="C71">
            <v>7800</v>
          </cell>
          <cell r="D71" t="str">
            <v>086366711941</v>
          </cell>
          <cell r="E71">
            <v>16.2</v>
          </cell>
          <cell r="F71">
            <v>1862.9999999999995</v>
          </cell>
          <cell r="G71" t="str">
            <v>엔젤러스</v>
          </cell>
          <cell r="H71" t="str">
            <v>1-1.레더페인트</v>
          </cell>
        </row>
        <row r="72">
          <cell r="A72">
            <v>72001196</v>
          </cell>
          <cell r="B72" t="str">
            <v>#196-레더페인트-Mustard</v>
          </cell>
          <cell r="C72">
            <v>7800</v>
          </cell>
          <cell r="D72" t="str">
            <v>086366711965</v>
          </cell>
          <cell r="E72">
            <v>16.2</v>
          </cell>
          <cell r="F72">
            <v>1862.9999999999995</v>
          </cell>
          <cell r="G72" t="str">
            <v>엔젤러스</v>
          </cell>
          <cell r="H72" t="str">
            <v>1-1.레더페인트</v>
          </cell>
        </row>
        <row r="73">
          <cell r="A73">
            <v>72001197</v>
          </cell>
          <cell r="B73" t="str">
            <v>#197-레더페인트-PaleYellow</v>
          </cell>
          <cell r="C73">
            <v>7800</v>
          </cell>
          <cell r="D73" t="str">
            <v>086366711972</v>
          </cell>
          <cell r="E73">
            <v>16.2</v>
          </cell>
          <cell r="F73">
            <v>1862.9999999999995</v>
          </cell>
          <cell r="G73" t="str">
            <v>엔젤러스</v>
          </cell>
          <cell r="H73" t="str">
            <v>1-1.레더페인트</v>
          </cell>
        </row>
        <row r="74">
          <cell r="A74">
            <v>72001198</v>
          </cell>
          <cell r="B74" t="str">
            <v>#198-레더페인트-Buttercup</v>
          </cell>
          <cell r="C74">
            <v>7800</v>
          </cell>
          <cell r="D74" t="str">
            <v>086366711989</v>
          </cell>
          <cell r="E74">
            <v>16.2</v>
          </cell>
          <cell r="F74">
            <v>1862.9999999999995</v>
          </cell>
          <cell r="G74" t="str">
            <v>엔젤러스</v>
          </cell>
          <cell r="H74" t="str">
            <v>1-1.레더페인트</v>
          </cell>
        </row>
        <row r="75">
          <cell r="A75">
            <v>72001260</v>
          </cell>
          <cell r="B75" t="str">
            <v>#260-레더페인트-Chili Red</v>
          </cell>
          <cell r="C75">
            <v>7800</v>
          </cell>
          <cell r="D75" t="str">
            <v>086366712603</v>
          </cell>
          <cell r="E75">
            <v>16.2</v>
          </cell>
          <cell r="F75">
            <v>1862.9999999999995</v>
          </cell>
          <cell r="G75" t="str">
            <v>엔젤러스</v>
          </cell>
          <cell r="H75" t="str">
            <v>1-1.레더페인트</v>
          </cell>
        </row>
        <row r="76">
          <cell r="A76">
            <v>72001261</v>
          </cell>
          <cell r="B76" t="str">
            <v>#261-레더페인트-South Beach</v>
          </cell>
          <cell r="C76">
            <v>7800</v>
          </cell>
          <cell r="D76" t="str">
            <v>086366712610</v>
          </cell>
          <cell r="E76">
            <v>16.2</v>
          </cell>
          <cell r="F76">
            <v>1862.9999999999995</v>
          </cell>
          <cell r="G76" t="str">
            <v>엔젤러스</v>
          </cell>
          <cell r="H76" t="str">
            <v>1-1.레더페인트</v>
          </cell>
        </row>
        <row r="77">
          <cell r="A77">
            <v>72001262</v>
          </cell>
          <cell r="B77" t="str">
            <v>#262-레더페인트-Play in the Sand</v>
          </cell>
          <cell r="C77">
            <v>7800</v>
          </cell>
          <cell r="D77" t="str">
            <v>086366712627</v>
          </cell>
          <cell r="E77">
            <v>16.2</v>
          </cell>
          <cell r="F77">
            <v>1862.9999999999995</v>
          </cell>
          <cell r="G77" t="str">
            <v>엔젤러스</v>
          </cell>
          <cell r="H77" t="str">
            <v>1-1.레더페인트</v>
          </cell>
        </row>
        <row r="78">
          <cell r="A78">
            <v>72001263</v>
          </cell>
          <cell r="B78" t="str">
            <v>#263-레더페인트-Grinch Green</v>
          </cell>
          <cell r="C78">
            <v>7800</v>
          </cell>
          <cell r="D78" t="str">
            <v>086366712634</v>
          </cell>
          <cell r="E78">
            <v>16.2</v>
          </cell>
          <cell r="F78">
            <v>1862.9999999999995</v>
          </cell>
          <cell r="G78" t="str">
            <v>엔젤러스</v>
          </cell>
          <cell r="H78" t="str">
            <v>1-1.레더페인트</v>
          </cell>
        </row>
        <row r="79">
          <cell r="A79">
            <v>72001264</v>
          </cell>
          <cell r="B79" t="str">
            <v>#264-레더페인트-Putty</v>
          </cell>
          <cell r="C79">
            <v>7800</v>
          </cell>
          <cell r="D79" t="str">
            <v>086366712641</v>
          </cell>
          <cell r="E79">
            <v>16.2</v>
          </cell>
          <cell r="F79">
            <v>1862.9999999999995</v>
          </cell>
          <cell r="G79" t="str">
            <v>엔젤러스</v>
          </cell>
          <cell r="H79" t="str">
            <v>1-1.레더페인트</v>
          </cell>
        </row>
        <row r="80">
          <cell r="A80">
            <v>72001265</v>
          </cell>
          <cell r="B80" t="str">
            <v>#265-레더페인트-Tangerine</v>
          </cell>
          <cell r="C80">
            <v>7800</v>
          </cell>
          <cell r="D80" t="str">
            <v>086366712658</v>
          </cell>
          <cell r="E80">
            <v>16.2</v>
          </cell>
          <cell r="F80">
            <v>1862.9999999999995</v>
          </cell>
          <cell r="G80" t="str">
            <v>엔젤러스</v>
          </cell>
          <cell r="H80" t="str">
            <v>1-1.레더페인트</v>
          </cell>
        </row>
        <row r="81">
          <cell r="A81">
            <v>72001266</v>
          </cell>
          <cell r="B81" t="str">
            <v>#266-레더페인트-Georgia Peach</v>
          </cell>
          <cell r="C81">
            <v>7800</v>
          </cell>
          <cell r="D81" t="str">
            <v>086366712665</v>
          </cell>
          <cell r="E81">
            <v>16.2</v>
          </cell>
          <cell r="F81">
            <v>1862.9999999999995</v>
          </cell>
          <cell r="G81" t="str">
            <v>엔젤러스</v>
          </cell>
          <cell r="H81" t="str">
            <v>1-1.레더페인트</v>
          </cell>
        </row>
        <row r="82">
          <cell r="A82">
            <v>72001267</v>
          </cell>
          <cell r="B82" t="str">
            <v>#267-레더페인트-Salmon</v>
          </cell>
          <cell r="C82">
            <v>7800</v>
          </cell>
          <cell r="D82" t="str">
            <v>086366712672</v>
          </cell>
          <cell r="E82">
            <v>16.2</v>
          </cell>
          <cell r="F82">
            <v>1862.9999999999995</v>
          </cell>
          <cell r="G82" t="str">
            <v>엔젤러스</v>
          </cell>
          <cell r="H82" t="str">
            <v>1-1.레더페인트</v>
          </cell>
        </row>
        <row r="83">
          <cell r="A83">
            <v>72001268</v>
          </cell>
          <cell r="B83" t="str">
            <v>#268-레더페인트-Rasberry</v>
          </cell>
          <cell r="C83">
            <v>7800</v>
          </cell>
          <cell r="D83" t="str">
            <v>086366712689</v>
          </cell>
          <cell r="E83">
            <v>16.2</v>
          </cell>
          <cell r="F83">
            <v>1862.9999999999995</v>
          </cell>
          <cell r="G83" t="str">
            <v>엔젤러스</v>
          </cell>
          <cell r="H83" t="str">
            <v>1-1.레더페인트</v>
          </cell>
        </row>
        <row r="84">
          <cell r="A84">
            <v>72001269</v>
          </cell>
          <cell r="B84" t="str">
            <v>#269-레더페인트-Mint</v>
          </cell>
          <cell r="C84">
            <v>7800</v>
          </cell>
          <cell r="D84" t="str">
            <v>086366712696</v>
          </cell>
          <cell r="E84">
            <v>16.2</v>
          </cell>
          <cell r="F84">
            <v>1862.9999999999995</v>
          </cell>
          <cell r="G84" t="str">
            <v>엔젤러스</v>
          </cell>
          <cell r="H84" t="str">
            <v>1-1.레더페인트</v>
          </cell>
        </row>
        <row r="85">
          <cell r="A85">
            <v>72001270</v>
          </cell>
          <cell r="B85" t="str">
            <v>#270-레더페인트-Vachetta</v>
          </cell>
          <cell r="C85">
            <v>7800</v>
          </cell>
          <cell r="D85" t="str">
            <v>086366712702</v>
          </cell>
          <cell r="E85">
            <v>16.2</v>
          </cell>
          <cell r="F85">
            <v>1862.9999999999995</v>
          </cell>
          <cell r="G85" t="str">
            <v>엔젤러스</v>
          </cell>
          <cell r="H85" t="str">
            <v>1-1.레더페인트</v>
          </cell>
        </row>
        <row r="86">
          <cell r="A86">
            <v>72001272</v>
          </cell>
          <cell r="B86" t="str">
            <v>#272-레더페인트-Olive</v>
          </cell>
          <cell r="C86">
            <v>7800</v>
          </cell>
          <cell r="D86" t="str">
            <v>086366712726</v>
          </cell>
          <cell r="E86">
            <v>16.2</v>
          </cell>
          <cell r="F86">
            <v>1862.9999999999995</v>
          </cell>
          <cell r="G86" t="str">
            <v>엔젤러스</v>
          </cell>
          <cell r="H86" t="str">
            <v>1-1.레더페인트</v>
          </cell>
        </row>
        <row r="87">
          <cell r="A87">
            <v>72001273</v>
          </cell>
          <cell r="B87" t="str">
            <v>#273-레더페인트-Bowler Brown</v>
          </cell>
          <cell r="C87">
            <v>7800</v>
          </cell>
          <cell r="D87">
            <v>86366712733</v>
          </cell>
          <cell r="E87">
            <v>16.2</v>
          </cell>
          <cell r="F87">
            <v>1862.9999999999995</v>
          </cell>
          <cell r="G87" t="str">
            <v>엔젤러스</v>
          </cell>
          <cell r="H87" t="str">
            <v>1-1.레더페인트</v>
          </cell>
        </row>
        <row r="88">
          <cell r="A88">
            <v>72001274</v>
          </cell>
          <cell r="B88" t="str">
            <v>#274-레더페인트-Luggage Brown</v>
          </cell>
          <cell r="C88">
            <v>7800</v>
          </cell>
          <cell r="D88">
            <v>86366712740</v>
          </cell>
          <cell r="E88">
            <v>16.2</v>
          </cell>
          <cell r="F88">
            <v>1862.9999999999995</v>
          </cell>
          <cell r="G88" t="str">
            <v>엔젤러스</v>
          </cell>
          <cell r="H88" t="str">
            <v>1-1.레더페인트</v>
          </cell>
        </row>
        <row r="89">
          <cell r="A89">
            <v>72001275</v>
          </cell>
          <cell r="B89" t="str">
            <v>#275-레더페인트-Satchel Tan</v>
          </cell>
          <cell r="C89">
            <v>7800</v>
          </cell>
          <cell r="D89">
            <v>86366712757</v>
          </cell>
          <cell r="E89">
            <v>16.2</v>
          </cell>
          <cell r="F89">
            <v>1862.9999999999995</v>
          </cell>
          <cell r="G89" t="str">
            <v>엔젤러스</v>
          </cell>
          <cell r="H89" t="str">
            <v>1-1.레더페인트</v>
          </cell>
        </row>
        <row r="91">
          <cell r="A91">
            <v>72701310</v>
          </cell>
          <cell r="B91" t="str">
            <v>콜렉터에디션-#310-aqua</v>
          </cell>
          <cell r="C91">
            <v>8800</v>
          </cell>
          <cell r="D91" t="str">
            <v>086366713105</v>
          </cell>
          <cell r="E91">
            <v>20.399999999999999</v>
          </cell>
          <cell r="F91">
            <v>2346</v>
          </cell>
          <cell r="G91" t="str">
            <v>엔젤러스</v>
          </cell>
          <cell r="H91" t="str">
            <v>1-2.콜렉터에디션</v>
          </cell>
        </row>
        <row r="92">
          <cell r="A92">
            <v>72701312</v>
          </cell>
          <cell r="B92" t="str">
            <v>콜렉터에디션-#312-Blaze</v>
          </cell>
          <cell r="C92">
            <v>8800</v>
          </cell>
          <cell r="D92" t="str">
            <v>086366713129</v>
          </cell>
          <cell r="E92">
            <v>20.399999999999999</v>
          </cell>
          <cell r="F92">
            <v>2346</v>
          </cell>
          <cell r="G92" t="str">
            <v>엔젤러스</v>
          </cell>
          <cell r="H92" t="str">
            <v>1-2.콜렉터에디션</v>
          </cell>
        </row>
        <row r="93">
          <cell r="A93">
            <v>72701313</v>
          </cell>
          <cell r="B93" t="str">
            <v>콜렉터에디션-#313-Concord</v>
          </cell>
          <cell r="C93">
            <v>8800</v>
          </cell>
          <cell r="D93" t="str">
            <v>086366713136</v>
          </cell>
          <cell r="E93">
            <v>20.399999999999999</v>
          </cell>
          <cell r="F93">
            <v>2346</v>
          </cell>
          <cell r="G93" t="str">
            <v>엔젤러스</v>
          </cell>
          <cell r="H93" t="str">
            <v>1-2.콜렉터에디션</v>
          </cell>
        </row>
        <row r="94">
          <cell r="A94">
            <v>72701314</v>
          </cell>
          <cell r="B94" t="str">
            <v>콜렉터에디션-#314-Collector Edition  White Cement</v>
          </cell>
          <cell r="C94">
            <v>8800</v>
          </cell>
          <cell r="D94" t="str">
            <v>086366713143</v>
          </cell>
          <cell r="E94">
            <v>20.399999999999999</v>
          </cell>
          <cell r="F94">
            <v>2346</v>
          </cell>
          <cell r="G94" t="str">
            <v>엔젤러스</v>
          </cell>
          <cell r="H94" t="str">
            <v>1-2.콜렉터에디션</v>
          </cell>
        </row>
        <row r="95">
          <cell r="A95">
            <v>72701315</v>
          </cell>
          <cell r="B95" t="str">
            <v>콜렉터에디션-#315-Collector Edition  Volt</v>
          </cell>
          <cell r="C95">
            <v>8800</v>
          </cell>
          <cell r="D95" t="str">
            <v>086366713150</v>
          </cell>
          <cell r="E95">
            <v>20.399999999999999</v>
          </cell>
          <cell r="F95">
            <v>2346</v>
          </cell>
          <cell r="G95" t="str">
            <v>엔젤러스</v>
          </cell>
          <cell r="H95" t="str">
            <v>1-2.콜렉터에디션</v>
          </cell>
        </row>
        <row r="96">
          <cell r="A96">
            <v>72701317</v>
          </cell>
          <cell r="B96" t="str">
            <v>콜렉터에디션-#317-Emerald</v>
          </cell>
          <cell r="C96">
            <v>8800</v>
          </cell>
          <cell r="D96" t="str">
            <v>086366713174</v>
          </cell>
          <cell r="E96">
            <v>20.399999999999999</v>
          </cell>
          <cell r="F96">
            <v>2346</v>
          </cell>
          <cell r="G96" t="str">
            <v>엔젤러스</v>
          </cell>
          <cell r="H96" t="str">
            <v>1-2.콜렉터에디션</v>
          </cell>
        </row>
        <row r="97">
          <cell r="A97">
            <v>72701319</v>
          </cell>
          <cell r="B97" t="str">
            <v>콜렉터에디션-#319-Infrared</v>
          </cell>
          <cell r="C97">
            <v>8800</v>
          </cell>
          <cell r="D97" t="str">
            <v>086366713198</v>
          </cell>
          <cell r="E97">
            <v>20.399999999999999</v>
          </cell>
          <cell r="F97">
            <v>2346</v>
          </cell>
          <cell r="G97" t="str">
            <v>엔젤러스</v>
          </cell>
          <cell r="H97" t="str">
            <v>1-2.콜렉터에디션</v>
          </cell>
        </row>
        <row r="98">
          <cell r="A98">
            <v>72701321</v>
          </cell>
          <cell r="B98" t="str">
            <v>콜렉터에디션-#321-Maize</v>
          </cell>
          <cell r="C98">
            <v>8800</v>
          </cell>
          <cell r="D98" t="str">
            <v>086366713211</v>
          </cell>
          <cell r="E98">
            <v>20.399999999999999</v>
          </cell>
          <cell r="F98">
            <v>2346</v>
          </cell>
          <cell r="G98" t="str">
            <v>엔젤러스</v>
          </cell>
          <cell r="H98" t="str">
            <v>1-2.콜렉터에디션</v>
          </cell>
        </row>
        <row r="99">
          <cell r="A99">
            <v>72701323</v>
          </cell>
          <cell r="B99" t="str">
            <v>콜렉터에디션-#323-Mid Navy 8</v>
          </cell>
          <cell r="C99">
            <v>8800</v>
          </cell>
          <cell r="D99" t="str">
            <v>086366713235</v>
          </cell>
          <cell r="E99">
            <v>20.399999999999999</v>
          </cell>
          <cell r="F99">
            <v>2346</v>
          </cell>
          <cell r="G99" t="str">
            <v>엔젤러스</v>
          </cell>
          <cell r="H99" t="str">
            <v>1-2.콜렉터에디션</v>
          </cell>
        </row>
        <row r="100">
          <cell r="A100">
            <v>72701324</v>
          </cell>
          <cell r="B100" t="str">
            <v>콜렉터에디션-#324-Millitary Blue</v>
          </cell>
          <cell r="C100">
            <v>8800</v>
          </cell>
          <cell r="D100" t="str">
            <v>086366713242</v>
          </cell>
          <cell r="E100">
            <v>20.399999999999999</v>
          </cell>
          <cell r="F100">
            <v>2346</v>
          </cell>
          <cell r="G100" t="str">
            <v>엔젤러스</v>
          </cell>
          <cell r="H100" t="str">
            <v>1-2.콜렉터에디션</v>
          </cell>
        </row>
        <row r="101">
          <cell r="A101">
            <v>72701326</v>
          </cell>
          <cell r="B101" t="str">
            <v>콜렉터에디션-#326-Royal5</v>
          </cell>
          <cell r="C101">
            <v>8800</v>
          </cell>
          <cell r="D101" t="str">
            <v>086366713266</v>
          </cell>
          <cell r="E101">
            <v>20.399999999999999</v>
          </cell>
          <cell r="F101">
            <v>2346</v>
          </cell>
          <cell r="G101" t="str">
            <v>엔젤러스</v>
          </cell>
          <cell r="H101" t="str">
            <v>1-2.콜렉터에디션</v>
          </cell>
        </row>
        <row r="102">
          <cell r="A102">
            <v>72701329</v>
          </cell>
          <cell r="B102" t="str">
            <v>콜렉터에디션-#329-Tru Blue</v>
          </cell>
          <cell r="C102">
            <v>8800</v>
          </cell>
          <cell r="D102" t="str">
            <v>086366713297</v>
          </cell>
          <cell r="E102">
            <v>20.399999999999999</v>
          </cell>
          <cell r="F102">
            <v>2346</v>
          </cell>
          <cell r="G102" t="str">
            <v>엔젤러스</v>
          </cell>
          <cell r="H102" t="str">
            <v>1-2.콜렉터에디션</v>
          </cell>
        </row>
        <row r="103">
          <cell r="A103">
            <v>72701330</v>
          </cell>
          <cell r="B103" t="str">
            <v>콜렉터에디션-#330-Collector Edition Varsity</v>
          </cell>
          <cell r="C103">
            <v>8800</v>
          </cell>
          <cell r="D103" t="str">
            <v>086366713303</v>
          </cell>
          <cell r="E103">
            <v>20.399999999999999</v>
          </cell>
          <cell r="F103">
            <v>2346</v>
          </cell>
          <cell r="G103" t="str">
            <v>엔젤러스</v>
          </cell>
          <cell r="H103" t="str">
            <v>1-2.콜렉터에디션</v>
          </cell>
        </row>
        <row r="104">
          <cell r="A104">
            <v>72701331</v>
          </cell>
          <cell r="B104" t="str">
            <v>콜렉터에디션-#331-Miami Vice</v>
          </cell>
          <cell r="C104">
            <v>8800</v>
          </cell>
          <cell r="D104" t="str">
            <v>086366713310</v>
          </cell>
          <cell r="E104">
            <v>20.399999999999999</v>
          </cell>
          <cell r="F104">
            <v>2346</v>
          </cell>
          <cell r="G104" t="str">
            <v>엔젤러스</v>
          </cell>
          <cell r="H104" t="str">
            <v>1-2.콜렉터에디션</v>
          </cell>
        </row>
        <row r="105">
          <cell r="A105">
            <v>72701332</v>
          </cell>
          <cell r="B105" t="str">
            <v>콜렉터에디션-#332-Melo2</v>
          </cell>
          <cell r="C105">
            <v>8800</v>
          </cell>
          <cell r="D105" t="str">
            <v>086366713327</v>
          </cell>
          <cell r="E105">
            <v>20.399999999999999</v>
          </cell>
          <cell r="F105">
            <v>2346</v>
          </cell>
          <cell r="G105" t="str">
            <v>엔젤러스</v>
          </cell>
          <cell r="H105" t="str">
            <v>1-2.콜렉터에디션</v>
          </cell>
        </row>
        <row r="106">
          <cell r="A106">
            <v>72701333</v>
          </cell>
          <cell r="B106" t="str">
            <v>콜렉터에디션-#333-DTRT Yellow</v>
          </cell>
          <cell r="C106">
            <v>8800</v>
          </cell>
          <cell r="D106" t="str">
            <v>086366713334</v>
          </cell>
          <cell r="E106">
            <v>20.399999999999999</v>
          </cell>
          <cell r="F106">
            <v>2346</v>
          </cell>
          <cell r="G106" t="str">
            <v>엔젤러스</v>
          </cell>
          <cell r="H106" t="str">
            <v>1-2.콜렉터에디션</v>
          </cell>
        </row>
        <row r="107">
          <cell r="A107">
            <v>72701334</v>
          </cell>
          <cell r="B107" t="str">
            <v>콜렉터에디션-#334-Play 8 Grey</v>
          </cell>
          <cell r="C107">
            <v>8800</v>
          </cell>
          <cell r="D107" t="str">
            <v>086366713341</v>
          </cell>
          <cell r="E107">
            <v>20.399999999999999</v>
          </cell>
          <cell r="F107">
            <v>2346</v>
          </cell>
          <cell r="G107" t="str">
            <v>엔젤러스</v>
          </cell>
          <cell r="H107" t="str">
            <v>1-2.콜렉터에디션</v>
          </cell>
        </row>
        <row r="108">
          <cell r="A108">
            <v>72701335</v>
          </cell>
          <cell r="B108" t="str">
            <v>콜렉터에디션-#335-Yeezy</v>
          </cell>
          <cell r="C108">
            <v>8800</v>
          </cell>
          <cell r="D108" t="str">
            <v>086366713358</v>
          </cell>
          <cell r="E108">
            <v>20.399999999999999</v>
          </cell>
          <cell r="F108">
            <v>2346</v>
          </cell>
          <cell r="G108" t="str">
            <v>엔젤러스</v>
          </cell>
          <cell r="H108" t="str">
            <v>1-2.콜렉터에디션</v>
          </cell>
        </row>
        <row r="109">
          <cell r="A109">
            <v>72701336</v>
          </cell>
          <cell r="B109" t="str">
            <v>콜렉터에디션-#336-Collector Edition  Maroon</v>
          </cell>
          <cell r="C109">
            <v>8800</v>
          </cell>
          <cell r="D109" t="str">
            <v>086366713365</v>
          </cell>
          <cell r="E109">
            <v>20.399999999999999</v>
          </cell>
          <cell r="F109">
            <v>2346</v>
          </cell>
          <cell r="G109" t="str">
            <v>엔젤러스</v>
          </cell>
          <cell r="H109" t="str">
            <v>1-2.콜렉터에디션</v>
          </cell>
        </row>
        <row r="110">
          <cell r="A110">
            <v>72701337</v>
          </cell>
          <cell r="B110" t="str">
            <v>콜렉터에디션-#337-Grape5</v>
          </cell>
          <cell r="C110">
            <v>8800</v>
          </cell>
          <cell r="D110" t="str">
            <v>086366713372</v>
          </cell>
          <cell r="E110">
            <v>20.399999999999999</v>
          </cell>
          <cell r="F110">
            <v>2346</v>
          </cell>
          <cell r="G110" t="str">
            <v>엔젤러스</v>
          </cell>
          <cell r="H110" t="str">
            <v>1-2.콜렉터에디션</v>
          </cell>
        </row>
        <row r="111">
          <cell r="A111">
            <v>72701338</v>
          </cell>
          <cell r="B111" t="str">
            <v>콜렉터에디션-#338-Squadron</v>
          </cell>
          <cell r="C111">
            <v>8800</v>
          </cell>
          <cell r="D111" t="str">
            <v>086366713389</v>
          </cell>
          <cell r="E111">
            <v>20.399999999999999</v>
          </cell>
          <cell r="F111">
            <v>2346</v>
          </cell>
          <cell r="G111" t="str">
            <v>엔젤러스</v>
          </cell>
          <cell r="H111" t="str">
            <v>1-2.콜렉터에디션</v>
          </cell>
        </row>
        <row r="112">
          <cell r="A112">
            <v>72701339</v>
          </cell>
          <cell r="B112" t="str">
            <v>콜렉터에디션-#339-French Blue</v>
          </cell>
          <cell r="C112">
            <v>8800</v>
          </cell>
          <cell r="D112" t="str">
            <v>086366713396</v>
          </cell>
          <cell r="E112">
            <v>20.399999999999999</v>
          </cell>
          <cell r="F112">
            <v>2346</v>
          </cell>
          <cell r="G112" t="str">
            <v>엔젤러스</v>
          </cell>
          <cell r="H112" t="str">
            <v>1-2.콜렉터에디션</v>
          </cell>
        </row>
        <row r="113">
          <cell r="A113">
            <v>72701341</v>
          </cell>
          <cell r="B113" t="str">
            <v>콜렉터에디션-#341-gamma Blue</v>
          </cell>
          <cell r="C113">
            <v>8800</v>
          </cell>
          <cell r="D113" t="str">
            <v>086366713419</v>
          </cell>
          <cell r="E113">
            <v>20.399999999999999</v>
          </cell>
          <cell r="F113">
            <v>2346</v>
          </cell>
          <cell r="G113" t="str">
            <v>엔젤러스</v>
          </cell>
          <cell r="H113" t="str">
            <v>1-2.콜렉터에디션</v>
          </cell>
        </row>
        <row r="114">
          <cell r="A114">
            <v>72701342</v>
          </cell>
          <cell r="B114" t="str">
            <v>콜렉터에디션-#342-Joker Green</v>
          </cell>
          <cell r="C114">
            <v>8800</v>
          </cell>
          <cell r="D114" t="str">
            <v>086366713426</v>
          </cell>
          <cell r="E114">
            <v>20.399999999999999</v>
          </cell>
          <cell r="F114">
            <v>2346</v>
          </cell>
          <cell r="G114" t="str">
            <v>엔젤러스</v>
          </cell>
          <cell r="H114" t="str">
            <v>1-2.콜렉터에디션</v>
          </cell>
        </row>
        <row r="115">
          <cell r="A115">
            <v>72701343</v>
          </cell>
          <cell r="B115" t="str">
            <v>콜렉터에디션-#343-Tour Yellow</v>
          </cell>
          <cell r="C115">
            <v>8800</v>
          </cell>
          <cell r="D115" t="str">
            <v>086366713433</v>
          </cell>
          <cell r="E115">
            <v>20.399999999999999</v>
          </cell>
          <cell r="F115">
            <v>2346</v>
          </cell>
          <cell r="G115" t="str">
            <v>엔젤러스</v>
          </cell>
          <cell r="H115" t="str">
            <v>1-2.콜렉터에디션</v>
          </cell>
        </row>
        <row r="116">
          <cell r="A116">
            <v>72701344</v>
          </cell>
          <cell r="B116" t="str">
            <v>콜렉터에디션-#344-Thunder Yellow</v>
          </cell>
          <cell r="C116">
            <v>8800</v>
          </cell>
          <cell r="D116" t="str">
            <v>086366713440</v>
          </cell>
          <cell r="E116">
            <v>20.399999999999999</v>
          </cell>
          <cell r="F116">
            <v>2346</v>
          </cell>
          <cell r="G116" t="str">
            <v>엔젤러스</v>
          </cell>
          <cell r="H116" t="str">
            <v>1-2.콜렉터에디션</v>
          </cell>
        </row>
        <row r="117">
          <cell r="A117">
            <v>72701345</v>
          </cell>
          <cell r="B117" t="str">
            <v>콜렉터에디션-#345-InfraRed 2014</v>
          </cell>
          <cell r="C117">
            <v>8800</v>
          </cell>
          <cell r="D117" t="str">
            <v>086366713457</v>
          </cell>
          <cell r="E117">
            <v>20.399999999999999</v>
          </cell>
          <cell r="F117">
            <v>2346</v>
          </cell>
          <cell r="G117" t="str">
            <v>엔젤러스</v>
          </cell>
          <cell r="H117" t="str">
            <v>1-2.콜렉터에디션</v>
          </cell>
        </row>
        <row r="118">
          <cell r="A118">
            <v>72701346</v>
          </cell>
          <cell r="B118" t="str">
            <v>콜렉터에디션-#346-Shattered Orange</v>
          </cell>
          <cell r="C118">
            <v>8800</v>
          </cell>
          <cell r="D118">
            <v>86366713464</v>
          </cell>
          <cell r="E118">
            <v>20.399999999999999</v>
          </cell>
          <cell r="F118">
            <v>2346</v>
          </cell>
          <cell r="G118" t="str">
            <v>엔젤러스</v>
          </cell>
          <cell r="H118" t="str">
            <v>1-2.콜렉터에디션</v>
          </cell>
        </row>
        <row r="119">
          <cell r="A119">
            <v>72701347</v>
          </cell>
          <cell r="B119" t="str">
            <v>콜렉터에디션-#347-Uni Blue</v>
          </cell>
          <cell r="C119">
            <v>8800</v>
          </cell>
          <cell r="D119">
            <v>86366713471</v>
          </cell>
          <cell r="E119">
            <v>20.399999999999999</v>
          </cell>
          <cell r="F119">
            <v>2346</v>
          </cell>
          <cell r="G119" t="str">
            <v>엔젤러스</v>
          </cell>
          <cell r="H119" t="str">
            <v>1-2.콜렉터에디션</v>
          </cell>
        </row>
        <row r="120">
          <cell r="A120">
            <v>72701348</v>
          </cell>
          <cell r="B120" t="str">
            <v>콜렉터에디션-#348-Shadow Grey</v>
          </cell>
          <cell r="C120">
            <v>8800</v>
          </cell>
          <cell r="D120">
            <v>86366713488</v>
          </cell>
          <cell r="E120">
            <v>20.399999999999999</v>
          </cell>
          <cell r="F120">
            <v>2346</v>
          </cell>
          <cell r="G120" t="str">
            <v>엔젤러스</v>
          </cell>
          <cell r="H120" t="str">
            <v>1-2.콜렉터에디션</v>
          </cell>
        </row>
        <row r="122">
          <cell r="A122">
            <v>72501120</v>
          </cell>
          <cell r="B122" t="str">
            <v>네온페인트-#120-Rio Red</v>
          </cell>
          <cell r="C122">
            <v>8800</v>
          </cell>
          <cell r="D122" t="str">
            <v>086366711200</v>
          </cell>
          <cell r="E122">
            <v>16.8</v>
          </cell>
          <cell r="F122">
            <v>1932.0000000000002</v>
          </cell>
          <cell r="G122" t="str">
            <v>엔젤러스</v>
          </cell>
          <cell r="H122" t="str">
            <v>1-3.네온페인트</v>
          </cell>
        </row>
        <row r="123">
          <cell r="A123">
            <v>72501121</v>
          </cell>
          <cell r="B123" t="str">
            <v>네온페인트-#121-TahitianPink</v>
          </cell>
          <cell r="C123">
            <v>8800</v>
          </cell>
          <cell r="D123" t="str">
            <v>086366711217</v>
          </cell>
          <cell r="E123">
            <v>16.8</v>
          </cell>
          <cell r="F123">
            <v>1932.0000000000002</v>
          </cell>
          <cell r="G123" t="str">
            <v>엔젤러스</v>
          </cell>
          <cell r="H123" t="str">
            <v>1-3.네온페인트</v>
          </cell>
        </row>
        <row r="124">
          <cell r="A124">
            <v>72501122</v>
          </cell>
          <cell r="B124" t="str">
            <v>네온페인트-#122-JamaicanJoyPink</v>
          </cell>
          <cell r="C124">
            <v>8800</v>
          </cell>
          <cell r="D124" t="str">
            <v>086366711224</v>
          </cell>
          <cell r="E124">
            <v>16.8</v>
          </cell>
          <cell r="F124">
            <v>1932.0000000000002</v>
          </cell>
          <cell r="G124" t="str">
            <v>엔젤러스</v>
          </cell>
          <cell r="H124" t="str">
            <v>1-3.네온페인트</v>
          </cell>
        </row>
        <row r="125">
          <cell r="A125">
            <v>72501123</v>
          </cell>
          <cell r="B125" t="str">
            <v>네온페인트-#123-ParisianPink</v>
          </cell>
          <cell r="C125">
            <v>8800</v>
          </cell>
          <cell r="D125" t="str">
            <v>086366711231</v>
          </cell>
          <cell r="E125">
            <v>16.8</v>
          </cell>
          <cell r="F125">
            <v>1932.0000000000002</v>
          </cell>
          <cell r="G125" t="str">
            <v>엔젤러스</v>
          </cell>
          <cell r="H125" t="str">
            <v>1-3.네온페인트</v>
          </cell>
        </row>
        <row r="126">
          <cell r="A126">
            <v>72501124</v>
          </cell>
          <cell r="B126" t="str">
            <v>네온페인트-#124-ParadisePurple</v>
          </cell>
          <cell r="C126">
            <v>8800</v>
          </cell>
          <cell r="D126" t="str">
            <v>086366711248</v>
          </cell>
          <cell r="E126">
            <v>16.8</v>
          </cell>
          <cell r="F126">
            <v>1932.0000000000002</v>
          </cell>
          <cell r="G126" t="str">
            <v>엔젤러스</v>
          </cell>
          <cell r="H126" t="str">
            <v>1-3.네온페인트</v>
          </cell>
        </row>
        <row r="127">
          <cell r="A127">
            <v>72501125</v>
          </cell>
          <cell r="B127" t="str">
            <v>네온페인트-#125-AmazonGreen</v>
          </cell>
          <cell r="C127">
            <v>8800</v>
          </cell>
          <cell r="D127" t="str">
            <v>086366711255</v>
          </cell>
          <cell r="E127">
            <v>16.8</v>
          </cell>
          <cell r="F127">
            <v>1932.0000000000002</v>
          </cell>
          <cell r="G127" t="str">
            <v>엔젤러스</v>
          </cell>
          <cell r="H127" t="str">
            <v>1-3.네온페인트</v>
          </cell>
        </row>
        <row r="128">
          <cell r="A128">
            <v>72501126</v>
          </cell>
          <cell r="B128" t="str">
            <v>네온페인트-#126-PlposicleGreen</v>
          </cell>
          <cell r="C128">
            <v>8800</v>
          </cell>
          <cell r="D128" t="str">
            <v>086366711262</v>
          </cell>
          <cell r="E128">
            <v>16.8</v>
          </cell>
          <cell r="F128">
            <v>1932.0000000000002</v>
          </cell>
          <cell r="G128" t="str">
            <v>엔젤러스</v>
          </cell>
          <cell r="H128" t="str">
            <v>1-3.네온페인트</v>
          </cell>
        </row>
        <row r="129">
          <cell r="A129">
            <v>72501127</v>
          </cell>
          <cell r="B129" t="str">
            <v>네온페인트-#127-TropicSunYellow</v>
          </cell>
          <cell r="C129">
            <v>8800</v>
          </cell>
          <cell r="D129" t="str">
            <v>086366711279</v>
          </cell>
          <cell r="E129">
            <v>16.8</v>
          </cell>
          <cell r="F129">
            <v>1932.0000000000002</v>
          </cell>
          <cell r="G129" t="str">
            <v>엔젤러스</v>
          </cell>
          <cell r="H129" t="str">
            <v>1-3.네온페인트</v>
          </cell>
        </row>
        <row r="130">
          <cell r="A130">
            <v>72501128</v>
          </cell>
          <cell r="B130" t="str">
            <v>네온페인트-#128-SunsetYellow</v>
          </cell>
          <cell r="C130">
            <v>8800</v>
          </cell>
          <cell r="D130" t="str">
            <v>086366711286</v>
          </cell>
          <cell r="E130">
            <v>16.8</v>
          </cell>
          <cell r="F130">
            <v>1932.0000000000002</v>
          </cell>
          <cell r="G130" t="str">
            <v>엔젤러스</v>
          </cell>
          <cell r="H130" t="str">
            <v>1-3.네온페인트</v>
          </cell>
        </row>
        <row r="131">
          <cell r="A131">
            <v>72501129</v>
          </cell>
          <cell r="B131" t="str">
            <v>네온페인트-#129-FlamingOrange</v>
          </cell>
          <cell r="C131">
            <v>8800</v>
          </cell>
          <cell r="D131" t="str">
            <v>086366711293</v>
          </cell>
          <cell r="E131">
            <v>16.8</v>
          </cell>
          <cell r="F131">
            <v>1932.0000000000002</v>
          </cell>
          <cell r="G131" t="str">
            <v>엔젤러스</v>
          </cell>
          <cell r="H131" t="str">
            <v>1-3.네온페인트</v>
          </cell>
        </row>
        <row r="132">
          <cell r="A132">
            <v>72501130</v>
          </cell>
          <cell r="B132" t="str">
            <v>네온페인트-#130-LavaOrange</v>
          </cell>
          <cell r="C132">
            <v>8800</v>
          </cell>
          <cell r="D132" t="str">
            <v>086366711309</v>
          </cell>
          <cell r="E132">
            <v>16.8</v>
          </cell>
          <cell r="F132">
            <v>1932.0000000000002</v>
          </cell>
          <cell r="G132" t="str">
            <v>엔젤러스</v>
          </cell>
          <cell r="H132" t="str">
            <v>1-3.네온페인트</v>
          </cell>
        </row>
        <row r="133">
          <cell r="A133">
            <v>72501131</v>
          </cell>
          <cell r="B133" t="str">
            <v>네온페인트-#131-BahamaBlue</v>
          </cell>
          <cell r="C133">
            <v>8800</v>
          </cell>
          <cell r="D133" t="str">
            <v>086366711316</v>
          </cell>
          <cell r="E133">
            <v>16.8</v>
          </cell>
          <cell r="F133">
            <v>1932.0000000000002</v>
          </cell>
          <cell r="G133" t="str">
            <v>엔젤러스</v>
          </cell>
          <cell r="H133" t="str">
            <v>1-3.네온페인트</v>
          </cell>
        </row>
        <row r="135">
          <cell r="A135">
            <v>73301451</v>
          </cell>
          <cell r="B135" t="str">
            <v>펄레슨트-#451-Riot Red</v>
          </cell>
          <cell r="C135">
            <v>7800</v>
          </cell>
          <cell r="D135" t="str">
            <v>086366714515</v>
          </cell>
          <cell r="E135">
            <v>18.600000000000001</v>
          </cell>
          <cell r="F135">
            <v>2139</v>
          </cell>
          <cell r="G135" t="str">
            <v>엔젤러스</v>
          </cell>
          <cell r="H135" t="str">
            <v>1-4.펄레슨트페인트</v>
          </cell>
        </row>
        <row r="136">
          <cell r="A136">
            <v>73301452</v>
          </cell>
          <cell r="B136" t="str">
            <v>펄레슨트-#452-Pacific Blue</v>
          </cell>
          <cell r="C136">
            <v>7800</v>
          </cell>
          <cell r="D136" t="str">
            <v>086366714522</v>
          </cell>
          <cell r="E136">
            <v>18.600000000000001</v>
          </cell>
          <cell r="F136">
            <v>2139</v>
          </cell>
          <cell r="G136" t="str">
            <v>엔젤러스</v>
          </cell>
          <cell r="H136" t="str">
            <v>1-4.펄레슨트페인트</v>
          </cell>
        </row>
        <row r="137">
          <cell r="A137">
            <v>73301453</v>
          </cell>
          <cell r="B137" t="str">
            <v>펄레슨트-#453-Prince Purple</v>
          </cell>
          <cell r="C137">
            <v>7800</v>
          </cell>
          <cell r="D137" t="str">
            <v>086366714539</v>
          </cell>
          <cell r="E137">
            <v>18.600000000000001</v>
          </cell>
          <cell r="F137">
            <v>2139</v>
          </cell>
          <cell r="G137" t="str">
            <v>엔젤러스</v>
          </cell>
          <cell r="H137" t="str">
            <v>1-4.펄레슨트페인트</v>
          </cell>
        </row>
        <row r="138">
          <cell r="A138">
            <v>73301454</v>
          </cell>
          <cell r="B138" t="str">
            <v>펄레슨트-#454-Sterling Silver</v>
          </cell>
          <cell r="C138">
            <v>7800</v>
          </cell>
          <cell r="D138" t="str">
            <v>086366714546</v>
          </cell>
          <cell r="E138">
            <v>18.600000000000001</v>
          </cell>
          <cell r="F138">
            <v>2139</v>
          </cell>
          <cell r="G138" t="str">
            <v>엔젤러스</v>
          </cell>
          <cell r="H138" t="str">
            <v>1-4.펄레슨트페인트</v>
          </cell>
        </row>
        <row r="139">
          <cell r="A139">
            <v>73301455</v>
          </cell>
          <cell r="B139" t="str">
            <v>펄레슨트-#455-18K Gold</v>
          </cell>
          <cell r="C139">
            <v>7800</v>
          </cell>
          <cell r="D139" t="str">
            <v>086366714553</v>
          </cell>
          <cell r="E139">
            <v>18.600000000000001</v>
          </cell>
          <cell r="F139">
            <v>2139</v>
          </cell>
          <cell r="G139" t="str">
            <v>엔젤러스</v>
          </cell>
          <cell r="H139" t="str">
            <v>1-4.펄레슨트페인트</v>
          </cell>
        </row>
        <row r="140">
          <cell r="A140">
            <v>73301456</v>
          </cell>
          <cell r="B140" t="str">
            <v>펄레슨트-#456-Rose Gold</v>
          </cell>
          <cell r="C140">
            <v>7800</v>
          </cell>
          <cell r="D140" t="str">
            <v>086366714560</v>
          </cell>
          <cell r="E140">
            <v>18.600000000000001</v>
          </cell>
          <cell r="F140">
            <v>2139</v>
          </cell>
          <cell r="G140" t="str">
            <v>엔젤러스</v>
          </cell>
          <cell r="H140" t="str">
            <v>1-4.펄레슨트페인트</v>
          </cell>
        </row>
        <row r="141">
          <cell r="A141">
            <v>73301457</v>
          </cell>
          <cell r="B141" t="str">
            <v>펄레슨트-#457-Emerald Green</v>
          </cell>
          <cell r="C141">
            <v>7800</v>
          </cell>
          <cell r="D141" t="str">
            <v>086366714577</v>
          </cell>
          <cell r="E141">
            <v>18.600000000000001</v>
          </cell>
          <cell r="F141">
            <v>2139</v>
          </cell>
          <cell r="G141" t="str">
            <v>엔젤러스</v>
          </cell>
          <cell r="H141" t="str">
            <v>1-4.펄레슨트페인트</v>
          </cell>
        </row>
        <row r="143">
          <cell r="A143">
            <v>73001205</v>
          </cell>
          <cell r="B143" t="str">
            <v>글리터라이트-#205-White Sugar</v>
          </cell>
          <cell r="C143">
            <v>10000</v>
          </cell>
          <cell r="D143" t="str">
            <v>086366732052</v>
          </cell>
          <cell r="E143">
            <v>24</v>
          </cell>
          <cell r="F143">
            <v>2760</v>
          </cell>
          <cell r="G143" t="str">
            <v>엔젤러스</v>
          </cell>
          <cell r="H143" t="str">
            <v>1-5.글리터라이트</v>
          </cell>
        </row>
        <row r="144">
          <cell r="A144">
            <v>73001220</v>
          </cell>
          <cell r="B144" t="str">
            <v>글리터라이트-#220-Sky DesertGold</v>
          </cell>
          <cell r="C144">
            <v>10000</v>
          </cell>
          <cell r="D144" t="str">
            <v>086366732205</v>
          </cell>
          <cell r="E144">
            <v>24</v>
          </cell>
          <cell r="F144">
            <v>2760</v>
          </cell>
          <cell r="G144" t="str">
            <v>엔젤러스</v>
          </cell>
          <cell r="H144" t="str">
            <v>1-5.글리터라이트</v>
          </cell>
        </row>
        <row r="145">
          <cell r="A145">
            <v>73001221</v>
          </cell>
          <cell r="B145" t="str">
            <v>글리터라이트-#221-Penny Copper</v>
          </cell>
          <cell r="C145">
            <v>10000</v>
          </cell>
          <cell r="D145" t="str">
            <v>086366732212</v>
          </cell>
          <cell r="E145">
            <v>24</v>
          </cell>
          <cell r="F145">
            <v>2760</v>
          </cell>
          <cell r="G145" t="str">
            <v>엔젤러스</v>
          </cell>
          <cell r="H145" t="str">
            <v>1-5.글리터라이트</v>
          </cell>
        </row>
        <row r="146">
          <cell r="A146">
            <v>73001222</v>
          </cell>
          <cell r="B146" t="str">
            <v>글리터라이트-#222-Silver Spark</v>
          </cell>
          <cell r="C146">
            <v>10000</v>
          </cell>
          <cell r="D146" t="str">
            <v>086366732229</v>
          </cell>
          <cell r="E146">
            <v>24</v>
          </cell>
          <cell r="F146">
            <v>2760</v>
          </cell>
          <cell r="G146" t="str">
            <v>엔젤러스</v>
          </cell>
          <cell r="H146" t="str">
            <v>1-5.글리터라이트</v>
          </cell>
        </row>
        <row r="147">
          <cell r="A147">
            <v>73001223</v>
          </cell>
          <cell r="B147" t="str">
            <v>글리터라이트-#223-GunMetal</v>
          </cell>
          <cell r="C147">
            <v>10000</v>
          </cell>
          <cell r="D147" t="str">
            <v>086366732236</v>
          </cell>
          <cell r="E147">
            <v>24</v>
          </cell>
          <cell r="F147">
            <v>2760</v>
          </cell>
          <cell r="G147" t="str">
            <v>엔젤러스</v>
          </cell>
          <cell r="H147" t="str">
            <v>1-5.글리터라이트</v>
          </cell>
        </row>
        <row r="148">
          <cell r="A148">
            <v>73001224</v>
          </cell>
          <cell r="B148" t="str">
            <v>글리터라이트-#224-Emerald</v>
          </cell>
          <cell r="C148">
            <v>10000</v>
          </cell>
          <cell r="D148" t="str">
            <v>086366732243</v>
          </cell>
          <cell r="E148">
            <v>24</v>
          </cell>
          <cell r="F148">
            <v>2760</v>
          </cell>
          <cell r="G148" t="str">
            <v>엔젤러스</v>
          </cell>
          <cell r="H148" t="str">
            <v>1-5.글리터라이트</v>
          </cell>
        </row>
        <row r="149">
          <cell r="A149">
            <v>73001225</v>
          </cell>
          <cell r="B149" t="str">
            <v>글리터라이트-#225-Limelite</v>
          </cell>
          <cell r="C149">
            <v>10000</v>
          </cell>
          <cell r="D149" t="str">
            <v>086366732250</v>
          </cell>
          <cell r="E149">
            <v>24</v>
          </cell>
          <cell r="F149">
            <v>2760</v>
          </cell>
          <cell r="G149" t="str">
            <v>엔젤러스</v>
          </cell>
          <cell r="H149" t="str">
            <v>1-5.글리터라이트</v>
          </cell>
        </row>
        <row r="150">
          <cell r="A150">
            <v>73001226</v>
          </cell>
          <cell r="B150" t="str">
            <v>글리터라이트-#226-Sky Blue</v>
          </cell>
          <cell r="C150">
            <v>10000</v>
          </cell>
          <cell r="D150" t="str">
            <v>086366731260</v>
          </cell>
          <cell r="E150">
            <v>24</v>
          </cell>
          <cell r="F150">
            <v>2760</v>
          </cell>
          <cell r="G150" t="str">
            <v>엔젤러스</v>
          </cell>
          <cell r="H150" t="str">
            <v>1-5.글리터라이트</v>
          </cell>
        </row>
        <row r="151">
          <cell r="A151">
            <v>73001227</v>
          </cell>
          <cell r="B151" t="str">
            <v>글리터라이트-#227-Starlite Blue</v>
          </cell>
          <cell r="C151">
            <v>10000</v>
          </cell>
          <cell r="D151" t="str">
            <v>086366732274</v>
          </cell>
          <cell r="E151">
            <v>24</v>
          </cell>
          <cell r="F151">
            <v>2760</v>
          </cell>
          <cell r="G151" t="str">
            <v>엔젤러스</v>
          </cell>
          <cell r="H151" t="str">
            <v>1-5.글리터라이트</v>
          </cell>
        </row>
        <row r="152">
          <cell r="A152">
            <v>73001228</v>
          </cell>
          <cell r="B152" t="str">
            <v>글리터라이트-#228-Lavender Lace</v>
          </cell>
          <cell r="C152">
            <v>10000</v>
          </cell>
          <cell r="D152" t="str">
            <v>086366732281</v>
          </cell>
          <cell r="E152">
            <v>24</v>
          </cell>
          <cell r="F152">
            <v>2760</v>
          </cell>
          <cell r="G152" t="str">
            <v>엔젤러스</v>
          </cell>
          <cell r="H152" t="str">
            <v>1-5.글리터라이트</v>
          </cell>
        </row>
        <row r="153">
          <cell r="A153">
            <v>73001229</v>
          </cell>
          <cell r="B153" t="str">
            <v>글리터라이트-#229-Princess Purple</v>
          </cell>
          <cell r="C153">
            <v>10000</v>
          </cell>
          <cell r="D153" t="str">
            <v>086366732298</v>
          </cell>
          <cell r="E153">
            <v>24</v>
          </cell>
          <cell r="F153">
            <v>2760</v>
          </cell>
          <cell r="G153" t="str">
            <v>엔젤러스</v>
          </cell>
          <cell r="H153" t="str">
            <v>1-5.글리터라이트</v>
          </cell>
        </row>
        <row r="154">
          <cell r="A154">
            <v>73001230</v>
          </cell>
          <cell r="B154" t="str">
            <v>글리터라이트-#230- Cany Pink</v>
          </cell>
          <cell r="C154">
            <v>10000</v>
          </cell>
          <cell r="D154" t="str">
            <v>086366732304</v>
          </cell>
          <cell r="E154">
            <v>24</v>
          </cell>
          <cell r="F154">
            <v>2760</v>
          </cell>
          <cell r="G154" t="str">
            <v>엔젤러스</v>
          </cell>
          <cell r="H154" t="str">
            <v>1-5.글리터라이트</v>
          </cell>
        </row>
        <row r="155">
          <cell r="A155">
            <v>73001231</v>
          </cell>
          <cell r="B155" t="str">
            <v>글리터라이트-#231-Ruby Red</v>
          </cell>
          <cell r="C155">
            <v>10000</v>
          </cell>
          <cell r="D155" t="str">
            <v>086366732311</v>
          </cell>
          <cell r="E155">
            <v>24</v>
          </cell>
          <cell r="F155">
            <v>2760</v>
          </cell>
          <cell r="G155" t="str">
            <v>엔젤러스</v>
          </cell>
          <cell r="H155" t="str">
            <v>1-5.글리터라이트</v>
          </cell>
        </row>
        <row r="156">
          <cell r="A156">
            <v>73001233</v>
          </cell>
          <cell r="B156" t="str">
            <v>글리터라이트-#233-Razzberry</v>
          </cell>
          <cell r="C156">
            <v>10000</v>
          </cell>
          <cell r="D156" t="str">
            <v>086366732335</v>
          </cell>
          <cell r="E156">
            <v>24</v>
          </cell>
          <cell r="F156">
            <v>2760</v>
          </cell>
          <cell r="G156" t="str">
            <v>엔젤러스</v>
          </cell>
          <cell r="H156" t="str">
            <v>1-5.글리터라이트</v>
          </cell>
        </row>
        <row r="157">
          <cell r="A157">
            <v>73001235</v>
          </cell>
          <cell r="B157" t="str">
            <v>글리터라이트-#235-Tuxedo Black</v>
          </cell>
          <cell r="C157">
            <v>10000</v>
          </cell>
          <cell r="D157" t="str">
            <v>086366732359</v>
          </cell>
          <cell r="E157">
            <v>24</v>
          </cell>
          <cell r="F157">
            <v>2760</v>
          </cell>
          <cell r="G157" t="str">
            <v>엔젤러스</v>
          </cell>
          <cell r="H157" t="str">
            <v>1-5.글리터라이트</v>
          </cell>
        </row>
        <row r="158">
          <cell r="A158">
            <v>73001236</v>
          </cell>
          <cell r="B158" t="str">
            <v>글리터라이트-#236-Orange Orange</v>
          </cell>
          <cell r="C158">
            <v>10000</v>
          </cell>
          <cell r="D158" t="str">
            <v>086366732366</v>
          </cell>
          <cell r="E158">
            <v>24</v>
          </cell>
          <cell r="F158">
            <v>2760</v>
          </cell>
          <cell r="G158" t="str">
            <v>엔젤러스</v>
          </cell>
          <cell r="H158" t="str">
            <v>1-5.글리터라이트</v>
          </cell>
        </row>
        <row r="159">
          <cell r="A159">
            <v>73001237</v>
          </cell>
          <cell r="B159" t="str">
            <v>글리터라이트-#237-Ice Ice Blue</v>
          </cell>
          <cell r="C159">
            <v>10000</v>
          </cell>
          <cell r="D159" t="str">
            <v>086366732373</v>
          </cell>
          <cell r="E159">
            <v>24</v>
          </cell>
          <cell r="F159">
            <v>2760</v>
          </cell>
          <cell r="G159" t="str">
            <v>엔젤러스</v>
          </cell>
          <cell r="H159" t="str">
            <v>1-5.글리터라이트</v>
          </cell>
        </row>
        <row r="160">
          <cell r="A160">
            <v>73001238</v>
          </cell>
          <cell r="B160" t="str">
            <v>글리터라이트-#238-Baby Blue</v>
          </cell>
          <cell r="C160">
            <v>10000</v>
          </cell>
          <cell r="D160" t="str">
            <v>086366732380</v>
          </cell>
          <cell r="E160">
            <v>24</v>
          </cell>
          <cell r="F160">
            <v>2760</v>
          </cell>
          <cell r="G160" t="str">
            <v>엔젤러스</v>
          </cell>
          <cell r="H160" t="str">
            <v>1-5.글리터라이트</v>
          </cell>
        </row>
        <row r="162">
          <cell r="A162">
            <v>50703001</v>
          </cell>
          <cell r="B162" t="str">
            <v>레더다이-#507 Special Black</v>
          </cell>
          <cell r="C162">
            <v>10000</v>
          </cell>
          <cell r="E162">
            <v>21</v>
          </cell>
          <cell r="F162">
            <v>2415</v>
          </cell>
          <cell r="G162" t="str">
            <v>엔젤러스</v>
          </cell>
          <cell r="H162" t="str">
            <v>2-1.레더다이</v>
          </cell>
        </row>
        <row r="163">
          <cell r="A163">
            <v>50003507</v>
          </cell>
          <cell r="B163" t="str">
            <v>레더다이-#507 Special Black</v>
          </cell>
          <cell r="C163">
            <v>10000</v>
          </cell>
          <cell r="D163">
            <v>86366507018</v>
          </cell>
          <cell r="E163">
            <v>21</v>
          </cell>
          <cell r="F163">
            <v>2415</v>
          </cell>
          <cell r="G163" t="str">
            <v>엔젤러스</v>
          </cell>
          <cell r="H163" t="str">
            <v>2-1.레더다이</v>
          </cell>
        </row>
        <row r="164">
          <cell r="A164">
            <v>50003002</v>
          </cell>
          <cell r="B164" t="str">
            <v>레더다이-#002-Jet Black</v>
          </cell>
          <cell r="C164">
            <v>10000</v>
          </cell>
          <cell r="D164">
            <v>86366500026</v>
          </cell>
          <cell r="E164">
            <v>21</v>
          </cell>
          <cell r="F164">
            <v>2415</v>
          </cell>
          <cell r="G164" t="str">
            <v>엔젤러스</v>
          </cell>
          <cell r="H164" t="str">
            <v>2-1.레더다이</v>
          </cell>
        </row>
        <row r="165">
          <cell r="A165">
            <v>50003003</v>
          </cell>
          <cell r="B165" t="str">
            <v>레더다이-#003-Neutral</v>
          </cell>
          <cell r="C165">
            <v>10000</v>
          </cell>
          <cell r="D165">
            <v>86366500040</v>
          </cell>
          <cell r="E165">
            <v>21</v>
          </cell>
          <cell r="F165">
            <v>2415</v>
          </cell>
          <cell r="G165" t="str">
            <v>엔젤러스</v>
          </cell>
          <cell r="H165" t="str">
            <v>2-1.레더다이</v>
          </cell>
        </row>
        <row r="166">
          <cell r="A166">
            <v>50003010</v>
          </cell>
          <cell r="B166" t="str">
            <v>레더다이-#010-ArmyTan</v>
          </cell>
          <cell r="C166">
            <v>10000</v>
          </cell>
          <cell r="E166">
            <v>21</v>
          </cell>
          <cell r="F166">
            <v>2415</v>
          </cell>
          <cell r="G166" t="str">
            <v>엔젤러스</v>
          </cell>
          <cell r="H166" t="str">
            <v>2-1.레더다이</v>
          </cell>
        </row>
        <row r="167">
          <cell r="A167">
            <v>50003011</v>
          </cell>
          <cell r="B167" t="str">
            <v>레더다이-#011-Mahogany</v>
          </cell>
          <cell r="C167">
            <v>10000</v>
          </cell>
          <cell r="E167">
            <v>21</v>
          </cell>
          <cell r="F167">
            <v>2415</v>
          </cell>
          <cell r="G167" t="str">
            <v>엔젤러스</v>
          </cell>
          <cell r="H167" t="str">
            <v>2-1.레더다이</v>
          </cell>
        </row>
        <row r="168">
          <cell r="A168">
            <v>50003014</v>
          </cell>
          <cell r="B168" t="str">
            <v>레더다이-#014-Brown</v>
          </cell>
          <cell r="C168">
            <v>10000</v>
          </cell>
          <cell r="D168">
            <v>86366500149</v>
          </cell>
          <cell r="E168">
            <v>21</v>
          </cell>
          <cell r="F168">
            <v>2415</v>
          </cell>
          <cell r="G168" t="str">
            <v>엔젤러스</v>
          </cell>
          <cell r="H168" t="str">
            <v>2-1.레더다이</v>
          </cell>
        </row>
        <row r="169">
          <cell r="A169">
            <v>50003015</v>
          </cell>
          <cell r="B169" t="str">
            <v>레더다이-#015-Chocolate</v>
          </cell>
          <cell r="C169">
            <v>10000</v>
          </cell>
          <cell r="E169">
            <v>21</v>
          </cell>
          <cell r="F169">
            <v>2415</v>
          </cell>
          <cell r="G169" t="str">
            <v>엔젤러스</v>
          </cell>
          <cell r="H169" t="str">
            <v>2-1.레더다이</v>
          </cell>
        </row>
        <row r="170">
          <cell r="A170">
            <v>50003017</v>
          </cell>
          <cell r="B170" t="str">
            <v>레더다이-#017-Cordovan</v>
          </cell>
          <cell r="C170">
            <v>10000</v>
          </cell>
          <cell r="E170">
            <v>21</v>
          </cell>
          <cell r="F170">
            <v>2415</v>
          </cell>
          <cell r="G170" t="str">
            <v>엔젤러스</v>
          </cell>
          <cell r="H170" t="str">
            <v>2-1.레더다이</v>
          </cell>
        </row>
        <row r="171">
          <cell r="A171">
            <v>50003018</v>
          </cell>
          <cell r="B171" t="str">
            <v>레더다이-#018-DarkBrown</v>
          </cell>
          <cell r="C171">
            <v>10000</v>
          </cell>
          <cell r="E171">
            <v>21</v>
          </cell>
          <cell r="F171">
            <v>2415</v>
          </cell>
          <cell r="G171" t="str">
            <v>엔젤러스</v>
          </cell>
          <cell r="H171" t="str">
            <v>2-1.레더다이</v>
          </cell>
        </row>
        <row r="172">
          <cell r="A172">
            <v>50003019</v>
          </cell>
          <cell r="B172" t="str">
            <v>레더다이-#019-EnglishTan</v>
          </cell>
          <cell r="C172">
            <v>10000</v>
          </cell>
          <cell r="E172">
            <v>21</v>
          </cell>
          <cell r="F172">
            <v>2415</v>
          </cell>
          <cell r="G172" t="str">
            <v>엔젤러스</v>
          </cell>
          <cell r="H172" t="str">
            <v>2-1.레더다이</v>
          </cell>
        </row>
        <row r="173">
          <cell r="A173">
            <v>50003021</v>
          </cell>
          <cell r="B173" t="str">
            <v>레더다이-#021-LightBrown</v>
          </cell>
          <cell r="C173">
            <v>10000</v>
          </cell>
          <cell r="E173">
            <v>21</v>
          </cell>
          <cell r="F173">
            <v>2415</v>
          </cell>
          <cell r="G173" t="str">
            <v>엔젤러스</v>
          </cell>
          <cell r="H173" t="str">
            <v>2-1.레더다이</v>
          </cell>
        </row>
        <row r="174">
          <cell r="A174">
            <v>50003022</v>
          </cell>
          <cell r="B174" t="str">
            <v>레더다이-#022-LightBrown A</v>
          </cell>
          <cell r="C174">
            <v>10000</v>
          </cell>
          <cell r="E174">
            <v>21</v>
          </cell>
          <cell r="F174">
            <v>2415</v>
          </cell>
          <cell r="G174" t="str">
            <v>엔젤러스</v>
          </cell>
          <cell r="H174" t="str">
            <v>2-1.레더다이</v>
          </cell>
        </row>
        <row r="175">
          <cell r="A175">
            <v>50003023</v>
          </cell>
          <cell r="B175" t="str">
            <v>레더다이-#023-Med.Brown</v>
          </cell>
          <cell r="C175">
            <v>10000</v>
          </cell>
          <cell r="E175">
            <v>21</v>
          </cell>
          <cell r="F175">
            <v>2415</v>
          </cell>
          <cell r="G175" t="str">
            <v>엔젤러스</v>
          </cell>
          <cell r="H175" t="str">
            <v>2-1.레더다이</v>
          </cell>
        </row>
        <row r="176">
          <cell r="A176">
            <v>50003024</v>
          </cell>
          <cell r="B176" t="str">
            <v>레더다이-#024-Orange</v>
          </cell>
          <cell r="C176">
            <v>10000</v>
          </cell>
          <cell r="E176">
            <v>21</v>
          </cell>
          <cell r="F176">
            <v>2415</v>
          </cell>
          <cell r="G176" t="str">
            <v>엔젤러스</v>
          </cell>
          <cell r="H176" t="str">
            <v>2-1.레더다이</v>
          </cell>
        </row>
        <row r="177">
          <cell r="A177">
            <v>50003028</v>
          </cell>
          <cell r="B177" t="str">
            <v>레더다이-#028-SunTan</v>
          </cell>
          <cell r="C177">
            <v>10000</v>
          </cell>
          <cell r="E177">
            <v>21</v>
          </cell>
          <cell r="F177">
            <v>2415</v>
          </cell>
          <cell r="G177" t="str">
            <v>엔젤러스</v>
          </cell>
          <cell r="H177" t="str">
            <v>2-1.레더다이</v>
          </cell>
        </row>
        <row r="178">
          <cell r="A178">
            <v>50003029</v>
          </cell>
          <cell r="B178" t="str">
            <v>레더다이-#029-Tan</v>
          </cell>
          <cell r="C178">
            <v>10000</v>
          </cell>
          <cell r="E178">
            <v>21</v>
          </cell>
          <cell r="F178">
            <v>2415</v>
          </cell>
          <cell r="G178" t="str">
            <v>엔젤러스</v>
          </cell>
          <cell r="H178" t="str">
            <v>2-1.레더다이</v>
          </cell>
        </row>
        <row r="179">
          <cell r="A179">
            <v>50003040</v>
          </cell>
          <cell r="B179" t="str">
            <v>레더다이-#040-Blue</v>
          </cell>
          <cell r="C179">
            <v>10000</v>
          </cell>
          <cell r="D179">
            <v>86366500408</v>
          </cell>
          <cell r="E179">
            <v>21</v>
          </cell>
          <cell r="F179">
            <v>2415</v>
          </cell>
          <cell r="G179" t="str">
            <v>엔젤러스</v>
          </cell>
          <cell r="H179" t="str">
            <v>2-1.레더다이</v>
          </cell>
        </row>
        <row r="180">
          <cell r="A180">
            <v>50003041</v>
          </cell>
          <cell r="B180" t="str">
            <v>레더다이-#041-LightBlue</v>
          </cell>
          <cell r="C180">
            <v>10000</v>
          </cell>
          <cell r="E180">
            <v>21</v>
          </cell>
          <cell r="F180">
            <v>2415</v>
          </cell>
          <cell r="G180" t="str">
            <v>엔젤러스</v>
          </cell>
          <cell r="H180" t="str">
            <v>2-1.레더다이</v>
          </cell>
        </row>
        <row r="181">
          <cell r="A181">
            <v>50003042</v>
          </cell>
          <cell r="B181" t="str">
            <v>레더다이-#042-NavyBlue</v>
          </cell>
          <cell r="C181">
            <v>10000</v>
          </cell>
          <cell r="D181">
            <v>86366500422</v>
          </cell>
          <cell r="E181">
            <v>21</v>
          </cell>
          <cell r="F181">
            <v>2415</v>
          </cell>
          <cell r="G181" t="str">
            <v>엔젤러스</v>
          </cell>
          <cell r="H181" t="str">
            <v>2-1.레더다이</v>
          </cell>
        </row>
        <row r="182">
          <cell r="A182">
            <v>50003043</v>
          </cell>
          <cell r="B182" t="str">
            <v>레더다이-#043-Turquoise</v>
          </cell>
          <cell r="C182">
            <v>10000</v>
          </cell>
          <cell r="E182">
            <v>21</v>
          </cell>
          <cell r="F182">
            <v>2415</v>
          </cell>
          <cell r="G182" t="str">
            <v>엔젤러스</v>
          </cell>
          <cell r="H182" t="str">
            <v>2-1.레더다이</v>
          </cell>
        </row>
        <row r="183">
          <cell r="A183">
            <v>50003044</v>
          </cell>
          <cell r="B183" t="str">
            <v>레더다이-#044-BlueJean</v>
          </cell>
          <cell r="C183">
            <v>10000</v>
          </cell>
          <cell r="E183">
            <v>21</v>
          </cell>
          <cell r="F183">
            <v>2415</v>
          </cell>
          <cell r="G183" t="str">
            <v>엔젤러스</v>
          </cell>
          <cell r="H183" t="str">
            <v>2-1.레더다이</v>
          </cell>
        </row>
        <row r="184">
          <cell r="A184">
            <v>50003047</v>
          </cell>
          <cell r="B184" t="str">
            <v>레더다이-#047-Puple</v>
          </cell>
          <cell r="C184">
            <v>10000</v>
          </cell>
          <cell r="E184">
            <v>21</v>
          </cell>
          <cell r="F184">
            <v>2415</v>
          </cell>
          <cell r="G184" t="str">
            <v>엔젤러스</v>
          </cell>
          <cell r="H184" t="str">
            <v>2-1.레더다이</v>
          </cell>
        </row>
        <row r="185">
          <cell r="A185">
            <v>50003050</v>
          </cell>
          <cell r="B185" t="str">
            <v>레더다이-#050-Green</v>
          </cell>
          <cell r="C185">
            <v>10000</v>
          </cell>
          <cell r="E185">
            <v>21</v>
          </cell>
          <cell r="F185">
            <v>2415</v>
          </cell>
          <cell r="G185" t="str">
            <v>엔젤러스</v>
          </cell>
          <cell r="H185" t="str">
            <v>2-1.레더다이</v>
          </cell>
        </row>
        <row r="186">
          <cell r="A186">
            <v>50003051</v>
          </cell>
          <cell r="B186" t="str">
            <v>레더다이-#051-KellyGreen</v>
          </cell>
          <cell r="C186">
            <v>10000</v>
          </cell>
          <cell r="E186">
            <v>21</v>
          </cell>
          <cell r="F186">
            <v>2415</v>
          </cell>
          <cell r="G186" t="str">
            <v>엔젤러스</v>
          </cell>
          <cell r="H186" t="str">
            <v>2-1.레더다이</v>
          </cell>
        </row>
        <row r="187">
          <cell r="A187">
            <v>50003060</v>
          </cell>
          <cell r="B187" t="str">
            <v>레더다이-#060-Burgundy</v>
          </cell>
          <cell r="C187">
            <v>10000</v>
          </cell>
          <cell r="E187">
            <v>21</v>
          </cell>
          <cell r="F187">
            <v>2415</v>
          </cell>
          <cell r="G187" t="str">
            <v>엔젤러스</v>
          </cell>
          <cell r="H187" t="str">
            <v>2-1.레더다이</v>
          </cell>
        </row>
        <row r="188">
          <cell r="A188">
            <v>50003062</v>
          </cell>
          <cell r="B188" t="str">
            <v>레더다이-#062-OxBlood</v>
          </cell>
          <cell r="C188">
            <v>10000</v>
          </cell>
          <cell r="E188">
            <v>21</v>
          </cell>
          <cell r="F188">
            <v>2415</v>
          </cell>
          <cell r="G188" t="str">
            <v>엔젤러스</v>
          </cell>
          <cell r="H188" t="str">
            <v>2-1.레더다이</v>
          </cell>
        </row>
        <row r="189">
          <cell r="A189">
            <v>50003064</v>
          </cell>
          <cell r="B189" t="str">
            <v>레더다이-#064-Red</v>
          </cell>
          <cell r="C189">
            <v>10000</v>
          </cell>
          <cell r="D189">
            <v>86366500644</v>
          </cell>
          <cell r="E189">
            <v>21</v>
          </cell>
          <cell r="F189">
            <v>2415</v>
          </cell>
          <cell r="G189" t="str">
            <v>엔젤러스</v>
          </cell>
          <cell r="H189" t="str">
            <v>2-1.레더다이</v>
          </cell>
        </row>
        <row r="190">
          <cell r="A190">
            <v>50003065</v>
          </cell>
          <cell r="B190" t="str">
            <v>레더다이-#065-Wine-Tone</v>
          </cell>
          <cell r="C190">
            <v>10000</v>
          </cell>
          <cell r="E190">
            <v>21</v>
          </cell>
          <cell r="F190">
            <v>2415</v>
          </cell>
          <cell r="G190" t="str">
            <v>엔젤러스</v>
          </cell>
          <cell r="H190" t="str">
            <v>2-1.레더다이</v>
          </cell>
        </row>
        <row r="191">
          <cell r="A191">
            <v>50003072</v>
          </cell>
          <cell r="B191" t="str">
            <v>레더다이-#072-Gold</v>
          </cell>
          <cell r="C191">
            <v>10000</v>
          </cell>
          <cell r="E191">
            <v>21</v>
          </cell>
          <cell r="F191">
            <v>2415</v>
          </cell>
          <cell r="G191" t="str">
            <v>엔젤러스</v>
          </cell>
          <cell r="H191" t="str">
            <v>2-1.레더다이</v>
          </cell>
        </row>
        <row r="192">
          <cell r="A192">
            <v>50003075</v>
          </cell>
          <cell r="B192" t="str">
            <v>레더다이-#075-Yellow</v>
          </cell>
          <cell r="C192">
            <v>10000</v>
          </cell>
          <cell r="E192">
            <v>21</v>
          </cell>
          <cell r="F192">
            <v>2415</v>
          </cell>
          <cell r="G192" t="str">
            <v>엔젤러스</v>
          </cell>
          <cell r="H192" t="str">
            <v>2-1.레더다이</v>
          </cell>
        </row>
        <row r="193">
          <cell r="A193">
            <v>50003091</v>
          </cell>
          <cell r="B193" t="str">
            <v>레더다이-#091-BismarkBrown</v>
          </cell>
          <cell r="C193">
            <v>10000</v>
          </cell>
          <cell r="E193">
            <v>21</v>
          </cell>
          <cell r="F193">
            <v>2415</v>
          </cell>
          <cell r="G193" t="str">
            <v>엔젤러스</v>
          </cell>
          <cell r="H193" t="str">
            <v>2-1.레더다이</v>
          </cell>
        </row>
        <row r="194">
          <cell r="A194">
            <v>50003092</v>
          </cell>
          <cell r="B194" t="str">
            <v>레더다이-#092-Brandy</v>
          </cell>
          <cell r="C194">
            <v>10000</v>
          </cell>
          <cell r="E194">
            <v>21</v>
          </cell>
          <cell r="F194">
            <v>2415</v>
          </cell>
          <cell r="G194" t="str">
            <v>엔젤러스</v>
          </cell>
          <cell r="H194" t="str">
            <v>2-1.레더다이</v>
          </cell>
        </row>
        <row r="195">
          <cell r="A195">
            <v>50003093</v>
          </cell>
          <cell r="B195" t="str">
            <v>레더다이-#093-Brick</v>
          </cell>
          <cell r="C195">
            <v>10000</v>
          </cell>
          <cell r="E195">
            <v>21</v>
          </cell>
          <cell r="F195">
            <v>2415</v>
          </cell>
          <cell r="G195" t="str">
            <v>엔젤러스</v>
          </cell>
          <cell r="H195" t="str">
            <v>2-1.레더다이</v>
          </cell>
        </row>
        <row r="196">
          <cell r="A196">
            <v>50003094</v>
          </cell>
          <cell r="B196" t="str">
            <v>레더다이-#094-Honey</v>
          </cell>
          <cell r="C196">
            <v>10000</v>
          </cell>
          <cell r="E196">
            <v>21</v>
          </cell>
          <cell r="F196">
            <v>2415</v>
          </cell>
          <cell r="G196" t="str">
            <v>엔젤러스</v>
          </cell>
          <cell r="H196" t="str">
            <v>2-1.레더다이</v>
          </cell>
        </row>
        <row r="197">
          <cell r="A197">
            <v>50003095</v>
          </cell>
          <cell r="B197" t="str">
            <v>레더다이-#095-Russet</v>
          </cell>
          <cell r="C197">
            <v>10000</v>
          </cell>
          <cell r="E197">
            <v>21</v>
          </cell>
          <cell r="F197">
            <v>2415</v>
          </cell>
          <cell r="G197" t="str">
            <v>엔젤러스</v>
          </cell>
          <cell r="H197" t="str">
            <v>2-1.레더다이</v>
          </cell>
        </row>
        <row r="198">
          <cell r="A198">
            <v>50003096</v>
          </cell>
          <cell r="B198" t="str">
            <v>레더다이-#096-Spice</v>
          </cell>
          <cell r="C198">
            <v>10000</v>
          </cell>
          <cell r="E198">
            <v>21</v>
          </cell>
          <cell r="F198">
            <v>2415</v>
          </cell>
          <cell r="G198" t="str">
            <v>엔젤러스</v>
          </cell>
          <cell r="H198" t="str">
            <v>2-1.레더다이</v>
          </cell>
        </row>
        <row r="199">
          <cell r="A199">
            <v>50003097</v>
          </cell>
          <cell r="B199" t="str">
            <v>레더다이-#097-Coffee</v>
          </cell>
          <cell r="C199">
            <v>10000</v>
          </cell>
          <cell r="E199">
            <v>21</v>
          </cell>
          <cell r="F199">
            <v>2415</v>
          </cell>
          <cell r="G199" t="str">
            <v>엔젤러스</v>
          </cell>
          <cell r="H199" t="str">
            <v>2-1.레더다이</v>
          </cell>
        </row>
        <row r="200">
          <cell r="A200">
            <v>50003173</v>
          </cell>
          <cell r="B200" t="str">
            <v>레더다이-#173-Jade</v>
          </cell>
          <cell r="C200">
            <v>10000</v>
          </cell>
          <cell r="E200">
            <v>21</v>
          </cell>
          <cell r="F200">
            <v>2415</v>
          </cell>
          <cell r="G200" t="str">
            <v>엔젤러스</v>
          </cell>
          <cell r="H200" t="str">
            <v>2-1.레더다이</v>
          </cell>
        </row>
        <row r="201">
          <cell r="A201">
            <v>50003192</v>
          </cell>
          <cell r="B201" t="str">
            <v>레더다이-#192-Rose</v>
          </cell>
          <cell r="C201">
            <v>10000</v>
          </cell>
          <cell r="E201">
            <v>21</v>
          </cell>
          <cell r="F201">
            <v>2415</v>
          </cell>
          <cell r="G201" t="str">
            <v>엔젤러스</v>
          </cell>
          <cell r="H201" t="str">
            <v>2-1.레더다이</v>
          </cell>
        </row>
        <row r="202">
          <cell r="A202">
            <v>50003193</v>
          </cell>
          <cell r="B202" t="str">
            <v>레더다이-#193-Lt.Rose</v>
          </cell>
          <cell r="C202">
            <v>10000</v>
          </cell>
          <cell r="E202">
            <v>21</v>
          </cell>
          <cell r="F202">
            <v>2415</v>
          </cell>
          <cell r="G202" t="str">
            <v>엔젤러스</v>
          </cell>
          <cell r="H202" t="str">
            <v>2-1.레더다이</v>
          </cell>
        </row>
        <row r="204">
          <cell r="A204">
            <v>52003001</v>
          </cell>
          <cell r="B204" t="str">
            <v>스웨이드다이-#001-Black</v>
          </cell>
          <cell r="C204">
            <v>10000</v>
          </cell>
          <cell r="D204">
            <v>86366520017</v>
          </cell>
          <cell r="E204">
            <v>21</v>
          </cell>
          <cell r="F204">
            <v>2415</v>
          </cell>
          <cell r="G204" t="str">
            <v>엔젤러스</v>
          </cell>
          <cell r="H204" t="str">
            <v>2-2.스웨이드다이</v>
          </cell>
        </row>
        <row r="205">
          <cell r="A205">
            <v>52003004</v>
          </cell>
          <cell r="B205" t="str">
            <v>스웨이드다이-#004-Neutral</v>
          </cell>
          <cell r="C205">
            <v>10000</v>
          </cell>
          <cell r="E205">
            <v>21</v>
          </cell>
          <cell r="F205">
            <v>2415</v>
          </cell>
          <cell r="G205" t="str">
            <v>엔젤러스</v>
          </cell>
          <cell r="H205" t="str">
            <v>2-2.스웨이드다이</v>
          </cell>
        </row>
        <row r="206">
          <cell r="A206">
            <v>52003014</v>
          </cell>
          <cell r="B206" t="str">
            <v>스웨이드다이-#014-Brown</v>
          </cell>
          <cell r="C206">
            <v>10000</v>
          </cell>
          <cell r="D206">
            <v>86366520147</v>
          </cell>
          <cell r="E206">
            <v>21</v>
          </cell>
          <cell r="F206">
            <v>2415</v>
          </cell>
          <cell r="G206" t="str">
            <v>엔젤러스</v>
          </cell>
          <cell r="H206" t="str">
            <v>2-2.스웨이드다이</v>
          </cell>
        </row>
        <row r="207">
          <cell r="A207">
            <v>52003018</v>
          </cell>
          <cell r="B207" t="str">
            <v>스웨이드다이-#018-DarkBrown</v>
          </cell>
          <cell r="C207">
            <v>10000</v>
          </cell>
          <cell r="D207">
            <v>86366520185</v>
          </cell>
          <cell r="E207">
            <v>21</v>
          </cell>
          <cell r="F207">
            <v>2415</v>
          </cell>
          <cell r="G207" t="str">
            <v>엔젤러스</v>
          </cell>
          <cell r="H207" t="str">
            <v>2-2.스웨이드다이</v>
          </cell>
        </row>
        <row r="208">
          <cell r="A208">
            <v>52003021</v>
          </cell>
          <cell r="B208" t="str">
            <v>스웨이드다이-#021-LightBrown</v>
          </cell>
          <cell r="C208">
            <v>10000</v>
          </cell>
          <cell r="E208">
            <v>21</v>
          </cell>
          <cell r="F208">
            <v>2415</v>
          </cell>
          <cell r="G208" t="str">
            <v>엔젤러스</v>
          </cell>
          <cell r="H208" t="str">
            <v>2-2.스웨이드다이</v>
          </cell>
        </row>
        <row r="209">
          <cell r="A209">
            <v>52003026</v>
          </cell>
          <cell r="B209" t="str">
            <v>스웨이드다이-#026-Rust</v>
          </cell>
          <cell r="C209">
            <v>10000</v>
          </cell>
          <cell r="E209">
            <v>21</v>
          </cell>
          <cell r="F209">
            <v>2415</v>
          </cell>
          <cell r="G209" t="str">
            <v>엔젤러스</v>
          </cell>
          <cell r="H209" t="str">
            <v>2-2.스웨이드다이</v>
          </cell>
        </row>
        <row r="210">
          <cell r="A210">
            <v>52003029</v>
          </cell>
          <cell r="B210" t="str">
            <v>스웨이드다이-#029-Tan</v>
          </cell>
          <cell r="C210">
            <v>10000</v>
          </cell>
          <cell r="E210">
            <v>21</v>
          </cell>
          <cell r="F210">
            <v>2415</v>
          </cell>
          <cell r="G210" t="str">
            <v>엔젤러스</v>
          </cell>
          <cell r="H210" t="str">
            <v>2-2.스웨이드다이</v>
          </cell>
        </row>
        <row r="211">
          <cell r="A211">
            <v>52003040</v>
          </cell>
          <cell r="B211" t="str">
            <v>스웨이드다이-#040-Blue</v>
          </cell>
          <cell r="C211">
            <v>10000</v>
          </cell>
          <cell r="E211">
            <v>21</v>
          </cell>
          <cell r="F211">
            <v>2415</v>
          </cell>
          <cell r="G211" t="str">
            <v>엔젤러스</v>
          </cell>
          <cell r="H211" t="str">
            <v>2-2.스웨이드다이</v>
          </cell>
        </row>
        <row r="212">
          <cell r="A212">
            <v>52003041</v>
          </cell>
          <cell r="B212" t="str">
            <v>스웨이드다이-#041-LightBlue</v>
          </cell>
          <cell r="C212">
            <v>10000</v>
          </cell>
          <cell r="E212">
            <v>21</v>
          </cell>
          <cell r="F212">
            <v>2415</v>
          </cell>
          <cell r="G212" t="str">
            <v>엔젤러스</v>
          </cell>
          <cell r="H212" t="str">
            <v>2-2.스웨이드다이</v>
          </cell>
        </row>
        <row r="213">
          <cell r="A213">
            <v>52003042</v>
          </cell>
          <cell r="B213" t="str">
            <v>스웨이드다이-#042-NavyBlue</v>
          </cell>
          <cell r="C213">
            <v>10000</v>
          </cell>
          <cell r="D213">
            <v>86366520420</v>
          </cell>
          <cell r="E213">
            <v>21</v>
          </cell>
          <cell r="F213">
            <v>2415</v>
          </cell>
          <cell r="G213" t="str">
            <v>엔젤러스</v>
          </cell>
          <cell r="H213" t="str">
            <v>2-2.스웨이드다이</v>
          </cell>
        </row>
        <row r="214">
          <cell r="A214">
            <v>52003047</v>
          </cell>
          <cell r="B214" t="str">
            <v>스웨이드다이-#047-Puple</v>
          </cell>
          <cell r="C214">
            <v>10000</v>
          </cell>
          <cell r="E214">
            <v>21</v>
          </cell>
          <cell r="F214">
            <v>2415</v>
          </cell>
          <cell r="G214" t="str">
            <v>엔젤러스</v>
          </cell>
          <cell r="H214" t="str">
            <v>2-2.스웨이드다이</v>
          </cell>
        </row>
        <row r="215">
          <cell r="A215">
            <v>52003050</v>
          </cell>
          <cell r="B215" t="str">
            <v>스웨이드다이-#050-Green</v>
          </cell>
          <cell r="C215">
            <v>10000</v>
          </cell>
          <cell r="E215">
            <v>21</v>
          </cell>
          <cell r="F215">
            <v>2415</v>
          </cell>
          <cell r="G215" t="str">
            <v>엔젤러스</v>
          </cell>
          <cell r="H215" t="str">
            <v>2-2.스웨이드다이</v>
          </cell>
        </row>
        <row r="216">
          <cell r="A216">
            <v>52003051</v>
          </cell>
          <cell r="B216" t="str">
            <v>스웨이드다이-#051-KellyGreen</v>
          </cell>
          <cell r="C216">
            <v>10000</v>
          </cell>
          <cell r="E216">
            <v>21</v>
          </cell>
          <cell r="F216">
            <v>2415</v>
          </cell>
          <cell r="G216" t="str">
            <v>엔젤러스</v>
          </cell>
          <cell r="H216" t="str">
            <v>2-2.스웨이드다이</v>
          </cell>
        </row>
        <row r="217">
          <cell r="A217">
            <v>52003060</v>
          </cell>
          <cell r="B217" t="str">
            <v>스웨이드다이-#060-Burgundy</v>
          </cell>
          <cell r="C217">
            <v>10000</v>
          </cell>
          <cell r="E217">
            <v>21</v>
          </cell>
          <cell r="F217">
            <v>2415</v>
          </cell>
          <cell r="G217" t="str">
            <v>엔젤러스</v>
          </cell>
          <cell r="H217" t="str">
            <v>2-2.스웨이드다이</v>
          </cell>
        </row>
        <row r="218">
          <cell r="A218">
            <v>52003061</v>
          </cell>
          <cell r="B218" t="str">
            <v>스웨이드다이-#061-DarkRed</v>
          </cell>
          <cell r="C218">
            <v>10000</v>
          </cell>
          <cell r="E218">
            <v>21</v>
          </cell>
          <cell r="F218">
            <v>2415</v>
          </cell>
          <cell r="G218" t="str">
            <v>엔젤러스</v>
          </cell>
          <cell r="H218" t="str">
            <v>2-2.스웨이드다이</v>
          </cell>
        </row>
        <row r="219">
          <cell r="A219">
            <v>52003064</v>
          </cell>
          <cell r="B219" t="str">
            <v>스웨이드다이-#064-Red</v>
          </cell>
          <cell r="C219">
            <v>10000</v>
          </cell>
          <cell r="E219">
            <v>21</v>
          </cell>
          <cell r="F219">
            <v>2415</v>
          </cell>
          <cell r="G219" t="str">
            <v>엔젤러스</v>
          </cell>
          <cell r="H219" t="str">
            <v>2-2.스웨이드다이</v>
          </cell>
        </row>
        <row r="220">
          <cell r="A220">
            <v>52003065</v>
          </cell>
          <cell r="B220" t="str">
            <v>스웨이드다이-#065-Wine-Tone</v>
          </cell>
          <cell r="C220">
            <v>10000</v>
          </cell>
          <cell r="E220">
            <v>21</v>
          </cell>
          <cell r="F220">
            <v>2415</v>
          </cell>
          <cell r="G220" t="str">
            <v>엔젤러스</v>
          </cell>
          <cell r="H220" t="str">
            <v>2-2.스웨이드다이</v>
          </cell>
        </row>
        <row r="221">
          <cell r="A221">
            <v>52003070</v>
          </cell>
          <cell r="B221" t="str">
            <v>스웨이드다이-#070-Beige</v>
          </cell>
          <cell r="C221">
            <v>10000</v>
          </cell>
          <cell r="E221">
            <v>21</v>
          </cell>
          <cell r="F221">
            <v>2415</v>
          </cell>
          <cell r="G221" t="str">
            <v>엔젤러스</v>
          </cell>
          <cell r="H221" t="str">
            <v>2-2.스웨이드다이</v>
          </cell>
        </row>
        <row r="222">
          <cell r="A222">
            <v>52003071</v>
          </cell>
          <cell r="B222" t="str">
            <v>스웨이드다이-#071-Chamois</v>
          </cell>
          <cell r="C222">
            <v>10000</v>
          </cell>
          <cell r="E222">
            <v>21</v>
          </cell>
          <cell r="F222">
            <v>2415</v>
          </cell>
          <cell r="G222" t="str">
            <v>엔젤러스</v>
          </cell>
          <cell r="H222" t="str">
            <v>2-2.스웨이드다이</v>
          </cell>
        </row>
        <row r="223">
          <cell r="A223">
            <v>52003075</v>
          </cell>
          <cell r="B223" t="str">
            <v>스웨이드다이-#075-Yellow</v>
          </cell>
          <cell r="C223">
            <v>10000</v>
          </cell>
          <cell r="E223">
            <v>21</v>
          </cell>
          <cell r="F223">
            <v>2415</v>
          </cell>
          <cell r="G223" t="str">
            <v>엔젤러스</v>
          </cell>
          <cell r="H223" t="str">
            <v>2-2.스웨이드다이</v>
          </cell>
        </row>
        <row r="224">
          <cell r="A224">
            <v>52003080</v>
          </cell>
          <cell r="B224" t="str">
            <v>스웨이드다이-#080-DarkGrey</v>
          </cell>
          <cell r="C224">
            <v>10000</v>
          </cell>
          <cell r="D224">
            <v>86366520802</v>
          </cell>
          <cell r="E224">
            <v>21</v>
          </cell>
          <cell r="F224">
            <v>2415</v>
          </cell>
          <cell r="G224" t="str">
            <v>엔젤러스</v>
          </cell>
          <cell r="H224" t="str">
            <v>2-2.스웨이드다이</v>
          </cell>
        </row>
        <row r="225">
          <cell r="A225">
            <v>52003081</v>
          </cell>
          <cell r="B225" t="str">
            <v>스웨이드다이-#081-Grey</v>
          </cell>
          <cell r="C225">
            <v>10000</v>
          </cell>
          <cell r="E225">
            <v>21</v>
          </cell>
          <cell r="F225">
            <v>2415</v>
          </cell>
          <cell r="G225" t="str">
            <v>엔젤러스</v>
          </cell>
          <cell r="H225" t="str">
            <v>2-2.스웨이드다이</v>
          </cell>
        </row>
        <row r="226">
          <cell r="A226">
            <v>52003082</v>
          </cell>
          <cell r="B226" t="str">
            <v>스웨이드다이-#082-LightGrey</v>
          </cell>
          <cell r="C226">
            <v>10000</v>
          </cell>
          <cell r="E226">
            <v>21</v>
          </cell>
          <cell r="F226">
            <v>2415</v>
          </cell>
          <cell r="G226" t="str">
            <v>엔젤러스</v>
          </cell>
          <cell r="H226" t="str">
            <v>2-2.스웨이드다이</v>
          </cell>
        </row>
        <row r="227">
          <cell r="A227">
            <v>52003175</v>
          </cell>
          <cell r="B227" t="str">
            <v>스웨이드다이-#175-Lilac</v>
          </cell>
          <cell r="C227">
            <v>10000</v>
          </cell>
          <cell r="E227">
            <v>21</v>
          </cell>
          <cell r="F227">
            <v>2415</v>
          </cell>
          <cell r="G227" t="str">
            <v>엔젤러스</v>
          </cell>
          <cell r="H227" t="str">
            <v>2-2.스웨이드다이</v>
          </cell>
        </row>
        <row r="228">
          <cell r="A228">
            <v>52003188</v>
          </cell>
          <cell r="B228" t="str">
            <v>스웨이드다이-#188-Pink</v>
          </cell>
          <cell r="C228">
            <v>10000</v>
          </cell>
          <cell r="E228">
            <v>21</v>
          </cell>
          <cell r="F228">
            <v>2415</v>
          </cell>
          <cell r="G228" t="str">
            <v>엔젤러스</v>
          </cell>
          <cell r="H228" t="str">
            <v>2-2.스웨이드다이</v>
          </cell>
        </row>
        <row r="230">
          <cell r="A230">
            <v>72004001</v>
          </cell>
          <cell r="B230" t="str">
            <v>4온즈-#001-레더페인트-Black</v>
          </cell>
          <cell r="C230">
            <v>22000</v>
          </cell>
          <cell r="E230">
            <v>27</v>
          </cell>
          <cell r="F230">
            <v>3105</v>
          </cell>
          <cell r="G230" t="str">
            <v>엔젤러스</v>
          </cell>
          <cell r="H230" t="str">
            <v>1-6.4oz페인트</v>
          </cell>
        </row>
        <row r="231">
          <cell r="A231">
            <v>72004004</v>
          </cell>
          <cell r="B231" t="str">
            <v>4온즈-#004-레더페인트-Neutral</v>
          </cell>
          <cell r="C231">
            <v>22000</v>
          </cell>
          <cell r="E231">
            <v>27</v>
          </cell>
          <cell r="F231">
            <v>3105</v>
          </cell>
          <cell r="G231" t="str">
            <v>엔젤러스</v>
          </cell>
          <cell r="H231" t="str">
            <v>1-6.4oz페인트</v>
          </cell>
        </row>
        <row r="232">
          <cell r="A232">
            <v>72004005</v>
          </cell>
          <cell r="B232" t="str">
            <v>4온즈-#005-레더페인트-White</v>
          </cell>
          <cell r="C232">
            <v>22000</v>
          </cell>
          <cell r="E232">
            <v>27</v>
          </cell>
          <cell r="F232">
            <v>3105</v>
          </cell>
          <cell r="G232" t="str">
            <v>엔젤러스</v>
          </cell>
          <cell r="H232" t="str">
            <v>1-6.4oz페인트</v>
          </cell>
        </row>
        <row r="233">
          <cell r="A233">
            <v>72004014</v>
          </cell>
          <cell r="B233" t="str">
            <v>4온즈-#014-레더페인트-Brown</v>
          </cell>
          <cell r="C233">
            <v>22000</v>
          </cell>
          <cell r="E233">
            <v>27</v>
          </cell>
          <cell r="F233">
            <v>3105</v>
          </cell>
          <cell r="G233" t="str">
            <v>엔젤러스</v>
          </cell>
          <cell r="H233" t="str">
            <v>1-6.4oz페인트</v>
          </cell>
        </row>
        <row r="234">
          <cell r="A234">
            <v>72004015</v>
          </cell>
          <cell r="B234" t="str">
            <v>4온즈-#015-레더페인트-Chocolate</v>
          </cell>
          <cell r="C234">
            <v>22000</v>
          </cell>
          <cell r="E234">
            <v>27</v>
          </cell>
          <cell r="F234">
            <v>3105</v>
          </cell>
          <cell r="G234" t="str">
            <v>엔젤러스</v>
          </cell>
          <cell r="H234" t="str">
            <v>1-6.4oz페인트</v>
          </cell>
        </row>
        <row r="235">
          <cell r="A235">
            <v>72004018</v>
          </cell>
          <cell r="B235" t="str">
            <v>4온즈-#018-레더페인트-DarkBrown</v>
          </cell>
          <cell r="C235">
            <v>22000</v>
          </cell>
          <cell r="E235">
            <v>27</v>
          </cell>
          <cell r="F235">
            <v>3105</v>
          </cell>
          <cell r="G235" t="str">
            <v>엔젤러스</v>
          </cell>
          <cell r="H235" t="str">
            <v>1-6.4oz페인트</v>
          </cell>
        </row>
        <row r="236">
          <cell r="A236">
            <v>72004019</v>
          </cell>
          <cell r="B236" t="str">
            <v>4온즈-#019-레더페인트-English Tan</v>
          </cell>
          <cell r="C236">
            <v>22000</v>
          </cell>
          <cell r="E236">
            <v>27</v>
          </cell>
          <cell r="F236">
            <v>3105</v>
          </cell>
          <cell r="G236" t="str">
            <v>엔젤러스</v>
          </cell>
          <cell r="H236" t="str">
            <v>1-6.4oz페인트</v>
          </cell>
        </row>
        <row r="237">
          <cell r="A237">
            <v>72004021</v>
          </cell>
          <cell r="B237" t="str">
            <v>4온즈-#021-레더페인트-LightBrown</v>
          </cell>
          <cell r="C237">
            <v>22000</v>
          </cell>
          <cell r="E237">
            <v>27</v>
          </cell>
          <cell r="F237">
            <v>3105</v>
          </cell>
          <cell r="G237" t="str">
            <v>엔젤러스</v>
          </cell>
          <cell r="H237" t="str">
            <v>1-6.4oz페인트</v>
          </cell>
        </row>
        <row r="238">
          <cell r="A238">
            <v>72004024</v>
          </cell>
          <cell r="B238" t="str">
            <v>4온즈-#024-레더페인트-Orange</v>
          </cell>
          <cell r="C238">
            <v>22000</v>
          </cell>
          <cell r="E238">
            <v>27</v>
          </cell>
          <cell r="F238">
            <v>3105</v>
          </cell>
          <cell r="G238" t="str">
            <v>엔젤러스</v>
          </cell>
          <cell r="H238" t="str">
            <v>1-6.4oz페인트</v>
          </cell>
        </row>
        <row r="239">
          <cell r="A239">
            <v>72004027</v>
          </cell>
          <cell r="B239" t="str">
            <v>4온즈-#027-레더페인트- SADDLE</v>
          </cell>
          <cell r="C239">
            <v>22000</v>
          </cell>
          <cell r="E239">
            <v>27</v>
          </cell>
          <cell r="F239">
            <v>3105</v>
          </cell>
          <cell r="G239" t="str">
            <v>엔젤러스</v>
          </cell>
          <cell r="H239" t="str">
            <v>1-6.4oz페인트</v>
          </cell>
        </row>
        <row r="240">
          <cell r="A240">
            <v>72004029</v>
          </cell>
          <cell r="B240" t="str">
            <v>4온즈-#029-레더페인트- Tan</v>
          </cell>
          <cell r="C240">
            <v>22000</v>
          </cell>
          <cell r="E240">
            <v>27</v>
          </cell>
          <cell r="F240">
            <v>3105</v>
          </cell>
          <cell r="G240" t="str">
            <v>엔젤러스</v>
          </cell>
          <cell r="H240" t="str">
            <v>1-6.4oz페인트</v>
          </cell>
        </row>
        <row r="241">
          <cell r="A241">
            <v>72004040</v>
          </cell>
          <cell r="B241" t="str">
            <v>4온즈-#040-레더페인트-BLUE</v>
          </cell>
          <cell r="C241">
            <v>22000</v>
          </cell>
          <cell r="E241">
            <v>27</v>
          </cell>
          <cell r="F241">
            <v>3105</v>
          </cell>
          <cell r="G241" t="str">
            <v>엔젤러스</v>
          </cell>
          <cell r="H241" t="str">
            <v>1-6.4oz페인트</v>
          </cell>
        </row>
        <row r="242">
          <cell r="A242">
            <v>72004041</v>
          </cell>
          <cell r="B242" t="str">
            <v>4온즈-#041-레더페인트-LightBLUE</v>
          </cell>
          <cell r="C242">
            <v>22000</v>
          </cell>
          <cell r="E242">
            <v>27</v>
          </cell>
          <cell r="F242">
            <v>3105</v>
          </cell>
          <cell r="G242" t="str">
            <v>엔젤러스</v>
          </cell>
          <cell r="H242" t="str">
            <v>1-6.4oz페인트</v>
          </cell>
        </row>
        <row r="243">
          <cell r="A243">
            <v>72004042</v>
          </cell>
          <cell r="B243" t="str">
            <v>4온즈-#042-레더페인트-NavyBlue</v>
          </cell>
          <cell r="C243">
            <v>22000</v>
          </cell>
          <cell r="E243">
            <v>27</v>
          </cell>
          <cell r="F243">
            <v>3105</v>
          </cell>
          <cell r="G243" t="str">
            <v>엔젤러스</v>
          </cell>
          <cell r="H243" t="str">
            <v>1-6.4oz페인트</v>
          </cell>
        </row>
        <row r="244">
          <cell r="A244">
            <v>72004043</v>
          </cell>
          <cell r="B244" t="str">
            <v>4온즈-#043-레더페인트-Turgouise</v>
          </cell>
          <cell r="C244">
            <v>22000</v>
          </cell>
          <cell r="E244">
            <v>27</v>
          </cell>
          <cell r="F244">
            <v>3105</v>
          </cell>
          <cell r="G244" t="str">
            <v>엔젤러스</v>
          </cell>
          <cell r="H244" t="str">
            <v>1-6.4oz페인트</v>
          </cell>
        </row>
        <row r="245">
          <cell r="A245">
            <v>72004045</v>
          </cell>
          <cell r="B245" t="str">
            <v>4온즈-#045-레더페인트-Blue Turquoise</v>
          </cell>
          <cell r="C245">
            <v>22000</v>
          </cell>
          <cell r="E245">
            <v>27</v>
          </cell>
          <cell r="F245">
            <v>3105</v>
          </cell>
          <cell r="G245" t="str">
            <v>엔젤러스</v>
          </cell>
          <cell r="H245" t="str">
            <v>1-6.4oz페인트</v>
          </cell>
        </row>
        <row r="246">
          <cell r="A246">
            <v>72004047</v>
          </cell>
          <cell r="B246" t="str">
            <v>4온즈-#047-레더페인트-Purple</v>
          </cell>
          <cell r="C246">
            <v>22000</v>
          </cell>
          <cell r="E246">
            <v>27</v>
          </cell>
          <cell r="F246">
            <v>3105</v>
          </cell>
          <cell r="G246" t="str">
            <v>엔젤러스</v>
          </cell>
          <cell r="H246" t="str">
            <v>1-6.4oz페인트</v>
          </cell>
        </row>
        <row r="247">
          <cell r="A247">
            <v>72004050</v>
          </cell>
          <cell r="B247" t="str">
            <v>4온즈-#050-레더페인트-Green</v>
          </cell>
          <cell r="C247">
            <v>22000</v>
          </cell>
          <cell r="E247">
            <v>27</v>
          </cell>
          <cell r="F247">
            <v>3105</v>
          </cell>
          <cell r="G247" t="str">
            <v>엔젤러스</v>
          </cell>
          <cell r="H247" t="str">
            <v>1-6.4oz페인트</v>
          </cell>
        </row>
        <row r="248">
          <cell r="A248">
            <v>72004052</v>
          </cell>
          <cell r="B248" t="str">
            <v>4온즈-#052-레더페인트-MidniteGreen</v>
          </cell>
          <cell r="C248">
            <v>22000</v>
          </cell>
          <cell r="E248">
            <v>27</v>
          </cell>
          <cell r="F248">
            <v>3105</v>
          </cell>
          <cell r="G248" t="str">
            <v>엔젤러스</v>
          </cell>
          <cell r="H248" t="str">
            <v>1-6.4oz페인트</v>
          </cell>
        </row>
        <row r="249">
          <cell r="A249">
            <v>72004060</v>
          </cell>
          <cell r="B249" t="str">
            <v>4온즈-#060-레더페인트-Burgundy</v>
          </cell>
          <cell r="C249">
            <v>22000</v>
          </cell>
          <cell r="E249">
            <v>27</v>
          </cell>
          <cell r="F249">
            <v>3105</v>
          </cell>
          <cell r="G249" t="str">
            <v>엔젤러스</v>
          </cell>
          <cell r="H249" t="str">
            <v>1-6.4oz페인트</v>
          </cell>
        </row>
        <row r="250">
          <cell r="A250">
            <v>72004064</v>
          </cell>
          <cell r="B250" t="str">
            <v>4온즈-#064-레더페인트-Red</v>
          </cell>
          <cell r="C250">
            <v>22000</v>
          </cell>
          <cell r="E250">
            <v>27</v>
          </cell>
          <cell r="F250">
            <v>3105</v>
          </cell>
          <cell r="G250" t="str">
            <v>엔젤러스</v>
          </cell>
          <cell r="H250" t="str">
            <v>1-6.4oz페인트</v>
          </cell>
        </row>
        <row r="251">
          <cell r="A251">
            <v>72004070</v>
          </cell>
          <cell r="B251" t="str">
            <v>4온즈-#070-레더페인트-Beige</v>
          </cell>
          <cell r="C251">
            <v>22000</v>
          </cell>
          <cell r="E251">
            <v>27</v>
          </cell>
          <cell r="F251">
            <v>3105</v>
          </cell>
          <cell r="G251" t="str">
            <v>엔젤러스</v>
          </cell>
          <cell r="H251" t="str">
            <v>1-6.4oz페인트</v>
          </cell>
        </row>
        <row r="252">
          <cell r="A252">
            <v>73204072</v>
          </cell>
          <cell r="B252" t="str">
            <v>4온즈-#072-레더페인트-Gold</v>
          </cell>
          <cell r="C252">
            <v>22000</v>
          </cell>
          <cell r="E252">
            <v>27</v>
          </cell>
          <cell r="F252">
            <v>3105</v>
          </cell>
          <cell r="G252" t="str">
            <v>엔젤러스</v>
          </cell>
          <cell r="H252" t="str">
            <v>1-6.4oz페인트</v>
          </cell>
        </row>
        <row r="253">
          <cell r="A253">
            <v>72004075</v>
          </cell>
          <cell r="B253" t="str">
            <v>4온즈-#075-레더페인트-Yellow</v>
          </cell>
          <cell r="C253">
            <v>22000</v>
          </cell>
          <cell r="E253">
            <v>27</v>
          </cell>
          <cell r="F253">
            <v>3105</v>
          </cell>
          <cell r="G253" t="str">
            <v>엔젤러스</v>
          </cell>
          <cell r="H253" t="str">
            <v>1-6.4oz페인트</v>
          </cell>
        </row>
        <row r="254">
          <cell r="A254">
            <v>72004080</v>
          </cell>
          <cell r="B254" t="str">
            <v>4온즈-#080-레더페인트-DarkGrey</v>
          </cell>
          <cell r="C254">
            <v>22000</v>
          </cell>
          <cell r="E254">
            <v>27</v>
          </cell>
          <cell r="F254">
            <v>3105</v>
          </cell>
          <cell r="G254" t="str">
            <v>엔젤러스</v>
          </cell>
          <cell r="H254" t="str">
            <v>1-6.4oz페인트</v>
          </cell>
        </row>
        <row r="255">
          <cell r="A255">
            <v>72004081</v>
          </cell>
          <cell r="B255" t="str">
            <v>4온즈-#081-레더페인트-Grey</v>
          </cell>
          <cell r="C255">
            <v>22000</v>
          </cell>
          <cell r="E255">
            <v>27</v>
          </cell>
          <cell r="F255">
            <v>3105</v>
          </cell>
          <cell r="G255" t="str">
            <v>엔젤러스</v>
          </cell>
          <cell r="H255" t="str">
            <v>1-6.4oz페인트</v>
          </cell>
        </row>
        <row r="256">
          <cell r="A256">
            <v>72004082</v>
          </cell>
          <cell r="B256" t="str">
            <v>4온즈-#082-레더페인트-LightGrey</v>
          </cell>
          <cell r="C256">
            <v>22000</v>
          </cell>
          <cell r="E256">
            <v>27</v>
          </cell>
          <cell r="F256">
            <v>3105</v>
          </cell>
          <cell r="G256" t="str">
            <v>엔젤러스</v>
          </cell>
          <cell r="H256" t="str">
            <v>1-6.4oz페인트</v>
          </cell>
        </row>
        <row r="257">
          <cell r="A257">
            <v>72004093</v>
          </cell>
          <cell r="B257" t="str">
            <v>4온즈-#093-레더페인트-Brick</v>
          </cell>
          <cell r="C257">
            <v>22000</v>
          </cell>
          <cell r="E257">
            <v>27</v>
          </cell>
          <cell r="F257">
            <v>3105</v>
          </cell>
          <cell r="G257" t="str">
            <v>엔젤러스</v>
          </cell>
          <cell r="H257" t="str">
            <v>1-6.4oz페인트</v>
          </cell>
        </row>
        <row r="258">
          <cell r="A258">
            <v>72004101</v>
          </cell>
          <cell r="B258" t="str">
            <v>4온즈-#101-레더페인트-Flat Black</v>
          </cell>
          <cell r="C258">
            <v>22000</v>
          </cell>
          <cell r="E258">
            <v>27</v>
          </cell>
          <cell r="F258">
            <v>3105</v>
          </cell>
          <cell r="G258" t="str">
            <v>엔젤러스</v>
          </cell>
          <cell r="H258" t="str">
            <v>1-6.4oz페인트</v>
          </cell>
        </row>
        <row r="259">
          <cell r="A259">
            <v>72004105</v>
          </cell>
          <cell r="B259" t="str">
            <v>4온즈-#105-레더페인트-Flat White</v>
          </cell>
          <cell r="C259">
            <v>22000</v>
          </cell>
          <cell r="E259">
            <v>27</v>
          </cell>
          <cell r="F259">
            <v>3105</v>
          </cell>
          <cell r="G259" t="str">
            <v>엔젤러스</v>
          </cell>
          <cell r="H259" t="str">
            <v>1-6.4oz페인트</v>
          </cell>
        </row>
        <row r="260">
          <cell r="A260">
            <v>73201141</v>
          </cell>
          <cell r="B260" t="str">
            <v>4온즈-#141-레더페인트-Copper</v>
          </cell>
          <cell r="C260">
            <v>22000</v>
          </cell>
          <cell r="E260">
            <v>27</v>
          </cell>
          <cell r="F260">
            <v>3105</v>
          </cell>
          <cell r="G260" t="str">
            <v>엔젤러스</v>
          </cell>
          <cell r="H260" t="str">
            <v>1-6.4oz페인트</v>
          </cell>
        </row>
        <row r="261">
          <cell r="A261">
            <v>73201142</v>
          </cell>
          <cell r="B261" t="str">
            <v>4온즈-#142-레더페인트-Bronze</v>
          </cell>
          <cell r="C261">
            <v>22000</v>
          </cell>
          <cell r="E261">
            <v>27</v>
          </cell>
          <cell r="F261">
            <v>3105</v>
          </cell>
          <cell r="G261" t="str">
            <v>엔젤러스</v>
          </cell>
          <cell r="H261" t="str">
            <v>1-6.4oz페인트</v>
          </cell>
        </row>
        <row r="262">
          <cell r="A262">
            <v>73201143</v>
          </cell>
          <cell r="B262" t="str">
            <v>4온즈-#143-레더페인트-Pewter</v>
          </cell>
          <cell r="C262">
            <v>22000</v>
          </cell>
          <cell r="E262">
            <v>27</v>
          </cell>
          <cell r="F262">
            <v>3105</v>
          </cell>
          <cell r="G262" t="str">
            <v>엔젤러스</v>
          </cell>
          <cell r="H262" t="str">
            <v>1-6.4oz페인트</v>
          </cell>
        </row>
        <row r="263">
          <cell r="A263">
            <v>72004150</v>
          </cell>
          <cell r="B263" t="str">
            <v>4온즈-#150-레더페인트-SILVER</v>
          </cell>
          <cell r="C263">
            <v>22000</v>
          </cell>
          <cell r="E263">
            <v>27</v>
          </cell>
          <cell r="F263">
            <v>3105</v>
          </cell>
          <cell r="G263" t="str">
            <v>엔젤러스</v>
          </cell>
          <cell r="H263" t="str">
            <v>1-6.4oz페인트</v>
          </cell>
        </row>
        <row r="264">
          <cell r="A264">
            <v>72004155</v>
          </cell>
          <cell r="B264" t="str">
            <v>4온즈-#155-레더페인트-Bone</v>
          </cell>
          <cell r="C264">
            <v>22000</v>
          </cell>
          <cell r="E264">
            <v>27</v>
          </cell>
          <cell r="F264">
            <v>3105</v>
          </cell>
          <cell r="G264" t="str">
            <v>엔젤러스</v>
          </cell>
          <cell r="H264" t="str">
            <v>1-6.4oz페인트</v>
          </cell>
        </row>
        <row r="265">
          <cell r="A265">
            <v>72004156</v>
          </cell>
          <cell r="B265" t="str">
            <v>4온즈-#156-레더페인트-Champagne</v>
          </cell>
          <cell r="C265">
            <v>22000</v>
          </cell>
          <cell r="E265">
            <v>27</v>
          </cell>
          <cell r="F265">
            <v>3105</v>
          </cell>
          <cell r="G265" t="str">
            <v>엔젤러스</v>
          </cell>
          <cell r="H265" t="str">
            <v>1-6.4oz페인트</v>
          </cell>
        </row>
        <row r="266">
          <cell r="A266">
            <v>72004157</v>
          </cell>
          <cell r="B266" t="str">
            <v>4온즈-#157-레더페인트-DarkBone</v>
          </cell>
          <cell r="C266">
            <v>22000</v>
          </cell>
          <cell r="E266">
            <v>27</v>
          </cell>
          <cell r="F266">
            <v>3105</v>
          </cell>
          <cell r="G266" t="str">
            <v>엔젤러스</v>
          </cell>
          <cell r="H266" t="str">
            <v>1-6.4oz페인트</v>
          </cell>
        </row>
        <row r="267">
          <cell r="A267">
            <v>72004159</v>
          </cell>
          <cell r="B267" t="str">
            <v>4온즈-#159-레더페인트-Mist</v>
          </cell>
          <cell r="C267">
            <v>22000</v>
          </cell>
          <cell r="E267">
            <v>27</v>
          </cell>
          <cell r="F267">
            <v>3105</v>
          </cell>
          <cell r="G267" t="str">
            <v>엔젤러스</v>
          </cell>
          <cell r="H267" t="str">
            <v>1-6.4oz페인트</v>
          </cell>
        </row>
        <row r="268">
          <cell r="A268">
            <v>72004160</v>
          </cell>
          <cell r="B268" t="str">
            <v>4온즈-#160-레더페인트-Vanilla</v>
          </cell>
          <cell r="C268">
            <v>22000</v>
          </cell>
          <cell r="E268">
            <v>27</v>
          </cell>
          <cell r="F268">
            <v>3105</v>
          </cell>
          <cell r="G268" t="str">
            <v>엔젤러스</v>
          </cell>
          <cell r="H268" t="str">
            <v>1-6.4oz페인트</v>
          </cell>
        </row>
        <row r="269">
          <cell r="A269">
            <v>72004161</v>
          </cell>
          <cell r="B269" t="str">
            <v>4온즈-#161-레더페인트-Natural</v>
          </cell>
          <cell r="C269">
            <v>22000</v>
          </cell>
          <cell r="E269">
            <v>27</v>
          </cell>
          <cell r="F269">
            <v>3105</v>
          </cell>
          <cell r="G269" t="str">
            <v>엔젤러스</v>
          </cell>
          <cell r="H269" t="str">
            <v>1-6.4oz페인트</v>
          </cell>
        </row>
        <row r="270">
          <cell r="A270">
            <v>72004162</v>
          </cell>
          <cell r="B270" t="str">
            <v>4온즈-#162-레더페인트-Cream</v>
          </cell>
          <cell r="C270">
            <v>22000</v>
          </cell>
          <cell r="E270">
            <v>27</v>
          </cell>
          <cell r="F270">
            <v>3105</v>
          </cell>
          <cell r="G270" t="str">
            <v>엔젤러스</v>
          </cell>
          <cell r="H270" t="str">
            <v>1-6.4oz페인트</v>
          </cell>
        </row>
        <row r="271">
          <cell r="A271">
            <v>72004163</v>
          </cell>
          <cell r="B271" t="str">
            <v>4온즈-#163-레더페인트-CapazioTan</v>
          </cell>
          <cell r="C271">
            <v>22000</v>
          </cell>
          <cell r="D271" t="str">
            <v xml:space="preserve"> </v>
          </cell>
          <cell r="E271">
            <v>27</v>
          </cell>
          <cell r="F271">
            <v>3105</v>
          </cell>
          <cell r="G271" t="str">
            <v>엔젤러스</v>
          </cell>
          <cell r="H271" t="str">
            <v>1-6.4oz페인트</v>
          </cell>
        </row>
        <row r="272">
          <cell r="A272">
            <v>72004165</v>
          </cell>
          <cell r="B272" t="str">
            <v>4온즈-#165-레더페인트-BeigeTaupe</v>
          </cell>
          <cell r="C272">
            <v>22000</v>
          </cell>
          <cell r="E272">
            <v>27</v>
          </cell>
          <cell r="F272">
            <v>3105</v>
          </cell>
          <cell r="G272" t="str">
            <v>엔젤러스</v>
          </cell>
          <cell r="H272" t="str">
            <v>1-6.4oz페인트</v>
          </cell>
        </row>
        <row r="273">
          <cell r="A273">
            <v>72004166</v>
          </cell>
          <cell r="B273" t="str">
            <v>4온즈-#166-레더페인트-GreyTaupe</v>
          </cell>
          <cell r="C273">
            <v>22000</v>
          </cell>
          <cell r="E273">
            <v>27</v>
          </cell>
          <cell r="F273">
            <v>3105</v>
          </cell>
          <cell r="G273" t="str">
            <v>엔젤러스</v>
          </cell>
          <cell r="H273" t="str">
            <v>1-6.4oz페인트</v>
          </cell>
        </row>
        <row r="274">
          <cell r="A274">
            <v>72004167</v>
          </cell>
          <cell r="B274" t="str">
            <v>4온즈-#167-레더페인트-Taupe</v>
          </cell>
          <cell r="C274">
            <v>22000</v>
          </cell>
          <cell r="E274">
            <v>27</v>
          </cell>
          <cell r="F274">
            <v>3105</v>
          </cell>
          <cell r="G274" t="str">
            <v>엔젤러스</v>
          </cell>
          <cell r="H274" t="str">
            <v>1-6.4oz페인트</v>
          </cell>
        </row>
        <row r="275">
          <cell r="A275">
            <v>72004168</v>
          </cell>
          <cell r="B275" t="str">
            <v>4온즈-#168-레더페인트-DarkTaupe</v>
          </cell>
          <cell r="C275">
            <v>22000</v>
          </cell>
          <cell r="E275">
            <v>27</v>
          </cell>
          <cell r="F275">
            <v>3105</v>
          </cell>
          <cell r="G275" t="str">
            <v>엔젤러스</v>
          </cell>
          <cell r="H275" t="str">
            <v>1-6.4oz페인트</v>
          </cell>
        </row>
        <row r="276">
          <cell r="A276">
            <v>72004169</v>
          </cell>
          <cell r="B276" t="str">
            <v>4온즈-#169-레더페인트-Mauve</v>
          </cell>
          <cell r="C276">
            <v>22000</v>
          </cell>
          <cell r="E276">
            <v>27</v>
          </cell>
          <cell r="F276">
            <v>3105</v>
          </cell>
          <cell r="G276" t="str">
            <v>엔젤러스</v>
          </cell>
          <cell r="H276" t="str">
            <v>1-6.4oz페인트</v>
          </cell>
        </row>
        <row r="277">
          <cell r="A277">
            <v>72004170</v>
          </cell>
          <cell r="B277" t="str">
            <v>4온즈-#170-레더페인트-Avocado</v>
          </cell>
          <cell r="C277">
            <v>22000</v>
          </cell>
          <cell r="E277">
            <v>27</v>
          </cell>
          <cell r="F277">
            <v>3105</v>
          </cell>
          <cell r="G277" t="str">
            <v>엔젤러스</v>
          </cell>
          <cell r="H277" t="str">
            <v>1-6.4oz페인트</v>
          </cell>
        </row>
        <row r="278">
          <cell r="A278">
            <v>72004171</v>
          </cell>
          <cell r="B278" t="str">
            <v>4온즈-#171-레더페인트-DarkGreen</v>
          </cell>
          <cell r="C278">
            <v>22000</v>
          </cell>
          <cell r="E278">
            <v>27</v>
          </cell>
          <cell r="F278">
            <v>3105</v>
          </cell>
          <cell r="G278" t="str">
            <v>엔젤러스</v>
          </cell>
          <cell r="H278" t="str">
            <v>1-6.4oz페인트</v>
          </cell>
        </row>
        <row r="279">
          <cell r="A279">
            <v>72004172</v>
          </cell>
          <cell r="B279" t="str">
            <v>4온즈-#172-레더페인트-Light Green</v>
          </cell>
          <cell r="C279">
            <v>22000</v>
          </cell>
          <cell r="E279">
            <v>27</v>
          </cell>
          <cell r="F279">
            <v>3105</v>
          </cell>
          <cell r="G279" t="str">
            <v>엔젤러스</v>
          </cell>
          <cell r="H279" t="str">
            <v>1-6.4oz페인트</v>
          </cell>
        </row>
        <row r="280">
          <cell r="A280">
            <v>72004174</v>
          </cell>
          <cell r="B280" t="str">
            <v>4온즈-#174-레더페인트-GiftBoxBlue</v>
          </cell>
          <cell r="C280">
            <v>22000</v>
          </cell>
          <cell r="E280">
            <v>27</v>
          </cell>
          <cell r="F280">
            <v>3105</v>
          </cell>
          <cell r="G280" t="str">
            <v>엔젤러스</v>
          </cell>
          <cell r="H280" t="str">
            <v>1-6.4oz페인트</v>
          </cell>
        </row>
        <row r="281">
          <cell r="A281">
            <v>72004175</v>
          </cell>
          <cell r="B281" t="str">
            <v>4온즈-#175-레더페인트-Lylac</v>
          </cell>
          <cell r="C281">
            <v>22000</v>
          </cell>
          <cell r="E281">
            <v>27</v>
          </cell>
          <cell r="F281">
            <v>3105</v>
          </cell>
          <cell r="G281" t="str">
            <v>엔젤러스</v>
          </cell>
          <cell r="H281" t="str">
            <v>1-6.4oz페인트</v>
          </cell>
        </row>
        <row r="282">
          <cell r="A282">
            <v>72004176</v>
          </cell>
          <cell r="B282" t="str">
            <v>4온즈-#176-레더페인트-PaleBlue</v>
          </cell>
          <cell r="C282">
            <v>22000</v>
          </cell>
          <cell r="E282">
            <v>27</v>
          </cell>
          <cell r="F282">
            <v>3105</v>
          </cell>
          <cell r="G282" t="str">
            <v>엔젤러스</v>
          </cell>
          <cell r="H282" t="str">
            <v>1-6.4oz페인트</v>
          </cell>
        </row>
        <row r="283">
          <cell r="A283">
            <v>72004177</v>
          </cell>
          <cell r="B283" t="str">
            <v>4온즈-#177-레더페인트-Sapphire</v>
          </cell>
          <cell r="C283">
            <v>22000</v>
          </cell>
          <cell r="E283">
            <v>27</v>
          </cell>
          <cell r="F283">
            <v>3105</v>
          </cell>
          <cell r="G283" t="str">
            <v>엔젤러스</v>
          </cell>
          <cell r="H283" t="str">
            <v>1-6.4oz페인트</v>
          </cell>
        </row>
        <row r="284">
          <cell r="A284">
            <v>72004178</v>
          </cell>
          <cell r="B284" t="str">
            <v>4온즈-#178-레더페인트-Violet</v>
          </cell>
          <cell r="C284">
            <v>22000</v>
          </cell>
          <cell r="E284">
            <v>27</v>
          </cell>
          <cell r="F284">
            <v>3105</v>
          </cell>
          <cell r="G284" t="str">
            <v>엔젤러스</v>
          </cell>
          <cell r="H284" t="str">
            <v>1-6.4oz페인트</v>
          </cell>
        </row>
        <row r="285">
          <cell r="A285">
            <v>72004179</v>
          </cell>
          <cell r="B285" t="str">
            <v>4온즈-#179-레더페인트-DarkBlue</v>
          </cell>
          <cell r="C285">
            <v>22000</v>
          </cell>
          <cell r="E285">
            <v>27</v>
          </cell>
          <cell r="F285">
            <v>3105</v>
          </cell>
          <cell r="G285" t="str">
            <v>엔젤러스</v>
          </cell>
          <cell r="H285" t="str">
            <v>1-6.4oz페인트</v>
          </cell>
        </row>
        <row r="286">
          <cell r="A286">
            <v>72004180</v>
          </cell>
          <cell r="B286" t="str">
            <v>4온즈-#180-레더페인트-Cognac</v>
          </cell>
          <cell r="C286">
            <v>22000</v>
          </cell>
          <cell r="E286">
            <v>27</v>
          </cell>
          <cell r="F286">
            <v>3105</v>
          </cell>
          <cell r="G286" t="str">
            <v>엔젤러스</v>
          </cell>
          <cell r="H286" t="str">
            <v>1-6.4oz페인트</v>
          </cell>
        </row>
        <row r="287">
          <cell r="A287">
            <v>72004181</v>
          </cell>
          <cell r="B287" t="str">
            <v>4온즈-#181-레더페인트-RichBrown</v>
          </cell>
          <cell r="C287">
            <v>22000</v>
          </cell>
          <cell r="E287">
            <v>27</v>
          </cell>
          <cell r="F287">
            <v>3105</v>
          </cell>
          <cell r="G287" t="str">
            <v>엔젤러스</v>
          </cell>
          <cell r="H287" t="str">
            <v>1-6.4oz페인트</v>
          </cell>
        </row>
        <row r="288">
          <cell r="A288">
            <v>72004182</v>
          </cell>
          <cell r="B288" t="str">
            <v>4온즈-#182-레더페인트-Sand</v>
          </cell>
          <cell r="C288">
            <v>22000</v>
          </cell>
          <cell r="E288">
            <v>27</v>
          </cell>
          <cell r="F288">
            <v>3105</v>
          </cell>
          <cell r="G288" t="str">
            <v>엔젤러스</v>
          </cell>
          <cell r="H288" t="str">
            <v>1-6.4oz페인트</v>
          </cell>
        </row>
        <row r="289">
          <cell r="A289">
            <v>72004183</v>
          </cell>
          <cell r="B289" t="str">
            <v>4온즈-#183-레더페인트-TerraCottaRed</v>
          </cell>
          <cell r="C289">
            <v>22000</v>
          </cell>
          <cell r="E289">
            <v>27</v>
          </cell>
          <cell r="F289">
            <v>3105</v>
          </cell>
          <cell r="G289" t="str">
            <v>엔젤러스</v>
          </cell>
          <cell r="H289" t="str">
            <v>1-6.4oz페인트</v>
          </cell>
        </row>
        <row r="290">
          <cell r="A290">
            <v>72004184</v>
          </cell>
          <cell r="B290" t="str">
            <v>4온즈-#184-레더페인트-AutumnRed</v>
          </cell>
          <cell r="C290">
            <v>22000</v>
          </cell>
          <cell r="E290">
            <v>27</v>
          </cell>
          <cell r="F290">
            <v>3105</v>
          </cell>
          <cell r="G290" t="str">
            <v>엔젤러스</v>
          </cell>
          <cell r="H290" t="str">
            <v>1-6.4oz페인트</v>
          </cell>
        </row>
        <row r="291">
          <cell r="A291">
            <v>72004185</v>
          </cell>
          <cell r="B291" t="str">
            <v>4온즈-#185-레더페인트-FireRed</v>
          </cell>
          <cell r="C291">
            <v>22000</v>
          </cell>
          <cell r="E291">
            <v>27</v>
          </cell>
          <cell r="F291">
            <v>3105</v>
          </cell>
          <cell r="G291" t="str">
            <v>엔젤러스</v>
          </cell>
          <cell r="H291" t="str">
            <v>1-6.4oz페인트</v>
          </cell>
        </row>
        <row r="292">
          <cell r="A292">
            <v>72004186</v>
          </cell>
          <cell r="B292" t="str">
            <v>4온즈-#186-레더페인트-HotPink</v>
          </cell>
          <cell r="C292">
            <v>22000</v>
          </cell>
          <cell r="E292">
            <v>27</v>
          </cell>
          <cell r="F292">
            <v>3105</v>
          </cell>
          <cell r="G292" t="str">
            <v>엔젤러스</v>
          </cell>
          <cell r="H292" t="str">
            <v>1-6.4oz페인트</v>
          </cell>
        </row>
        <row r="293">
          <cell r="A293">
            <v>72004187</v>
          </cell>
          <cell r="B293" t="str">
            <v>4온즈-#187-레더페인트-Magenta</v>
          </cell>
          <cell r="C293">
            <v>22000</v>
          </cell>
          <cell r="E293">
            <v>27</v>
          </cell>
          <cell r="F293">
            <v>3105</v>
          </cell>
          <cell r="G293" t="str">
            <v>엔젤러스</v>
          </cell>
          <cell r="H293" t="str">
            <v>1-6.4oz페인트</v>
          </cell>
        </row>
        <row r="294">
          <cell r="A294">
            <v>72004188</v>
          </cell>
          <cell r="B294" t="str">
            <v>4온즈-#188-레더페인트-Pink</v>
          </cell>
          <cell r="C294">
            <v>22000</v>
          </cell>
          <cell r="E294">
            <v>27</v>
          </cell>
          <cell r="F294">
            <v>3105</v>
          </cell>
          <cell r="G294" t="str">
            <v>엔젤러스</v>
          </cell>
          <cell r="H294" t="str">
            <v>1-6.4oz페인트</v>
          </cell>
        </row>
        <row r="295">
          <cell r="A295">
            <v>72004189</v>
          </cell>
          <cell r="B295" t="str">
            <v>4온즈-#189-레더페인트-Petal Pink</v>
          </cell>
          <cell r="C295">
            <v>22000</v>
          </cell>
          <cell r="E295">
            <v>27</v>
          </cell>
          <cell r="F295">
            <v>3105</v>
          </cell>
          <cell r="G295" t="str">
            <v>엔젤러스</v>
          </cell>
          <cell r="H295" t="str">
            <v>1-6.4oz페인트</v>
          </cell>
        </row>
        <row r="296">
          <cell r="A296">
            <v>72004190</v>
          </cell>
          <cell r="B296" t="str">
            <v>4온즈-#190-레더페인트-ScaletRed</v>
          </cell>
          <cell r="C296">
            <v>22000</v>
          </cell>
          <cell r="E296">
            <v>27</v>
          </cell>
          <cell r="F296">
            <v>3105</v>
          </cell>
          <cell r="G296" t="str">
            <v>엔젤러스</v>
          </cell>
          <cell r="H296" t="str">
            <v>1-6.4oz페인트</v>
          </cell>
        </row>
        <row r="297">
          <cell r="A297">
            <v>72004191</v>
          </cell>
          <cell r="B297" t="str">
            <v>4온즈-#191-레더페인트-Shell Pink</v>
          </cell>
          <cell r="C297">
            <v>22000</v>
          </cell>
          <cell r="E297">
            <v>27</v>
          </cell>
          <cell r="F297">
            <v>3105</v>
          </cell>
          <cell r="G297" t="str">
            <v>엔젤러스</v>
          </cell>
          <cell r="H297" t="str">
            <v>1-6.4oz페인트</v>
          </cell>
        </row>
        <row r="298">
          <cell r="A298">
            <v>72004194</v>
          </cell>
          <cell r="B298" t="str">
            <v>4온즈-#194-레더페인트-Caramel</v>
          </cell>
          <cell r="C298">
            <v>22000</v>
          </cell>
          <cell r="E298">
            <v>27</v>
          </cell>
          <cell r="F298">
            <v>3105</v>
          </cell>
          <cell r="G298" t="str">
            <v>엔젤러스</v>
          </cell>
          <cell r="H298" t="str">
            <v>1-6.4oz페인트</v>
          </cell>
        </row>
        <row r="299">
          <cell r="A299">
            <v>72004196</v>
          </cell>
          <cell r="B299" t="str">
            <v>4온즈-#196-레더페인트-Mustard</v>
          </cell>
          <cell r="C299">
            <v>22000</v>
          </cell>
          <cell r="E299">
            <v>27</v>
          </cell>
          <cell r="F299">
            <v>3105</v>
          </cell>
          <cell r="G299" t="str">
            <v>엔젤러스</v>
          </cell>
          <cell r="H299" t="str">
            <v>1-6.4oz페인트</v>
          </cell>
        </row>
        <row r="300">
          <cell r="A300">
            <v>72004197</v>
          </cell>
          <cell r="B300" t="str">
            <v>4온즈-#197-레더페인트-PaleYellow</v>
          </cell>
          <cell r="C300">
            <v>22000</v>
          </cell>
          <cell r="E300">
            <v>27</v>
          </cell>
          <cell r="F300">
            <v>3105</v>
          </cell>
          <cell r="G300" t="str">
            <v>엔젤러스</v>
          </cell>
          <cell r="H300" t="str">
            <v>1-6.4oz페인트</v>
          </cell>
        </row>
        <row r="301">
          <cell r="A301">
            <v>72004198</v>
          </cell>
          <cell r="B301" t="str">
            <v>4온즈-#198-레더페인트-Buttercup</v>
          </cell>
          <cell r="C301">
            <v>22000</v>
          </cell>
          <cell r="E301">
            <v>27</v>
          </cell>
          <cell r="F301">
            <v>3105</v>
          </cell>
          <cell r="G301" t="str">
            <v>엔젤러스</v>
          </cell>
          <cell r="H301" t="str">
            <v>1-6.4oz페인트</v>
          </cell>
        </row>
        <row r="302">
          <cell r="A302">
            <v>72004260</v>
          </cell>
          <cell r="B302" t="str">
            <v>4온즈-#260-레더페인트-Chili Red</v>
          </cell>
          <cell r="C302">
            <v>22000</v>
          </cell>
          <cell r="E302">
            <v>27</v>
          </cell>
          <cell r="F302">
            <v>3105</v>
          </cell>
          <cell r="G302" t="str">
            <v>엔젤러스</v>
          </cell>
          <cell r="H302" t="str">
            <v>1-6.4oz페인트</v>
          </cell>
        </row>
        <row r="303">
          <cell r="A303">
            <v>72004261</v>
          </cell>
          <cell r="B303" t="str">
            <v>4온즈-#261-레더페인트-South Beach</v>
          </cell>
          <cell r="C303">
            <v>22000</v>
          </cell>
          <cell r="E303">
            <v>27</v>
          </cell>
          <cell r="F303">
            <v>3105</v>
          </cell>
          <cell r="G303" t="str">
            <v>엔젤러스</v>
          </cell>
          <cell r="H303" t="str">
            <v>1-6.4oz페인트</v>
          </cell>
        </row>
        <row r="304">
          <cell r="A304">
            <v>72004262</v>
          </cell>
          <cell r="B304" t="str">
            <v>4온즈-#262-레더페인트-Play in the Sand</v>
          </cell>
          <cell r="C304">
            <v>22000</v>
          </cell>
          <cell r="E304">
            <v>27</v>
          </cell>
          <cell r="F304">
            <v>3105</v>
          </cell>
          <cell r="G304" t="str">
            <v>엔젤러스</v>
          </cell>
          <cell r="H304" t="str">
            <v>1-6.4oz페인트</v>
          </cell>
        </row>
        <row r="305">
          <cell r="A305">
            <v>72004263</v>
          </cell>
          <cell r="B305" t="str">
            <v>4온즈-#263-레더페인트-Grinch Green</v>
          </cell>
          <cell r="C305">
            <v>22000</v>
          </cell>
          <cell r="E305">
            <v>27</v>
          </cell>
          <cell r="F305">
            <v>3105</v>
          </cell>
          <cell r="G305" t="str">
            <v>엔젤러스</v>
          </cell>
          <cell r="H305" t="str">
            <v>1-6.4oz페인트</v>
          </cell>
        </row>
        <row r="306">
          <cell r="A306">
            <v>72004264</v>
          </cell>
          <cell r="B306" t="str">
            <v>4온즈-#264-레더페인트-Putty</v>
          </cell>
          <cell r="C306">
            <v>22000</v>
          </cell>
          <cell r="E306">
            <v>27</v>
          </cell>
          <cell r="F306">
            <v>3105</v>
          </cell>
          <cell r="G306" t="str">
            <v>엔젤러스</v>
          </cell>
          <cell r="H306" t="str">
            <v>1-6.4oz페인트</v>
          </cell>
        </row>
        <row r="307">
          <cell r="A307">
            <v>72004265</v>
          </cell>
          <cell r="B307" t="str">
            <v>4온즈-#265-레더페인트-Tangerine</v>
          </cell>
          <cell r="C307">
            <v>22000</v>
          </cell>
          <cell r="E307">
            <v>27</v>
          </cell>
          <cell r="F307">
            <v>3105</v>
          </cell>
          <cell r="G307" t="str">
            <v>엔젤러스</v>
          </cell>
          <cell r="H307" t="str">
            <v>1-6.4oz페인트</v>
          </cell>
        </row>
        <row r="308">
          <cell r="A308">
            <v>72004266</v>
          </cell>
          <cell r="B308" t="str">
            <v>4온즈-#266-레더페인트-Georgia Peach</v>
          </cell>
          <cell r="C308">
            <v>22000</v>
          </cell>
          <cell r="E308">
            <v>27</v>
          </cell>
          <cell r="F308">
            <v>3105</v>
          </cell>
          <cell r="G308" t="str">
            <v>엔젤러스</v>
          </cell>
          <cell r="H308" t="str">
            <v>1-6.4oz페인트</v>
          </cell>
        </row>
        <row r="309">
          <cell r="A309">
            <v>72004267</v>
          </cell>
          <cell r="B309" t="str">
            <v>4온즈-#267-레더페인트-Salmon</v>
          </cell>
          <cell r="C309">
            <v>22000</v>
          </cell>
          <cell r="E309">
            <v>27</v>
          </cell>
          <cell r="F309">
            <v>3105</v>
          </cell>
          <cell r="G309" t="str">
            <v>엔젤러스</v>
          </cell>
          <cell r="H309" t="str">
            <v>1-6.4oz페인트</v>
          </cell>
        </row>
        <row r="310">
          <cell r="A310">
            <v>72004268</v>
          </cell>
          <cell r="B310" t="str">
            <v>4온즈-#268-레더페인트-Rasberry</v>
          </cell>
          <cell r="C310">
            <v>22000</v>
          </cell>
          <cell r="E310">
            <v>27</v>
          </cell>
          <cell r="F310">
            <v>3105</v>
          </cell>
          <cell r="G310" t="str">
            <v>엔젤러스</v>
          </cell>
          <cell r="H310" t="str">
            <v>1-6.4oz페인트</v>
          </cell>
        </row>
        <row r="311">
          <cell r="A311">
            <v>72004269</v>
          </cell>
          <cell r="B311" t="str">
            <v>4온즈-#269-레더페인트-Mint</v>
          </cell>
          <cell r="C311">
            <v>22000</v>
          </cell>
          <cell r="E311">
            <v>27</v>
          </cell>
          <cell r="F311">
            <v>3105</v>
          </cell>
          <cell r="G311" t="str">
            <v>엔젤러스</v>
          </cell>
          <cell r="H311" t="str">
            <v>1-6.4oz페인트</v>
          </cell>
        </row>
        <row r="312">
          <cell r="A312">
            <v>72004270</v>
          </cell>
          <cell r="B312" t="str">
            <v>4온즈-#270-레더페인트-Vachetta</v>
          </cell>
          <cell r="C312">
            <v>22000</v>
          </cell>
          <cell r="E312">
            <v>27</v>
          </cell>
          <cell r="F312">
            <v>3105</v>
          </cell>
          <cell r="G312" t="str">
            <v>엔젤러스</v>
          </cell>
          <cell r="H312" t="str">
            <v>1-6.4oz페인트</v>
          </cell>
        </row>
        <row r="313">
          <cell r="A313">
            <v>72004272</v>
          </cell>
          <cell r="B313" t="str">
            <v>4온즈-#272-레더페인트-Olive</v>
          </cell>
          <cell r="C313">
            <v>22000</v>
          </cell>
          <cell r="E313">
            <v>27</v>
          </cell>
          <cell r="F313">
            <v>3105</v>
          </cell>
          <cell r="G313" t="str">
            <v>엔젤러스</v>
          </cell>
          <cell r="H313" t="str">
            <v>1-6.4oz페인트</v>
          </cell>
        </row>
        <row r="314">
          <cell r="A314">
            <v>72004273</v>
          </cell>
          <cell r="B314" t="str">
            <v>4온즈-#273-레더페인트-Bowler Brown</v>
          </cell>
          <cell r="C314">
            <v>22000</v>
          </cell>
          <cell r="E314">
            <v>27</v>
          </cell>
          <cell r="F314">
            <v>3105</v>
          </cell>
          <cell r="G314" t="str">
            <v>엔젤러스</v>
          </cell>
          <cell r="H314" t="str">
            <v>1-6.4oz페인트</v>
          </cell>
        </row>
        <row r="315">
          <cell r="A315">
            <v>72004274</v>
          </cell>
          <cell r="B315" t="str">
            <v>4온즈-#274-레더페인트-Luggage Brown</v>
          </cell>
          <cell r="C315">
            <v>22000</v>
          </cell>
          <cell r="E315">
            <v>27</v>
          </cell>
          <cell r="F315">
            <v>3105</v>
          </cell>
          <cell r="G315" t="str">
            <v>엔젤러스</v>
          </cell>
          <cell r="H315" t="str">
            <v>1-6.4oz페인트</v>
          </cell>
        </row>
        <row r="316">
          <cell r="A316">
            <v>72004275</v>
          </cell>
          <cell r="B316" t="str">
            <v>4온즈-#275-레더페인트-Satchel Tan</v>
          </cell>
          <cell r="C316">
            <v>22000</v>
          </cell>
          <cell r="E316">
            <v>27</v>
          </cell>
          <cell r="F316">
            <v>3105</v>
          </cell>
          <cell r="G316" t="str">
            <v>엔젤러스</v>
          </cell>
          <cell r="H316" t="str">
            <v>1-6.4oz페인트</v>
          </cell>
        </row>
        <row r="317">
          <cell r="A317">
            <v>73304451</v>
          </cell>
          <cell r="B317" t="str">
            <v>[펄레슨트]4온즈-#451-Riot Red</v>
          </cell>
          <cell r="C317">
            <v>22000</v>
          </cell>
          <cell r="E317">
            <v>32</v>
          </cell>
          <cell r="F317">
            <v>3679.9999999999995</v>
          </cell>
          <cell r="G317" t="str">
            <v>엔젤러스</v>
          </cell>
          <cell r="H317" t="str">
            <v>1-6.4oz페인트</v>
          </cell>
        </row>
        <row r="318">
          <cell r="A318">
            <v>73304452</v>
          </cell>
          <cell r="B318" t="str">
            <v>[펄레슨트]4온즈-#452-Pacific Blue</v>
          </cell>
          <cell r="C318">
            <v>22000</v>
          </cell>
          <cell r="E318">
            <v>32</v>
          </cell>
          <cell r="F318">
            <v>3679.9999999999995</v>
          </cell>
          <cell r="G318" t="str">
            <v>엔젤러스</v>
          </cell>
          <cell r="H318" t="str">
            <v>1-6.4oz페인트</v>
          </cell>
        </row>
        <row r="319">
          <cell r="A319">
            <v>73304453</v>
          </cell>
          <cell r="B319" t="str">
            <v>[펄레슨트]4온즈-#453-Prince Purple</v>
          </cell>
          <cell r="C319">
            <v>22000</v>
          </cell>
          <cell r="E319">
            <v>32</v>
          </cell>
          <cell r="F319">
            <v>3679.9999999999995</v>
          </cell>
          <cell r="G319" t="str">
            <v>엔젤러스</v>
          </cell>
          <cell r="H319" t="str">
            <v>1-6.4oz페인트</v>
          </cell>
        </row>
        <row r="320">
          <cell r="A320">
            <v>73304454</v>
          </cell>
          <cell r="B320" t="str">
            <v>[펄레슨트]4온즈-#454-Sterling Silver</v>
          </cell>
          <cell r="C320">
            <v>22000</v>
          </cell>
          <cell r="E320">
            <v>32</v>
          </cell>
          <cell r="F320">
            <v>3679.9999999999995</v>
          </cell>
          <cell r="G320" t="str">
            <v>엔젤러스</v>
          </cell>
          <cell r="H320" t="str">
            <v>1-6.4oz페인트</v>
          </cell>
        </row>
        <row r="321">
          <cell r="A321">
            <v>73304455</v>
          </cell>
          <cell r="B321" t="str">
            <v>[펄레슨트]4온즈-#455-18K Gold</v>
          </cell>
          <cell r="C321">
            <v>22000</v>
          </cell>
          <cell r="E321">
            <v>32</v>
          </cell>
          <cell r="F321">
            <v>3679.9999999999995</v>
          </cell>
          <cell r="G321" t="str">
            <v>엔젤러스</v>
          </cell>
          <cell r="H321" t="str">
            <v>1-6.4oz페인트</v>
          </cell>
        </row>
        <row r="322">
          <cell r="A322">
            <v>73304456</v>
          </cell>
          <cell r="B322" t="str">
            <v>[펄레슨트]4온즈-#456-Rose Gold</v>
          </cell>
          <cell r="C322">
            <v>22000</v>
          </cell>
          <cell r="E322">
            <v>32</v>
          </cell>
          <cell r="F322">
            <v>3679.9999999999995</v>
          </cell>
          <cell r="G322" t="str">
            <v>엔젤러스</v>
          </cell>
          <cell r="H322" t="str">
            <v>1-6.4oz페인트</v>
          </cell>
        </row>
        <row r="323">
          <cell r="A323">
            <v>73304457</v>
          </cell>
          <cell r="B323" t="str">
            <v>[펄레슨트]4온즈-#457-Emerald Green</v>
          </cell>
          <cell r="C323">
            <v>22000</v>
          </cell>
          <cell r="E323">
            <v>32</v>
          </cell>
          <cell r="F323">
            <v>3679.9999999999995</v>
          </cell>
          <cell r="G323" t="str">
            <v>엔젤러스</v>
          </cell>
          <cell r="H323" t="str">
            <v>1-6.4oz페인트</v>
          </cell>
        </row>
        <row r="324">
          <cell r="A324">
            <v>72504120</v>
          </cell>
          <cell r="B324" t="str">
            <v>[네온페인트]4온즈-#120-Rio Red</v>
          </cell>
          <cell r="C324">
            <v>22000</v>
          </cell>
          <cell r="E324">
            <v>28</v>
          </cell>
          <cell r="F324">
            <v>3220</v>
          </cell>
          <cell r="G324" t="str">
            <v>엔젤러스</v>
          </cell>
          <cell r="H324" t="str">
            <v>1-6.4oz페인트</v>
          </cell>
        </row>
        <row r="325">
          <cell r="A325">
            <v>72504121</v>
          </cell>
          <cell r="B325" t="str">
            <v>[네온페인트]4온즈-#121-TahitianPink</v>
          </cell>
          <cell r="C325">
            <v>22000</v>
          </cell>
          <cell r="E325">
            <v>28</v>
          </cell>
          <cell r="F325">
            <v>3220</v>
          </cell>
          <cell r="G325" t="str">
            <v>엔젤러스</v>
          </cell>
          <cell r="H325" t="str">
            <v>1-6.4oz페인트</v>
          </cell>
        </row>
        <row r="326">
          <cell r="A326">
            <v>72504122</v>
          </cell>
          <cell r="B326" t="str">
            <v>[네온페인트]4온즈-#122-JamaicanJoyPink</v>
          </cell>
          <cell r="C326">
            <v>22000</v>
          </cell>
          <cell r="E326">
            <v>28</v>
          </cell>
          <cell r="F326">
            <v>3220</v>
          </cell>
          <cell r="G326" t="str">
            <v>엔젤러스</v>
          </cell>
          <cell r="H326" t="str">
            <v>1-6.4oz페인트</v>
          </cell>
        </row>
        <row r="327">
          <cell r="A327">
            <v>72504123</v>
          </cell>
          <cell r="B327" t="str">
            <v>[네온페인트]4온즈-#123-ParisianPink</v>
          </cell>
          <cell r="C327">
            <v>22000</v>
          </cell>
          <cell r="E327">
            <v>28</v>
          </cell>
          <cell r="F327">
            <v>3220</v>
          </cell>
          <cell r="G327" t="str">
            <v>엔젤러스</v>
          </cell>
          <cell r="H327" t="str">
            <v>1-6.4oz페인트</v>
          </cell>
        </row>
        <row r="328">
          <cell r="A328">
            <v>72504124</v>
          </cell>
          <cell r="B328" t="str">
            <v>[네온페인트]4온즈-#124-ParadisePurple</v>
          </cell>
          <cell r="C328">
            <v>22000</v>
          </cell>
          <cell r="E328">
            <v>28</v>
          </cell>
          <cell r="F328">
            <v>3220</v>
          </cell>
          <cell r="G328" t="str">
            <v>엔젤러스</v>
          </cell>
          <cell r="H328" t="str">
            <v>1-6.4oz페인트</v>
          </cell>
        </row>
        <row r="329">
          <cell r="A329">
            <v>72504125</v>
          </cell>
          <cell r="B329" t="str">
            <v>[네온페인트]4온즈-#125-AmazonGreen</v>
          </cell>
          <cell r="C329">
            <v>22000</v>
          </cell>
          <cell r="E329">
            <v>28</v>
          </cell>
          <cell r="F329">
            <v>3220</v>
          </cell>
          <cell r="G329" t="str">
            <v>엔젤러스</v>
          </cell>
          <cell r="H329" t="str">
            <v>1-6.4oz페인트</v>
          </cell>
        </row>
        <row r="330">
          <cell r="A330">
            <v>72504126</v>
          </cell>
          <cell r="B330" t="str">
            <v>[네온페인트]4온즈-#126-PlposicleGreen</v>
          </cell>
          <cell r="C330">
            <v>22000</v>
          </cell>
          <cell r="E330">
            <v>28</v>
          </cell>
          <cell r="F330">
            <v>3220</v>
          </cell>
          <cell r="G330" t="str">
            <v>엔젤러스</v>
          </cell>
          <cell r="H330" t="str">
            <v>1-6.4oz페인트</v>
          </cell>
        </row>
        <row r="331">
          <cell r="A331">
            <v>72504127</v>
          </cell>
          <cell r="B331" t="str">
            <v>[네온페인트]4온즈-#127-TropicSunYellow</v>
          </cell>
          <cell r="C331">
            <v>22000</v>
          </cell>
          <cell r="E331">
            <v>28</v>
          </cell>
          <cell r="F331">
            <v>3220</v>
          </cell>
          <cell r="G331" t="str">
            <v>엔젤러스</v>
          </cell>
          <cell r="H331" t="str">
            <v>1-6.4oz페인트</v>
          </cell>
        </row>
        <row r="332">
          <cell r="A332">
            <v>72504128</v>
          </cell>
          <cell r="B332" t="str">
            <v>[네온페인트]4온즈-#128-SunsetYellow</v>
          </cell>
          <cell r="C332">
            <v>22000</v>
          </cell>
          <cell r="E332">
            <v>28</v>
          </cell>
          <cell r="F332">
            <v>3220</v>
          </cell>
          <cell r="G332" t="str">
            <v>엔젤러스</v>
          </cell>
          <cell r="H332" t="str">
            <v>1-6.4oz페인트</v>
          </cell>
        </row>
        <row r="333">
          <cell r="A333">
            <v>72504129</v>
          </cell>
          <cell r="B333" t="str">
            <v>[네온페인트]4온즈-#129-FlamingOrange</v>
          </cell>
          <cell r="C333">
            <v>22000</v>
          </cell>
          <cell r="E333">
            <v>28</v>
          </cell>
          <cell r="F333">
            <v>3220</v>
          </cell>
          <cell r="G333" t="str">
            <v>엔젤러스</v>
          </cell>
          <cell r="H333" t="str">
            <v>1-6.4oz페인트</v>
          </cell>
        </row>
        <row r="334">
          <cell r="A334">
            <v>72504130</v>
          </cell>
          <cell r="B334" t="str">
            <v>[네온페인트]4온즈-#130-LavaOrange</v>
          </cell>
          <cell r="C334">
            <v>22000</v>
          </cell>
          <cell r="E334">
            <v>28</v>
          </cell>
          <cell r="F334">
            <v>3220</v>
          </cell>
          <cell r="G334" t="str">
            <v>엔젤러스</v>
          </cell>
          <cell r="H334" t="str">
            <v>1-6.4oz페인트</v>
          </cell>
        </row>
        <row r="335">
          <cell r="A335">
            <v>72504131</v>
          </cell>
          <cell r="B335" t="str">
            <v>[네온페인트]4온즈-#131-BahamaBlue</v>
          </cell>
          <cell r="C335">
            <v>22000</v>
          </cell>
          <cell r="E335">
            <v>28</v>
          </cell>
          <cell r="F335">
            <v>3220</v>
          </cell>
          <cell r="G335" t="str">
            <v>엔젤러스</v>
          </cell>
          <cell r="H335" t="str">
            <v>1-6.4oz페인트</v>
          </cell>
        </row>
        <row r="337">
          <cell r="A337" t="str">
            <v>79912PKBASICSKIT</v>
          </cell>
          <cell r="B337" t="str">
            <v>베이직 키트</v>
          </cell>
          <cell r="C337">
            <v>55000</v>
          </cell>
          <cell r="E337">
            <v>145.19999999999999</v>
          </cell>
          <cell r="F337">
            <v>16698</v>
          </cell>
          <cell r="G337" t="str">
            <v>엔젤러스</v>
          </cell>
          <cell r="H337" t="str">
            <v>16.기타</v>
          </cell>
        </row>
        <row r="338">
          <cell r="A338">
            <v>82004000</v>
          </cell>
          <cell r="B338" t="str">
            <v>디글레이저 4온즈</v>
          </cell>
          <cell r="C338">
            <v>9000</v>
          </cell>
          <cell r="D338" t="str">
            <v>086366820049</v>
          </cell>
          <cell r="E338">
            <v>20</v>
          </cell>
          <cell r="F338">
            <v>2300</v>
          </cell>
          <cell r="G338" t="str">
            <v>엔젤러스</v>
          </cell>
          <cell r="H338" t="str">
            <v>3-1.디글레이저</v>
          </cell>
        </row>
        <row r="339">
          <cell r="A339" t="str">
            <v>820PT000</v>
          </cell>
          <cell r="B339" t="str">
            <v>디글레이저 파인트</v>
          </cell>
          <cell r="C339">
            <v>18000</v>
          </cell>
          <cell r="E339">
            <v>5.7</v>
          </cell>
          <cell r="F339">
            <v>7866</v>
          </cell>
          <cell r="G339" t="str">
            <v>엔젤러스</v>
          </cell>
          <cell r="H339" t="str">
            <v>3-1.디글레이저</v>
          </cell>
        </row>
        <row r="341">
          <cell r="A341">
            <v>60004000</v>
          </cell>
          <cell r="B341" t="str">
            <v>피니셔#600 아크릴피니셔</v>
          </cell>
          <cell r="C341">
            <v>9800</v>
          </cell>
          <cell r="D341" t="str">
            <v>086366600047</v>
          </cell>
          <cell r="E341">
            <v>22.2</v>
          </cell>
          <cell r="F341">
            <v>2553</v>
          </cell>
          <cell r="G341" t="str">
            <v>엔젤러스</v>
          </cell>
          <cell r="H341" t="str">
            <v>3-2.피니셔 4oz</v>
          </cell>
        </row>
        <row r="342">
          <cell r="A342">
            <v>61504000</v>
          </cell>
          <cell r="B342" t="str">
            <v>피니셔#615 새틴아크릴피니셔 하이글로스</v>
          </cell>
          <cell r="C342">
            <v>9800</v>
          </cell>
          <cell r="D342" t="str">
            <v>086366615041</v>
          </cell>
          <cell r="E342">
            <v>22.2</v>
          </cell>
          <cell r="F342">
            <v>2553</v>
          </cell>
          <cell r="G342" t="str">
            <v>엔젤러스</v>
          </cell>
          <cell r="H342" t="str">
            <v>3-2.피니셔 4oz</v>
          </cell>
        </row>
        <row r="343">
          <cell r="A343">
            <v>61004000</v>
          </cell>
          <cell r="B343" t="str">
            <v>피니셔#610 아크릴피니셔 하이글로스</v>
          </cell>
          <cell r="C343">
            <v>9800</v>
          </cell>
          <cell r="D343" t="str">
            <v>086366610046</v>
          </cell>
          <cell r="E343">
            <v>22.2</v>
          </cell>
          <cell r="F343">
            <v>2553</v>
          </cell>
          <cell r="G343" t="str">
            <v>엔젤러스</v>
          </cell>
          <cell r="H343" t="str">
            <v>3-2.피니셔 4oz</v>
          </cell>
        </row>
        <row r="344">
          <cell r="A344">
            <v>60504000</v>
          </cell>
          <cell r="B344" t="str">
            <v>피니셔#605 새틴아크릴피니셔</v>
          </cell>
          <cell r="C344">
            <v>9800</v>
          </cell>
          <cell r="D344" t="str">
            <v>086366605042</v>
          </cell>
          <cell r="E344">
            <v>22.2</v>
          </cell>
          <cell r="F344">
            <v>2553</v>
          </cell>
          <cell r="G344" t="str">
            <v>엔젤러스</v>
          </cell>
          <cell r="H344" t="str">
            <v>3-2.피니셔 4oz</v>
          </cell>
        </row>
        <row r="345">
          <cell r="A345">
            <v>62004000</v>
          </cell>
          <cell r="B345" t="str">
            <v>피니셔#620 매트아크릴피니셔</v>
          </cell>
          <cell r="C345">
            <v>9800</v>
          </cell>
          <cell r="D345" t="str">
            <v>086366620045</v>
          </cell>
          <cell r="E345">
            <v>22.2</v>
          </cell>
          <cell r="F345">
            <v>2553</v>
          </cell>
          <cell r="G345" t="str">
            <v>엔젤러스</v>
          </cell>
          <cell r="H345" t="str">
            <v>3-2.피니셔 4oz</v>
          </cell>
        </row>
        <row r="347">
          <cell r="A347">
            <v>60001000</v>
          </cell>
          <cell r="B347" t="str">
            <v>피니셔1온즈#600 아크릴피니셔</v>
          </cell>
          <cell r="C347">
            <v>5800</v>
          </cell>
          <cell r="E347">
            <v>13.32</v>
          </cell>
          <cell r="F347">
            <v>1531.8</v>
          </cell>
          <cell r="G347" t="str">
            <v>엔젤러스</v>
          </cell>
          <cell r="H347" t="str">
            <v>3-3.피니셔 1oz</v>
          </cell>
        </row>
        <row r="348">
          <cell r="A348">
            <v>61501000</v>
          </cell>
          <cell r="B348" t="str">
            <v>피니셔1온즈#615 새틴아크릴피니셔 하이글로스</v>
          </cell>
          <cell r="C348">
            <v>5800</v>
          </cell>
          <cell r="E348">
            <v>13.32</v>
          </cell>
          <cell r="F348">
            <v>1531.8</v>
          </cell>
          <cell r="G348" t="str">
            <v>엔젤러스</v>
          </cell>
          <cell r="H348" t="str">
            <v>3-3.피니셔 1oz</v>
          </cell>
        </row>
        <row r="349">
          <cell r="A349">
            <v>61001000</v>
          </cell>
          <cell r="B349" t="str">
            <v>피니셔1온즈#610 아크릴피니셔 하이글로스</v>
          </cell>
          <cell r="C349">
            <v>5800</v>
          </cell>
          <cell r="E349">
            <v>13.32</v>
          </cell>
          <cell r="F349">
            <v>1531.8</v>
          </cell>
          <cell r="G349" t="str">
            <v>엔젤러스</v>
          </cell>
          <cell r="H349" t="str">
            <v>3-3.피니셔 1oz</v>
          </cell>
        </row>
        <row r="350">
          <cell r="A350">
            <v>60501000</v>
          </cell>
          <cell r="B350" t="str">
            <v>피니셔1온즈#605 새틴아크릴피니셔</v>
          </cell>
          <cell r="C350">
            <v>5800</v>
          </cell>
          <cell r="E350">
            <v>13.32</v>
          </cell>
          <cell r="F350">
            <v>1531.8</v>
          </cell>
          <cell r="G350" t="str">
            <v>엔젤러스</v>
          </cell>
          <cell r="H350" t="str">
            <v>3-3.피니셔 1oz</v>
          </cell>
        </row>
        <row r="351">
          <cell r="A351">
            <v>62001000</v>
          </cell>
          <cell r="B351" t="str">
            <v>피니셔1온즈#620 매트아크릴피니셔</v>
          </cell>
          <cell r="C351">
            <v>5800</v>
          </cell>
          <cell r="E351">
            <v>13.32</v>
          </cell>
          <cell r="F351">
            <v>1531.8</v>
          </cell>
          <cell r="G351" t="str">
            <v>엔젤러스</v>
          </cell>
          <cell r="H351" t="str">
            <v>3-3.피니셔 1oz</v>
          </cell>
        </row>
        <row r="353">
          <cell r="A353" t="str">
            <v>720QT050</v>
          </cell>
          <cell r="B353" t="str">
            <v>#150-Acrylic Leather Paint SILVER  갤런</v>
          </cell>
          <cell r="C353">
            <v>36000</v>
          </cell>
          <cell r="E353">
            <v>37.5</v>
          </cell>
          <cell r="F353">
            <v>51750</v>
          </cell>
          <cell r="G353" t="str">
            <v>엔젤러스</v>
          </cell>
          <cell r="H353" t="str">
            <v>1-7.갤런 페인트</v>
          </cell>
        </row>
        <row r="354">
          <cell r="A354" t="str">
            <v>720GL196</v>
          </cell>
          <cell r="B354" t="str">
            <v>#196-Acrylic Leather Paint Mustard  갤런</v>
          </cell>
          <cell r="C354">
            <v>110000</v>
          </cell>
          <cell r="E354">
            <v>37.5</v>
          </cell>
          <cell r="F354">
            <v>51750</v>
          </cell>
          <cell r="G354" t="str">
            <v>엔젤러스</v>
          </cell>
          <cell r="H354" t="str">
            <v>1-7.갤런 페인트</v>
          </cell>
        </row>
        <row r="355">
          <cell r="A355" t="str">
            <v>720GL005</v>
          </cell>
          <cell r="B355" t="str">
            <v>#005-레더페인트-White 갤런</v>
          </cell>
          <cell r="C355">
            <v>110000</v>
          </cell>
          <cell r="E355">
            <v>37.5</v>
          </cell>
          <cell r="F355">
            <v>51750</v>
          </cell>
          <cell r="G355" t="str">
            <v>엔젤러스</v>
          </cell>
          <cell r="H355" t="str">
            <v>1-7.갤런 페인트</v>
          </cell>
        </row>
        <row r="356">
          <cell r="A356" t="str">
            <v>725QT120</v>
          </cell>
          <cell r="B356" t="str">
            <v>네온페인트-#120-Rio Red 쿼터</v>
          </cell>
          <cell r="C356">
            <v>36000</v>
          </cell>
          <cell r="E356">
            <v>12.6</v>
          </cell>
          <cell r="F356">
            <v>17388</v>
          </cell>
          <cell r="G356" t="str">
            <v>엔젤러스</v>
          </cell>
          <cell r="H356" t="str">
            <v>1-6.파인트 페인트</v>
          </cell>
        </row>
        <row r="357">
          <cell r="A357" t="str">
            <v>725QT121</v>
          </cell>
          <cell r="B357" t="str">
            <v>네온페인트-#121-TahitianPink 쿼터</v>
          </cell>
          <cell r="C357">
            <v>36000</v>
          </cell>
          <cell r="E357">
            <v>12.6</v>
          </cell>
          <cell r="F357">
            <v>17388</v>
          </cell>
          <cell r="G357" t="str">
            <v>엔젤러스</v>
          </cell>
          <cell r="H357" t="str">
            <v>1-6.파인트 페인트</v>
          </cell>
        </row>
        <row r="358">
          <cell r="A358" t="str">
            <v>725QT122</v>
          </cell>
          <cell r="B358" t="str">
            <v>네온페인트-#122-JamaicanJoyPink 쿼터</v>
          </cell>
          <cell r="C358">
            <v>36000</v>
          </cell>
          <cell r="E358">
            <v>12.6</v>
          </cell>
          <cell r="F358">
            <v>17388</v>
          </cell>
          <cell r="G358" t="str">
            <v>엔젤러스</v>
          </cell>
          <cell r="H358" t="str">
            <v>1-6.파인트 페인트</v>
          </cell>
        </row>
        <row r="359">
          <cell r="A359" t="str">
            <v>725QT123</v>
          </cell>
          <cell r="B359" t="str">
            <v>네온페인트-#123-ParisianPink 쿼터</v>
          </cell>
          <cell r="C359">
            <v>36000</v>
          </cell>
          <cell r="E359">
            <v>12.6</v>
          </cell>
          <cell r="F359">
            <v>17388</v>
          </cell>
          <cell r="G359" t="str">
            <v>엔젤러스</v>
          </cell>
          <cell r="H359" t="str">
            <v>1-6.파인트 페인트</v>
          </cell>
        </row>
        <row r="360">
          <cell r="A360" t="str">
            <v>725QT124</v>
          </cell>
          <cell r="B360" t="str">
            <v>네온페인트-#124-ParadisePurple 쿼터</v>
          </cell>
          <cell r="C360">
            <v>36000</v>
          </cell>
          <cell r="E360">
            <v>12.6</v>
          </cell>
          <cell r="F360">
            <v>17388</v>
          </cell>
          <cell r="G360" t="str">
            <v>엔젤러스</v>
          </cell>
          <cell r="H360" t="str">
            <v>1-6.파인트 페인트</v>
          </cell>
        </row>
        <row r="361">
          <cell r="A361" t="str">
            <v>725QT125</v>
          </cell>
          <cell r="B361" t="str">
            <v>네온페인트-#125-AmazonGreen 쿼터</v>
          </cell>
          <cell r="C361">
            <v>36000</v>
          </cell>
          <cell r="E361">
            <v>12.6</v>
          </cell>
          <cell r="F361">
            <v>17388</v>
          </cell>
          <cell r="G361" t="str">
            <v>엔젤러스</v>
          </cell>
          <cell r="H361" t="str">
            <v>1-6.파인트 페인트</v>
          </cell>
        </row>
        <row r="362">
          <cell r="A362" t="str">
            <v>725QT126</v>
          </cell>
          <cell r="B362" t="str">
            <v>네온페인트-#126-PlposicleGreen 쿼터</v>
          </cell>
          <cell r="C362">
            <v>36000</v>
          </cell>
          <cell r="E362">
            <v>12.6</v>
          </cell>
          <cell r="F362">
            <v>17388</v>
          </cell>
          <cell r="G362" t="str">
            <v>엔젤러스</v>
          </cell>
          <cell r="H362" t="str">
            <v>1-6.파인트 페인트</v>
          </cell>
        </row>
        <row r="363">
          <cell r="A363" t="str">
            <v>725QT127</v>
          </cell>
          <cell r="B363" t="str">
            <v>네온페인트-#127-TropicSunYellow 쿼터</v>
          </cell>
          <cell r="C363">
            <v>36000</v>
          </cell>
          <cell r="E363">
            <v>12.6</v>
          </cell>
          <cell r="F363">
            <v>17388</v>
          </cell>
          <cell r="G363" t="str">
            <v>엔젤러스</v>
          </cell>
          <cell r="H363" t="str">
            <v>1-6.파인트 페인트</v>
          </cell>
        </row>
        <row r="364">
          <cell r="A364" t="str">
            <v>725QT128</v>
          </cell>
          <cell r="B364" t="str">
            <v>네온페인트-#128-SunsetYellow 쿼터</v>
          </cell>
          <cell r="C364">
            <v>36000</v>
          </cell>
          <cell r="E364">
            <v>12.6</v>
          </cell>
          <cell r="F364">
            <v>17388</v>
          </cell>
          <cell r="G364" t="str">
            <v>엔젤러스</v>
          </cell>
          <cell r="H364" t="str">
            <v>1-6.파인트 페인트</v>
          </cell>
        </row>
        <row r="365">
          <cell r="A365" t="str">
            <v>725QT129</v>
          </cell>
          <cell r="B365" t="str">
            <v>네온페인트-#129-FlamingOrange 쿼터</v>
          </cell>
          <cell r="C365">
            <v>36000</v>
          </cell>
          <cell r="E365">
            <v>12.6</v>
          </cell>
          <cell r="F365">
            <v>17388</v>
          </cell>
          <cell r="G365" t="str">
            <v>엔젤러스</v>
          </cell>
          <cell r="H365" t="str">
            <v>1-6.파인트 페인트</v>
          </cell>
        </row>
        <row r="366">
          <cell r="A366" t="str">
            <v>725QT130</v>
          </cell>
          <cell r="B366" t="str">
            <v>네온페인트-#130-LavaOrange 쿼터</v>
          </cell>
          <cell r="C366">
            <v>36000</v>
          </cell>
          <cell r="E366">
            <v>12.6</v>
          </cell>
          <cell r="F366">
            <v>17388</v>
          </cell>
          <cell r="G366" t="str">
            <v>엔젤러스</v>
          </cell>
          <cell r="H366" t="str">
            <v>1-6.파인트 페인트</v>
          </cell>
        </row>
        <row r="367">
          <cell r="A367" t="str">
            <v>725QT131</v>
          </cell>
          <cell r="B367" t="str">
            <v>네온페인트-#131-BahamaBlue 쿼터</v>
          </cell>
          <cell r="C367">
            <v>36000</v>
          </cell>
          <cell r="E367">
            <v>12.6</v>
          </cell>
          <cell r="F367">
            <v>17388</v>
          </cell>
          <cell r="G367" t="str">
            <v>엔젤러스</v>
          </cell>
          <cell r="H367" t="str">
            <v>1-6.파인트 페인트</v>
          </cell>
        </row>
        <row r="368">
          <cell r="A368" t="str">
            <v>720QT150</v>
          </cell>
          <cell r="B368" t="str">
            <v>#150-레더페인트-Silver 화이트</v>
          </cell>
          <cell r="C368">
            <v>36000</v>
          </cell>
          <cell r="E368">
            <v>12.6</v>
          </cell>
          <cell r="F368">
            <v>17388</v>
          </cell>
          <cell r="G368" t="str">
            <v>엔젤러스</v>
          </cell>
          <cell r="H368" t="str">
            <v>1-6.파인트 페인트</v>
          </cell>
        </row>
        <row r="369">
          <cell r="A369">
            <v>84008000</v>
          </cell>
          <cell r="B369" t="str">
            <v>이지클리너 8온즈</v>
          </cell>
          <cell r="C369">
            <v>12000</v>
          </cell>
          <cell r="D369" t="str">
            <v>086366840009</v>
          </cell>
          <cell r="E369">
            <v>19.2</v>
          </cell>
          <cell r="F369">
            <v>2207.9999999999995</v>
          </cell>
          <cell r="G369" t="str">
            <v>엔젤러스</v>
          </cell>
          <cell r="H369" t="str">
            <v>4-1.클리너</v>
          </cell>
        </row>
        <row r="370">
          <cell r="A370" t="str">
            <v>84008KIT</v>
          </cell>
          <cell r="B370" t="str">
            <v>이지클리너 키트</v>
          </cell>
          <cell r="C370">
            <v>22000</v>
          </cell>
          <cell r="D370" t="str">
            <v>086366840986</v>
          </cell>
          <cell r="E370">
            <v>5</v>
          </cell>
          <cell r="F370">
            <v>6900</v>
          </cell>
          <cell r="G370" t="str">
            <v>엔젤러스</v>
          </cell>
          <cell r="H370" t="str">
            <v>4-1.클리너</v>
          </cell>
        </row>
        <row r="371">
          <cell r="A371" t="str">
            <v>845WS000</v>
          </cell>
          <cell r="B371" t="str">
            <v>올퍼포스 클리너</v>
          </cell>
          <cell r="C371">
            <v>12000</v>
          </cell>
          <cell r="D371" t="str">
            <v>086366845059</v>
          </cell>
          <cell r="E371">
            <v>26</v>
          </cell>
          <cell r="F371">
            <v>2989.9999999999995</v>
          </cell>
          <cell r="G371" t="str">
            <v>엔젤러스</v>
          </cell>
          <cell r="H371" t="str">
            <v>4-1.클리너</v>
          </cell>
        </row>
        <row r="372">
          <cell r="A372">
            <v>81003000</v>
          </cell>
          <cell r="B372" t="str">
            <v>슈샴푸</v>
          </cell>
          <cell r="C372">
            <v>10000</v>
          </cell>
          <cell r="E372">
            <v>16.2</v>
          </cell>
          <cell r="F372">
            <v>1862.9999999999995</v>
          </cell>
          <cell r="G372" t="str">
            <v>엔젤러스</v>
          </cell>
          <cell r="H372" t="str">
            <v>4-1.클리너</v>
          </cell>
        </row>
        <row r="373">
          <cell r="A373">
            <v>81508000</v>
          </cell>
          <cell r="B373" t="str">
            <v>블로폼 클리너</v>
          </cell>
          <cell r="C373">
            <v>10000</v>
          </cell>
          <cell r="E373">
            <v>12.6</v>
          </cell>
          <cell r="F373">
            <v>1449</v>
          </cell>
          <cell r="G373" t="str">
            <v>엔젤러스</v>
          </cell>
          <cell r="H373" t="str">
            <v>4-1.클리너</v>
          </cell>
        </row>
        <row r="374">
          <cell r="A374">
            <v>81706000</v>
          </cell>
          <cell r="B374" t="str">
            <v>폼파우더 클리너</v>
          </cell>
          <cell r="C374">
            <v>10000</v>
          </cell>
          <cell r="E374">
            <v>33</v>
          </cell>
          <cell r="F374">
            <v>3795</v>
          </cell>
          <cell r="G374" t="str">
            <v>엔젤러스</v>
          </cell>
          <cell r="H374" t="str">
            <v>4-1.클리너</v>
          </cell>
        </row>
        <row r="375">
          <cell r="A375">
            <v>85304000</v>
          </cell>
          <cell r="B375" t="str">
            <v>디설터</v>
          </cell>
          <cell r="C375">
            <v>10000</v>
          </cell>
          <cell r="E375">
            <v>16.8</v>
          </cell>
          <cell r="F375">
            <v>1932.0000000000002</v>
          </cell>
          <cell r="G375" t="str">
            <v>엔젤러스</v>
          </cell>
          <cell r="H375" t="str">
            <v>4-1.클리너</v>
          </cell>
        </row>
        <row r="376">
          <cell r="A376">
            <v>81103000</v>
          </cell>
          <cell r="B376" t="str">
            <v>이지젤클리너</v>
          </cell>
          <cell r="C376">
            <v>10000</v>
          </cell>
          <cell r="E376">
            <v>16.8</v>
          </cell>
          <cell r="F376">
            <v>1932.0000000000002</v>
          </cell>
          <cell r="G376" t="str">
            <v>엔젤러스</v>
          </cell>
          <cell r="H376" t="str">
            <v>4-1.클리너</v>
          </cell>
        </row>
        <row r="377">
          <cell r="A377">
            <v>86104000</v>
          </cell>
          <cell r="B377" t="str">
            <v>레더다이 리듀서</v>
          </cell>
          <cell r="C377">
            <v>10000</v>
          </cell>
          <cell r="E377">
            <v>16</v>
          </cell>
          <cell r="F377">
            <v>1839.9999999999998</v>
          </cell>
          <cell r="G377" t="str">
            <v>엔젤러스</v>
          </cell>
          <cell r="H377" t="str">
            <v>4-1.클리너</v>
          </cell>
        </row>
        <row r="378">
          <cell r="A378" t="str">
            <v>8404P000</v>
          </cell>
          <cell r="B378" t="str">
            <v>Easy Cleaner 4oz</v>
          </cell>
          <cell r="C378">
            <v>7000</v>
          </cell>
          <cell r="G378" t="str">
            <v>엔젤러스</v>
          </cell>
          <cell r="H378" t="str">
            <v>4-1.클리너</v>
          </cell>
        </row>
        <row r="379">
          <cell r="A379">
            <v>84205000</v>
          </cell>
          <cell r="B379" t="str">
            <v>폼텍스 클리너 5온즈</v>
          </cell>
          <cell r="C379">
            <v>10000</v>
          </cell>
          <cell r="D379" t="str">
            <v>086366842058</v>
          </cell>
          <cell r="E379">
            <v>13.2</v>
          </cell>
          <cell r="F379">
            <v>1517.9999999999998</v>
          </cell>
          <cell r="G379" t="str">
            <v>엔젤러스</v>
          </cell>
          <cell r="H379" t="str">
            <v>4-1.클리너</v>
          </cell>
        </row>
        <row r="380">
          <cell r="A380" t="str">
            <v>84205KIT</v>
          </cell>
          <cell r="B380" t="str">
            <v>폼텍스 클리너키트</v>
          </cell>
          <cell r="C380">
            <v>25000</v>
          </cell>
          <cell r="D380" t="str">
            <v>086366842980</v>
          </cell>
          <cell r="E380">
            <v>6.5</v>
          </cell>
          <cell r="F380">
            <v>8970</v>
          </cell>
          <cell r="G380" t="str">
            <v>엔젤러스</v>
          </cell>
          <cell r="H380" t="str">
            <v>4-1.클리너</v>
          </cell>
        </row>
        <row r="382">
          <cell r="A382" t="str">
            <v>851WS000</v>
          </cell>
          <cell r="B382" t="str">
            <v>워터&amp;스테인 리펠런트(방수제)</v>
          </cell>
          <cell r="C382">
            <v>12000</v>
          </cell>
          <cell r="D382" t="str">
            <v>086366851050</v>
          </cell>
          <cell r="E382">
            <v>26</v>
          </cell>
          <cell r="F382">
            <v>2989.9999999999995</v>
          </cell>
          <cell r="G382" t="str">
            <v>엔젤러스</v>
          </cell>
          <cell r="H382" t="str">
            <v>4-1.클리너</v>
          </cell>
        </row>
        <row r="383">
          <cell r="A383">
            <v>85205000</v>
          </cell>
          <cell r="B383" t="str">
            <v>부트스프레이</v>
          </cell>
          <cell r="C383">
            <v>14000</v>
          </cell>
          <cell r="E383">
            <v>28</v>
          </cell>
          <cell r="F383">
            <v>3220</v>
          </cell>
          <cell r="G383" t="str">
            <v>엔젤러스</v>
          </cell>
          <cell r="H383" t="str">
            <v>4-1.클리너</v>
          </cell>
        </row>
        <row r="384">
          <cell r="A384">
            <v>85004000</v>
          </cell>
          <cell r="B384" t="str">
            <v>실리콘워터 리펠런트</v>
          </cell>
          <cell r="C384">
            <v>8000</v>
          </cell>
          <cell r="E384">
            <v>20</v>
          </cell>
          <cell r="F384">
            <v>2300</v>
          </cell>
          <cell r="G384" t="str">
            <v>엔젤러스</v>
          </cell>
          <cell r="H384" t="str">
            <v>4-1.클리너</v>
          </cell>
        </row>
        <row r="385">
          <cell r="A385" t="str">
            <v>8514P000</v>
          </cell>
          <cell r="B385" t="str">
            <v>엔젤러스 액상방수제 펌프형</v>
          </cell>
          <cell r="C385">
            <v>8000</v>
          </cell>
          <cell r="G385" t="str">
            <v>엔젤러스</v>
          </cell>
          <cell r="H385" t="str">
            <v>4-1.클리너</v>
          </cell>
        </row>
        <row r="387">
          <cell r="A387">
            <v>72201000</v>
          </cell>
          <cell r="B387" t="str">
            <v>[희석재]둘러-1온즈</v>
          </cell>
          <cell r="C387">
            <v>7800</v>
          </cell>
          <cell r="D387" t="str">
            <v>086366722107</v>
          </cell>
          <cell r="E387">
            <v>30</v>
          </cell>
          <cell r="F387">
            <v>3450</v>
          </cell>
          <cell r="G387" t="str">
            <v>엔젤러스</v>
          </cell>
          <cell r="H387" t="str">
            <v>1-7-보조재</v>
          </cell>
        </row>
        <row r="388">
          <cell r="A388">
            <v>72204000</v>
          </cell>
          <cell r="B388" t="str">
            <v>[희석재]둘러-4온즈</v>
          </cell>
          <cell r="C388">
            <v>22000</v>
          </cell>
          <cell r="E388">
            <v>54</v>
          </cell>
          <cell r="F388">
            <v>6210</v>
          </cell>
          <cell r="G388" t="str">
            <v>엔젤러스</v>
          </cell>
          <cell r="H388" t="str">
            <v>1-7-보조재</v>
          </cell>
        </row>
        <row r="389">
          <cell r="A389">
            <v>72001000</v>
          </cell>
          <cell r="B389" t="str">
            <v>[희석재]2-Thin</v>
          </cell>
          <cell r="C389">
            <v>7800</v>
          </cell>
          <cell r="D389" t="str">
            <v>086366710005</v>
          </cell>
          <cell r="E389">
            <v>16.2</v>
          </cell>
          <cell r="F389">
            <v>1862.9999999999995</v>
          </cell>
          <cell r="G389" t="str">
            <v>엔젤러스</v>
          </cell>
          <cell r="H389" t="str">
            <v>1-7-보조재</v>
          </cell>
        </row>
        <row r="390">
          <cell r="A390">
            <v>72004000</v>
          </cell>
          <cell r="B390" t="str">
            <v>[희석재]2-Thin 4oz</v>
          </cell>
          <cell r="C390">
            <v>22000</v>
          </cell>
          <cell r="E390">
            <v>27</v>
          </cell>
          <cell r="F390">
            <v>3105</v>
          </cell>
          <cell r="G390" t="str">
            <v>엔젤러스</v>
          </cell>
          <cell r="H390" t="str">
            <v>1-7-보조재</v>
          </cell>
        </row>
        <row r="391">
          <cell r="A391" t="str">
            <v>720PT000</v>
          </cell>
          <cell r="B391" t="str">
            <v>[희석재]2-Thin Pint</v>
          </cell>
          <cell r="C391">
            <v>44000</v>
          </cell>
          <cell r="E391">
            <v>8.1999999999999993</v>
          </cell>
          <cell r="F391">
            <v>11316</v>
          </cell>
          <cell r="G391" t="str">
            <v>엔젤러스</v>
          </cell>
          <cell r="H391" t="str">
            <v>1-7-보조재</v>
          </cell>
        </row>
        <row r="392">
          <cell r="A392" t="str">
            <v>720QT000</v>
          </cell>
          <cell r="B392" t="str">
            <v>[희석재]2-Thin Quart</v>
          </cell>
          <cell r="C392">
            <v>72727.272727272721</v>
          </cell>
          <cell r="E392">
            <v>12.4</v>
          </cell>
          <cell r="F392">
            <v>1426.0000000000002</v>
          </cell>
          <cell r="G392" t="str">
            <v>엔젤러스</v>
          </cell>
          <cell r="H392" t="str">
            <v>1-7-보조재</v>
          </cell>
        </row>
        <row r="393">
          <cell r="A393" t="str">
            <v>72201000soft</v>
          </cell>
          <cell r="B393" t="str">
            <v>[희석재]2-소프트 1온즈</v>
          </cell>
          <cell r="C393">
            <v>7800</v>
          </cell>
          <cell r="D393" t="str">
            <v>086366722145</v>
          </cell>
          <cell r="E393">
            <v>20.399999999999999</v>
          </cell>
          <cell r="F393">
            <v>2346</v>
          </cell>
          <cell r="G393" t="str">
            <v>엔젤러스</v>
          </cell>
          <cell r="H393" t="str">
            <v>1-7-보조재</v>
          </cell>
        </row>
        <row r="394">
          <cell r="A394" t="str">
            <v>72204000soft</v>
          </cell>
          <cell r="B394" t="str">
            <v>[희석재]2-소프트 4온즈</v>
          </cell>
          <cell r="C394">
            <v>22000</v>
          </cell>
          <cell r="D394" t="str">
            <v>086366722152</v>
          </cell>
          <cell r="E394">
            <v>40.799999999999997</v>
          </cell>
          <cell r="F394">
            <v>4692</v>
          </cell>
          <cell r="G394" t="str">
            <v>엔젤러스</v>
          </cell>
          <cell r="H394" t="str">
            <v>1-7-보조재</v>
          </cell>
        </row>
        <row r="395">
          <cell r="A395" t="str">
            <v>72201000hard</v>
          </cell>
          <cell r="B395" t="str">
            <v>[희석재]2-하드 1온즈</v>
          </cell>
          <cell r="C395">
            <v>7800</v>
          </cell>
          <cell r="D395" t="str">
            <v>086366722121</v>
          </cell>
          <cell r="E395">
            <v>20.399999999999999</v>
          </cell>
          <cell r="F395">
            <v>2346</v>
          </cell>
          <cell r="G395" t="str">
            <v>엔젤러스</v>
          </cell>
          <cell r="H395" t="str">
            <v>1-7-보조재</v>
          </cell>
        </row>
        <row r="396">
          <cell r="A396" t="str">
            <v>72204000hard</v>
          </cell>
          <cell r="B396" t="str">
            <v>[희석재]2-하드 4온즈</v>
          </cell>
          <cell r="C396">
            <v>22000</v>
          </cell>
          <cell r="D396" t="str">
            <v>086366722138</v>
          </cell>
          <cell r="E396">
            <v>40.799999999999997</v>
          </cell>
          <cell r="F396">
            <v>4692</v>
          </cell>
          <cell r="G396" t="str">
            <v>엔젤러스</v>
          </cell>
          <cell r="H396" t="str">
            <v>1-7-보조재</v>
          </cell>
        </row>
        <row r="398">
          <cell r="A398" t="str">
            <v>99105MO104</v>
          </cell>
          <cell r="B398" t="str">
            <v>밍크오일 에어로졸</v>
          </cell>
          <cell r="C398">
            <v>12000</v>
          </cell>
          <cell r="D398" t="str">
            <v>086366991046</v>
          </cell>
          <cell r="E398">
            <v>32</v>
          </cell>
          <cell r="F398">
            <v>3679.9999999999995</v>
          </cell>
          <cell r="G398" t="str">
            <v>엔젤러스</v>
          </cell>
          <cell r="H398" t="str">
            <v>5-1.가죽크림</v>
          </cell>
        </row>
        <row r="399">
          <cell r="A399" t="str">
            <v>99103MO107</v>
          </cell>
          <cell r="B399" t="str">
            <v>밍크오일 캔</v>
          </cell>
          <cell r="C399">
            <v>8000</v>
          </cell>
          <cell r="D399" t="str">
            <v>086366991039</v>
          </cell>
          <cell r="E399">
            <v>16.399999999999999</v>
          </cell>
          <cell r="F399">
            <v>1885.9999999999998</v>
          </cell>
          <cell r="G399" t="str">
            <v>엔젤러스</v>
          </cell>
          <cell r="H399" t="str">
            <v>5-1.가죽크림</v>
          </cell>
        </row>
        <row r="400">
          <cell r="A400">
            <v>21004000</v>
          </cell>
          <cell r="B400" t="str">
            <v>레더밤</v>
          </cell>
          <cell r="C400">
            <v>10000</v>
          </cell>
          <cell r="D400" t="str">
            <v>08636621000</v>
          </cell>
          <cell r="E400">
            <v>21</v>
          </cell>
          <cell r="F400">
            <v>2415</v>
          </cell>
          <cell r="G400" t="str">
            <v>엔젤러스</v>
          </cell>
          <cell r="H400" t="str">
            <v>5-1.가죽크림</v>
          </cell>
        </row>
        <row r="401">
          <cell r="A401" t="str">
            <v>99103MO100</v>
          </cell>
          <cell r="B401" t="str">
            <v>밍크오일 캔</v>
          </cell>
          <cell r="C401">
            <v>8000</v>
          </cell>
          <cell r="D401" t="str">
            <v>086366991039</v>
          </cell>
          <cell r="E401">
            <v>16.399999999999999</v>
          </cell>
          <cell r="F401">
            <v>1885.9999999999998</v>
          </cell>
          <cell r="G401" t="str">
            <v>엔젤러스</v>
          </cell>
          <cell r="H401" t="str">
            <v>5-1.가죽크림</v>
          </cell>
        </row>
        <row r="402">
          <cell r="A402">
            <v>30203005</v>
          </cell>
          <cell r="B402" t="str">
            <v>화이트에이스(백화제)</v>
          </cell>
          <cell r="C402">
            <v>10000</v>
          </cell>
          <cell r="D402" t="str">
            <v>086366302057</v>
          </cell>
          <cell r="E402">
            <v>16.8</v>
          </cell>
          <cell r="F402">
            <v>1932.0000000000002</v>
          </cell>
          <cell r="G402" t="str">
            <v>엔젤러스</v>
          </cell>
          <cell r="H402" t="str">
            <v>5-1.가죽크림</v>
          </cell>
        </row>
        <row r="404">
          <cell r="A404">
            <v>31003014</v>
          </cell>
          <cell r="B404" t="str">
            <v>인스턴트 샤인-Brown</v>
          </cell>
          <cell r="C404">
            <v>6000</v>
          </cell>
          <cell r="E404">
            <v>16.8</v>
          </cell>
          <cell r="F404">
            <v>1932.0000000000002</v>
          </cell>
          <cell r="G404" t="str">
            <v>엔젤러스</v>
          </cell>
          <cell r="H404" t="str">
            <v>6-1.기타</v>
          </cell>
        </row>
        <row r="405">
          <cell r="A405">
            <v>31003004</v>
          </cell>
          <cell r="B405" t="str">
            <v>인스턴트 샤인-Neutral</v>
          </cell>
          <cell r="C405">
            <v>6000</v>
          </cell>
          <cell r="E405">
            <v>16.8</v>
          </cell>
          <cell r="F405">
            <v>1932.0000000000002</v>
          </cell>
          <cell r="G405" t="str">
            <v>엔젤러스</v>
          </cell>
          <cell r="H405" t="str">
            <v>6-1.기타</v>
          </cell>
        </row>
        <row r="406">
          <cell r="A406">
            <v>31003064</v>
          </cell>
          <cell r="B406" t="str">
            <v>인스턴트 샤인-Red</v>
          </cell>
          <cell r="C406">
            <v>6000</v>
          </cell>
          <cell r="E406">
            <v>16.8</v>
          </cell>
          <cell r="F406">
            <v>1932.0000000000002</v>
          </cell>
          <cell r="G406" t="str">
            <v>엔젤러스</v>
          </cell>
          <cell r="H406" t="str">
            <v>6-1.기타</v>
          </cell>
        </row>
        <row r="407">
          <cell r="A407">
            <v>31003017</v>
          </cell>
          <cell r="B407" t="str">
            <v>인스턴트 샤인-Cordovan</v>
          </cell>
          <cell r="C407">
            <v>6000</v>
          </cell>
          <cell r="E407">
            <v>16.8</v>
          </cell>
          <cell r="F407">
            <v>1932.0000000000002</v>
          </cell>
          <cell r="G407" t="str">
            <v>엔젤러스</v>
          </cell>
          <cell r="H407" t="str">
            <v>6-1.기타</v>
          </cell>
        </row>
        <row r="408">
          <cell r="A408">
            <v>31003005</v>
          </cell>
          <cell r="B408" t="str">
            <v>인스턴트 샤인-White</v>
          </cell>
          <cell r="C408">
            <v>6000</v>
          </cell>
          <cell r="E408">
            <v>16.8</v>
          </cell>
          <cell r="F408">
            <v>1932.0000000000002</v>
          </cell>
          <cell r="G408" t="str">
            <v>엔젤러스</v>
          </cell>
          <cell r="H408" t="str">
            <v>6-1.기타</v>
          </cell>
        </row>
        <row r="409">
          <cell r="A409">
            <v>31003001</v>
          </cell>
          <cell r="B409" t="str">
            <v>인스턴트 샤인-Black</v>
          </cell>
          <cell r="C409">
            <v>6000</v>
          </cell>
          <cell r="E409">
            <v>16.8</v>
          </cell>
          <cell r="F409">
            <v>1932.0000000000002</v>
          </cell>
          <cell r="G409" t="str">
            <v>엔젤러스</v>
          </cell>
          <cell r="H409" t="str">
            <v>6-1.기타</v>
          </cell>
        </row>
        <row r="410">
          <cell r="A410">
            <v>31003042</v>
          </cell>
          <cell r="B410" t="str">
            <v>인스턴트 샤인-NavyBlue</v>
          </cell>
          <cell r="C410">
            <v>6000</v>
          </cell>
          <cell r="E410">
            <v>16.8</v>
          </cell>
          <cell r="F410">
            <v>1932.0000000000002</v>
          </cell>
          <cell r="G410" t="str">
            <v>엔젤러스</v>
          </cell>
          <cell r="H410" t="str">
            <v>6-1.기타</v>
          </cell>
        </row>
        <row r="412">
          <cell r="A412">
            <v>80204000</v>
          </cell>
          <cell r="B412" t="str">
            <v>스팟리무버</v>
          </cell>
          <cell r="C412">
            <v>10000</v>
          </cell>
          <cell r="E412">
            <v>21.6</v>
          </cell>
          <cell r="F412">
            <v>2484</v>
          </cell>
          <cell r="G412" t="str">
            <v>엔젤러스</v>
          </cell>
          <cell r="H412" t="str">
            <v>6-1.기타</v>
          </cell>
        </row>
        <row r="413">
          <cell r="A413" t="str">
            <v>8704P000</v>
          </cell>
          <cell r="B413" t="str">
            <v>슈스트레치 4온즈</v>
          </cell>
          <cell r="C413">
            <v>10000</v>
          </cell>
          <cell r="E413">
            <v>15</v>
          </cell>
          <cell r="F413">
            <v>1725</v>
          </cell>
          <cell r="G413" t="str">
            <v>엔젤러스</v>
          </cell>
          <cell r="H413" t="str">
            <v>6-1.기타</v>
          </cell>
        </row>
        <row r="414">
          <cell r="A414" t="str">
            <v>8702P000</v>
          </cell>
          <cell r="B414" t="str">
            <v>슈스트레치 2온즈</v>
          </cell>
          <cell r="C414">
            <v>6000</v>
          </cell>
          <cell r="E414">
            <v>9.8000000000000007</v>
          </cell>
          <cell r="F414">
            <v>1127</v>
          </cell>
          <cell r="G414" t="str">
            <v>엔젤러스</v>
          </cell>
          <cell r="H414" t="str">
            <v>6-1.기타</v>
          </cell>
        </row>
        <row r="415">
          <cell r="A415" t="str">
            <v>89500KIT</v>
          </cell>
          <cell r="B415" t="str">
            <v>스웨이드&amp;누벅키트</v>
          </cell>
          <cell r="C415">
            <v>10000</v>
          </cell>
          <cell r="D415" t="str">
            <v>086366895009</v>
          </cell>
          <cell r="E415">
            <v>2</v>
          </cell>
          <cell r="F415">
            <v>2760</v>
          </cell>
          <cell r="G415" t="str">
            <v>엔젤러스</v>
          </cell>
          <cell r="H415" t="str">
            <v>6-1.기타</v>
          </cell>
          <cell r="I415" t="str">
            <v>1바</v>
          </cell>
        </row>
        <row r="416">
          <cell r="A416">
            <v>87604000</v>
          </cell>
          <cell r="B416" t="str">
            <v>솔브라이트 4온즈</v>
          </cell>
          <cell r="C416">
            <v>20000</v>
          </cell>
          <cell r="D416" t="str">
            <v>086366876046</v>
          </cell>
          <cell r="E416">
            <v>48</v>
          </cell>
          <cell r="F416">
            <v>5520</v>
          </cell>
          <cell r="G416" t="str">
            <v>엔젤러스</v>
          </cell>
          <cell r="H416" t="str">
            <v>6-1.기타</v>
          </cell>
        </row>
        <row r="417">
          <cell r="A417" t="str">
            <v>4971671511941</v>
          </cell>
          <cell r="B417" t="str">
            <v>콜럼버스 스웨이드 지우개</v>
          </cell>
          <cell r="C417">
            <v>10000</v>
          </cell>
          <cell r="E417">
            <v>180</v>
          </cell>
          <cell r="F417">
            <v>2340</v>
          </cell>
          <cell r="G417" t="str">
            <v>엔젤러스</v>
          </cell>
          <cell r="H417" t="str">
            <v>6-1.기타</v>
          </cell>
          <cell r="I417">
            <v>8.3333333333333339</v>
          </cell>
        </row>
        <row r="418">
          <cell r="A418" t="str">
            <v>99205PremSneakerBrush</v>
          </cell>
          <cell r="B418" t="str">
            <v>클리닝브러시</v>
          </cell>
          <cell r="C418">
            <v>9000</v>
          </cell>
          <cell r="E418">
            <v>3</v>
          </cell>
          <cell r="F418">
            <v>4140</v>
          </cell>
          <cell r="G418" t="str">
            <v>엔젤러스</v>
          </cell>
          <cell r="H418" t="str">
            <v>6-1.기타</v>
          </cell>
        </row>
        <row r="419">
          <cell r="A419" t="str">
            <v>599BT000</v>
          </cell>
          <cell r="B419" t="str">
            <v>다이라이너 브로드팁</v>
          </cell>
          <cell r="C419">
            <v>6000</v>
          </cell>
          <cell r="E419">
            <v>2</v>
          </cell>
          <cell r="F419">
            <v>2760</v>
          </cell>
          <cell r="G419" t="str">
            <v>엔젤러스</v>
          </cell>
          <cell r="H419" t="str">
            <v>6-1.기타</v>
          </cell>
        </row>
        <row r="420">
          <cell r="A420" t="str">
            <v>599FT000</v>
          </cell>
          <cell r="B420" t="str">
            <v>다이라이너 파인팁</v>
          </cell>
          <cell r="C420">
            <v>6000</v>
          </cell>
          <cell r="E420">
            <v>1.8</v>
          </cell>
          <cell r="F420">
            <v>2484</v>
          </cell>
          <cell r="G420" t="str">
            <v>엔젤러스</v>
          </cell>
          <cell r="H420" t="str">
            <v>6-1.기타</v>
          </cell>
        </row>
        <row r="421">
          <cell r="A421" t="str">
            <v>마커펜 3mm</v>
          </cell>
          <cell r="B421" t="str">
            <v>마커펜 3mm</v>
          </cell>
          <cell r="C421">
            <v>7500</v>
          </cell>
          <cell r="G421" t="str">
            <v>엔젤러스</v>
          </cell>
          <cell r="H421" t="str">
            <v>6-1.기타</v>
          </cell>
        </row>
        <row r="422">
          <cell r="A422" t="str">
            <v>마커펜 5mm</v>
          </cell>
          <cell r="B422" t="str">
            <v>마커펜 5mm</v>
          </cell>
          <cell r="C422">
            <v>7500</v>
          </cell>
          <cell r="G422" t="str">
            <v>엔젤러스</v>
          </cell>
          <cell r="H422" t="str">
            <v>6-1.기타</v>
          </cell>
        </row>
        <row r="423">
          <cell r="A423" t="str">
            <v>7993M2PK</v>
          </cell>
          <cell r="B423" t="str">
            <v>마커펜세트 3mm</v>
          </cell>
          <cell r="C423">
            <v>15000</v>
          </cell>
          <cell r="D423" t="str">
            <v>086366799239</v>
          </cell>
          <cell r="E423">
            <v>3.5</v>
          </cell>
          <cell r="F423">
            <v>4830</v>
          </cell>
          <cell r="G423" t="str">
            <v>엔젤러스</v>
          </cell>
          <cell r="H423" t="str">
            <v>6-1.기타</v>
          </cell>
        </row>
        <row r="424">
          <cell r="A424" t="str">
            <v>7995M2PK</v>
          </cell>
          <cell r="B424" t="str">
            <v>마커펜세트 5mm</v>
          </cell>
          <cell r="C424">
            <v>15000</v>
          </cell>
          <cell r="D424" t="str">
            <v>086366799253</v>
          </cell>
          <cell r="E424">
            <v>3.7</v>
          </cell>
          <cell r="F424">
            <v>5106</v>
          </cell>
          <cell r="G424" t="str">
            <v>엔젤러스</v>
          </cell>
          <cell r="H424" t="str">
            <v>6-1.기타</v>
          </cell>
        </row>
        <row r="425">
          <cell r="A425">
            <v>21608000</v>
          </cell>
          <cell r="B425" t="str">
            <v xml:space="preserve">Angelus Reptile and Exotic Conditioner </v>
          </cell>
          <cell r="C425">
            <v>15000</v>
          </cell>
          <cell r="E425">
            <v>24</v>
          </cell>
          <cell r="F425">
            <v>2760</v>
          </cell>
          <cell r="G425" t="str">
            <v>엔젤러스</v>
          </cell>
          <cell r="H425" t="str">
            <v>6-1.기타</v>
          </cell>
        </row>
        <row r="426">
          <cell r="A426">
            <v>84103000</v>
          </cell>
          <cell r="B426" t="str">
            <v>Angelus Instant Clean</v>
          </cell>
          <cell r="C426">
            <v>10000</v>
          </cell>
          <cell r="E426">
            <v>15</v>
          </cell>
          <cell r="F426">
            <v>1725</v>
          </cell>
          <cell r="G426" t="str">
            <v>엔젤러스</v>
          </cell>
          <cell r="H426" t="str">
            <v>6-1.기타</v>
          </cell>
        </row>
        <row r="427">
          <cell r="A427">
            <v>10508000</v>
          </cell>
          <cell r="B427" t="str">
            <v>100% 퓨어 니트풋 오일</v>
          </cell>
          <cell r="C427">
            <v>10000</v>
          </cell>
          <cell r="E427">
            <v>27</v>
          </cell>
          <cell r="F427">
            <v>3105</v>
          </cell>
          <cell r="G427" t="str">
            <v>엔젤러스</v>
          </cell>
          <cell r="H427" t="str">
            <v>6-1.기타</v>
          </cell>
        </row>
        <row r="428">
          <cell r="A428">
            <v>22008029</v>
          </cell>
          <cell r="B428" t="str">
            <v>새들소프</v>
          </cell>
          <cell r="C428">
            <v>10000</v>
          </cell>
          <cell r="E428">
            <v>24</v>
          </cell>
          <cell r="F428">
            <v>2760</v>
          </cell>
          <cell r="G428" t="str">
            <v>엔젤러스</v>
          </cell>
          <cell r="H428" t="str">
            <v>6-1.기타</v>
          </cell>
        </row>
        <row r="429">
          <cell r="A429" t="str">
            <v>8704P000</v>
          </cell>
          <cell r="B429" t="str">
            <v>슈스트레치 4온즈</v>
          </cell>
          <cell r="C429">
            <v>10000</v>
          </cell>
          <cell r="E429">
            <v>15</v>
          </cell>
          <cell r="F429">
            <v>1725</v>
          </cell>
          <cell r="G429" t="str">
            <v>엔젤러스</v>
          </cell>
          <cell r="H429" t="str">
            <v>6-1.기타</v>
          </cell>
        </row>
        <row r="430">
          <cell r="A430" t="str">
            <v>8702P000</v>
          </cell>
          <cell r="B430" t="str">
            <v>슈스트레치 2온즈</v>
          </cell>
          <cell r="C430">
            <v>6000</v>
          </cell>
          <cell r="E430">
            <v>9.8000000000000007</v>
          </cell>
          <cell r="F430">
            <v>1127</v>
          </cell>
          <cell r="G430" t="str">
            <v>엔젤러스</v>
          </cell>
          <cell r="H430" t="str">
            <v>6-1.기타</v>
          </cell>
        </row>
        <row r="431">
          <cell r="A431" t="str">
            <v>Luster Cream</v>
          </cell>
          <cell r="B431" t="str">
            <v>러스터크림</v>
          </cell>
          <cell r="C431">
            <v>10000</v>
          </cell>
          <cell r="G431" t="str">
            <v>엔젤러스</v>
          </cell>
          <cell r="H431" t="str">
            <v>6-1.기타</v>
          </cell>
        </row>
        <row r="432">
          <cell r="A432" t="str">
            <v>99200PSTREE</v>
          </cell>
          <cell r="B432" t="str">
            <v>엔젤러스 플라스틱 슈트리</v>
          </cell>
          <cell r="C432">
            <v>6000</v>
          </cell>
          <cell r="D432" t="str">
            <v>086366992135</v>
          </cell>
          <cell r="E432">
            <v>1.6</v>
          </cell>
          <cell r="F432">
            <v>2208</v>
          </cell>
          <cell r="G432" t="str">
            <v>엔젤러스</v>
          </cell>
          <cell r="H432" t="str">
            <v>6-1.기타</v>
          </cell>
        </row>
        <row r="433">
          <cell r="A433">
            <v>87504000</v>
          </cell>
          <cell r="B433" t="str">
            <v>디오더라이저 4oz</v>
          </cell>
          <cell r="C433">
            <v>10000</v>
          </cell>
          <cell r="E433">
            <v>1.7725</v>
          </cell>
          <cell r="F433">
            <v>2446.0499999999997</v>
          </cell>
          <cell r="G433" t="str">
            <v>엔젤러스</v>
          </cell>
          <cell r="H433" t="str">
            <v>6-1.기타</v>
          </cell>
        </row>
        <row r="434">
          <cell r="A434">
            <v>89404000</v>
          </cell>
          <cell r="B434" t="str">
            <v>스웨이드 리뉴</v>
          </cell>
          <cell r="C434">
            <v>10000</v>
          </cell>
          <cell r="E434">
            <v>1.5</v>
          </cell>
          <cell r="F434">
            <v>2070</v>
          </cell>
          <cell r="G434" t="str">
            <v>엔젤러스</v>
          </cell>
          <cell r="H434" t="str">
            <v>6-1.기타</v>
          </cell>
        </row>
        <row r="435">
          <cell r="A435">
            <v>40003001</v>
          </cell>
          <cell r="B435" t="str">
            <v>엔젤러스 왁스구두약-Black</v>
          </cell>
          <cell r="C435">
            <v>7500</v>
          </cell>
          <cell r="E435">
            <v>19.2</v>
          </cell>
          <cell r="F435">
            <v>2207.9999999999995</v>
          </cell>
          <cell r="G435" t="str">
            <v>엔젤러스</v>
          </cell>
          <cell r="H435" t="str">
            <v>6-1.기타</v>
          </cell>
        </row>
        <row r="436">
          <cell r="A436">
            <v>40003004</v>
          </cell>
          <cell r="B436" t="str">
            <v>엔젤러스 왁스구두약-Neutral</v>
          </cell>
          <cell r="C436">
            <v>7500</v>
          </cell>
          <cell r="E436">
            <v>19.2</v>
          </cell>
          <cell r="F436">
            <v>2207.9999999999995</v>
          </cell>
          <cell r="G436" t="str">
            <v>엔젤러스</v>
          </cell>
          <cell r="H436" t="str">
            <v>6-1.기타</v>
          </cell>
        </row>
        <row r="437">
          <cell r="A437">
            <v>40003005</v>
          </cell>
          <cell r="B437" t="str">
            <v>엔젤러스 왁스구두약-White</v>
          </cell>
          <cell r="C437">
            <v>7500</v>
          </cell>
          <cell r="E437">
            <v>19.2</v>
          </cell>
          <cell r="F437">
            <v>2207.9999999999995</v>
          </cell>
          <cell r="G437" t="str">
            <v>엔젤러스</v>
          </cell>
          <cell r="H437" t="str">
            <v>6-1.기타</v>
          </cell>
        </row>
        <row r="438">
          <cell r="A438">
            <v>40003011</v>
          </cell>
          <cell r="B438" t="str">
            <v>엔젤러스 왁스구두약-Mahogany</v>
          </cell>
          <cell r="C438">
            <v>7500</v>
          </cell>
          <cell r="E438">
            <v>19.2</v>
          </cell>
          <cell r="F438">
            <v>2207.9999999999995</v>
          </cell>
          <cell r="G438" t="str">
            <v>엔젤러스</v>
          </cell>
          <cell r="H438" t="str">
            <v>6-1.기타</v>
          </cell>
        </row>
        <row r="439">
          <cell r="A439">
            <v>40003014</v>
          </cell>
          <cell r="B439" t="str">
            <v>엔젤러스 왁스구두약-Brown</v>
          </cell>
          <cell r="C439">
            <v>7500</v>
          </cell>
          <cell r="E439">
            <v>19.2</v>
          </cell>
          <cell r="F439">
            <v>2207.9999999999995</v>
          </cell>
          <cell r="G439" t="str">
            <v>엔젤러스</v>
          </cell>
          <cell r="H439" t="str">
            <v>6-1.기타</v>
          </cell>
        </row>
        <row r="440">
          <cell r="A440">
            <v>40003017</v>
          </cell>
          <cell r="B440" t="str">
            <v>엔젤러스 왁스구두약-Cordovan</v>
          </cell>
          <cell r="C440">
            <v>7500</v>
          </cell>
          <cell r="E440">
            <v>19.2</v>
          </cell>
          <cell r="F440">
            <v>2207.9999999999995</v>
          </cell>
          <cell r="G440" t="str">
            <v>엔젤러스</v>
          </cell>
          <cell r="H440" t="str">
            <v>6-1.기타</v>
          </cell>
        </row>
        <row r="441">
          <cell r="A441">
            <v>40003018</v>
          </cell>
          <cell r="B441" t="str">
            <v>엔젤러스 왁스구두약-DarkBrown</v>
          </cell>
          <cell r="C441">
            <v>7500</v>
          </cell>
          <cell r="E441">
            <v>19.2</v>
          </cell>
          <cell r="F441">
            <v>2207.9999999999995</v>
          </cell>
          <cell r="G441" t="str">
            <v>엔젤러스</v>
          </cell>
          <cell r="H441" t="str">
            <v>6-1.기타</v>
          </cell>
        </row>
        <row r="442">
          <cell r="A442">
            <v>40003029</v>
          </cell>
          <cell r="B442" t="str">
            <v>엔젤러스 왁스구두약-Tan</v>
          </cell>
          <cell r="C442">
            <v>7500</v>
          </cell>
          <cell r="E442">
            <v>19.2</v>
          </cell>
          <cell r="F442">
            <v>2207.9999999999995</v>
          </cell>
          <cell r="G442" t="str">
            <v>엔젤러스</v>
          </cell>
          <cell r="H442" t="str">
            <v>6-1.기타</v>
          </cell>
        </row>
        <row r="443">
          <cell r="A443">
            <v>40003042</v>
          </cell>
          <cell r="B443" t="str">
            <v>엔젤러스 왁스구두약-NavyBlue</v>
          </cell>
          <cell r="C443">
            <v>7500</v>
          </cell>
          <cell r="E443">
            <v>19.2</v>
          </cell>
          <cell r="F443">
            <v>2207.9999999999995</v>
          </cell>
          <cell r="G443" t="str">
            <v>엔젤러스</v>
          </cell>
          <cell r="H443" t="str">
            <v>6-1.기타</v>
          </cell>
        </row>
        <row r="444">
          <cell r="A444">
            <v>40003050</v>
          </cell>
          <cell r="B444" t="str">
            <v>엔젤러스 왁스구두약-Green</v>
          </cell>
          <cell r="C444">
            <v>7500</v>
          </cell>
          <cell r="E444">
            <v>19.2</v>
          </cell>
          <cell r="F444">
            <v>2207.9999999999995</v>
          </cell>
          <cell r="G444" t="str">
            <v>엔젤러스</v>
          </cell>
          <cell r="H444" t="str">
            <v>6-1.기타</v>
          </cell>
        </row>
        <row r="445">
          <cell r="A445">
            <v>40003052</v>
          </cell>
          <cell r="B445" t="str">
            <v>엔젤러스 왁스구두약-MidniteGreen</v>
          </cell>
          <cell r="C445">
            <v>7500</v>
          </cell>
          <cell r="E445">
            <v>19.2</v>
          </cell>
          <cell r="F445">
            <v>2207.9999999999995</v>
          </cell>
          <cell r="G445" t="str">
            <v>엔젤러스</v>
          </cell>
          <cell r="H445" t="str">
            <v>6-1.기타</v>
          </cell>
        </row>
        <row r="446">
          <cell r="A446">
            <v>40003062</v>
          </cell>
          <cell r="B446" t="str">
            <v>엔젤러스 왁스구두약-Red/Oxblood</v>
          </cell>
          <cell r="C446">
            <v>7500</v>
          </cell>
          <cell r="E446">
            <v>19.2</v>
          </cell>
          <cell r="F446">
            <v>2207.9999999999995</v>
          </cell>
          <cell r="G446" t="str">
            <v>엔젤러스</v>
          </cell>
          <cell r="H446" t="str">
            <v>6-1.기타</v>
          </cell>
        </row>
        <row r="447">
          <cell r="A447">
            <v>40003064</v>
          </cell>
          <cell r="B447" t="str">
            <v xml:space="preserve">엔젤러스 왁스구두약-Red </v>
          </cell>
          <cell r="C447">
            <v>7500</v>
          </cell>
          <cell r="E447">
            <v>19.2</v>
          </cell>
          <cell r="F447">
            <v>2207.9999999999995</v>
          </cell>
          <cell r="G447" t="str">
            <v>엔젤러스</v>
          </cell>
          <cell r="H447" t="str">
            <v>6-1.기타</v>
          </cell>
        </row>
        <row r="448">
          <cell r="A448">
            <v>40003081</v>
          </cell>
          <cell r="B448" t="str">
            <v>엔젤러스 왁스구두약-Grey</v>
          </cell>
          <cell r="C448">
            <v>7500</v>
          </cell>
          <cell r="E448">
            <v>19.2</v>
          </cell>
          <cell r="F448">
            <v>2207.9999999999995</v>
          </cell>
          <cell r="G448" t="str">
            <v>엔젤러스</v>
          </cell>
          <cell r="H448" t="str">
            <v>6-1.기타</v>
          </cell>
        </row>
        <row r="449">
          <cell r="A449">
            <v>53003017</v>
          </cell>
          <cell r="B449" t="str">
            <v>Shine &amp; Dye Cordovan 3 oz.</v>
          </cell>
          <cell r="C449">
            <v>10000</v>
          </cell>
          <cell r="G449" t="str">
            <v>엔젤러스</v>
          </cell>
          <cell r="H449" t="str">
            <v>6-1.기타</v>
          </cell>
        </row>
        <row r="450">
          <cell r="A450">
            <v>53003042</v>
          </cell>
          <cell r="B450" t="str">
            <v>Shine &amp; Dye Navy Blue 3 oz.</v>
          </cell>
          <cell r="C450">
            <v>10000</v>
          </cell>
          <cell r="G450" t="str">
            <v>엔젤러스</v>
          </cell>
          <cell r="H450" t="str">
            <v>6-1.기타</v>
          </cell>
        </row>
        <row r="452">
          <cell r="A452" t="str">
            <v>코튼봉</v>
          </cell>
          <cell r="B452" t="str">
            <v>코튼봉</v>
          </cell>
          <cell r="C452">
            <v>1000</v>
          </cell>
          <cell r="G452" t="str">
            <v>엔젤러스</v>
          </cell>
          <cell r="H452" t="str">
            <v>6-1.기타</v>
          </cell>
        </row>
        <row r="453">
          <cell r="A453" t="str">
            <v>Palette</v>
          </cell>
          <cell r="B453" t="str">
            <v>팔렛트</v>
          </cell>
          <cell r="C453">
            <v>4500</v>
          </cell>
          <cell r="E453">
            <v>1.25</v>
          </cell>
          <cell r="F453">
            <v>1725</v>
          </cell>
          <cell r="G453" t="str">
            <v>엔젤러스</v>
          </cell>
          <cell r="H453" t="str">
            <v>6-1.기타</v>
          </cell>
        </row>
        <row r="454">
          <cell r="A454" t="str">
            <v>paint_cup</v>
          </cell>
          <cell r="B454" t="str">
            <v>페인트컵</v>
          </cell>
          <cell r="C454">
            <v>3000</v>
          </cell>
          <cell r="E454">
            <v>0.8</v>
          </cell>
          <cell r="F454">
            <v>1104</v>
          </cell>
          <cell r="G454" t="str">
            <v>엔젤러스</v>
          </cell>
          <cell r="H454" t="str">
            <v>6-1.기타</v>
          </cell>
        </row>
        <row r="455">
          <cell r="A455" t="str">
            <v>Applicator</v>
          </cell>
          <cell r="B455" t="str">
            <v>올퍼포스애플리케이터</v>
          </cell>
          <cell r="C455">
            <v>2000</v>
          </cell>
          <cell r="E455">
            <v>1.75</v>
          </cell>
          <cell r="F455">
            <v>2415</v>
          </cell>
          <cell r="G455" t="str">
            <v>엔젤러스</v>
          </cell>
          <cell r="H455" t="str">
            <v>6-1.기타</v>
          </cell>
        </row>
        <row r="456">
          <cell r="A456" t="str">
            <v>99200SHOEHORN</v>
          </cell>
          <cell r="B456" t="str">
            <v>메탈슈혼</v>
          </cell>
          <cell r="C456">
            <v>8000</v>
          </cell>
          <cell r="E456">
            <v>1.97</v>
          </cell>
          <cell r="F456">
            <v>2718.6</v>
          </cell>
          <cell r="G456" t="str">
            <v>엔젤러스</v>
          </cell>
          <cell r="H456" t="str">
            <v>6-1.기타</v>
          </cell>
        </row>
        <row r="457">
          <cell r="A457" t="str">
            <v>고무가루</v>
          </cell>
          <cell r="B457" t="str">
            <v>고무가루</v>
          </cell>
          <cell r="C457">
            <v>1000</v>
          </cell>
          <cell r="E457">
            <v>0</v>
          </cell>
          <cell r="F457">
            <v>0</v>
          </cell>
          <cell r="G457" t="str">
            <v>슈구</v>
          </cell>
          <cell r="H457" t="str">
            <v>6-1.기타</v>
          </cell>
        </row>
        <row r="458">
          <cell r="A458" t="str">
            <v>720-02-201</v>
          </cell>
          <cell r="B458" t="str">
            <v>워크온 Black</v>
          </cell>
          <cell r="C458">
            <v>10000</v>
          </cell>
          <cell r="G458" t="str">
            <v>엔젤러스</v>
          </cell>
          <cell r="H458" t="str">
            <v>6-1.기타</v>
          </cell>
        </row>
        <row r="459">
          <cell r="A459" t="str">
            <v>720-02-285</v>
          </cell>
          <cell r="B459" t="str">
            <v>워크온 Red</v>
          </cell>
          <cell r="C459">
            <v>10000</v>
          </cell>
          <cell r="G459" t="str">
            <v>엔젤러스</v>
          </cell>
          <cell r="H459" t="str">
            <v>6-1.기타</v>
          </cell>
        </row>
        <row r="461">
          <cell r="A461" t="str">
            <v>슈구자연</v>
          </cell>
          <cell r="B461" t="str">
            <v>슈구자연</v>
          </cell>
          <cell r="C461">
            <v>18000</v>
          </cell>
          <cell r="D461" t="str">
            <v>4943311101102</v>
          </cell>
          <cell r="F461">
            <v>9500</v>
          </cell>
          <cell r="G461" t="str">
            <v>슈구</v>
          </cell>
          <cell r="H461" t="str">
            <v>7-1.슈구</v>
          </cell>
        </row>
        <row r="462">
          <cell r="A462" t="str">
            <v>슈구블랙</v>
          </cell>
          <cell r="B462" t="str">
            <v>슈구블랙</v>
          </cell>
          <cell r="C462">
            <v>18000</v>
          </cell>
          <cell r="G462" t="str">
            <v>슈구</v>
          </cell>
          <cell r="H462" t="str">
            <v>7-1.슈구</v>
          </cell>
        </row>
        <row r="463">
          <cell r="A463" t="str">
            <v>슈구흰색</v>
          </cell>
          <cell r="B463" t="str">
            <v>슈구흰색</v>
          </cell>
          <cell r="C463">
            <v>18000</v>
          </cell>
          <cell r="G463" t="str">
            <v>슈구</v>
          </cell>
          <cell r="H463" t="str">
            <v>7-1.슈구</v>
          </cell>
        </row>
        <row r="464">
          <cell r="A464" t="str">
            <v>스피드구</v>
          </cell>
          <cell r="B464" t="str">
            <v>스피드구</v>
          </cell>
          <cell r="C464">
            <v>15000</v>
          </cell>
          <cell r="D464" t="str">
            <v>4943311106008</v>
          </cell>
          <cell r="F464">
            <v>8500</v>
          </cell>
          <cell r="G464" t="str">
            <v>슈구</v>
          </cell>
          <cell r="H464" t="str">
            <v>7-1.슈구</v>
          </cell>
        </row>
        <row r="465">
          <cell r="A465" t="str">
            <v>슈구DF</v>
          </cell>
          <cell r="B465" t="str">
            <v>슈구DF</v>
          </cell>
          <cell r="C465">
            <v>15000</v>
          </cell>
          <cell r="G465" t="str">
            <v>슈구</v>
          </cell>
          <cell r="H465" t="str">
            <v>7-1.슈구</v>
          </cell>
        </row>
        <row r="466">
          <cell r="A466" t="str">
            <v>미니슈구</v>
          </cell>
          <cell r="B466" t="str">
            <v>미니슈구</v>
          </cell>
          <cell r="C466">
            <v>15000</v>
          </cell>
          <cell r="G466" t="str">
            <v>슈구</v>
          </cell>
          <cell r="H466" t="str">
            <v>7-1.슈구</v>
          </cell>
        </row>
        <row r="467">
          <cell r="A467" t="str">
            <v>슈구스피드</v>
          </cell>
          <cell r="B467" t="str">
            <v>슈구스피드</v>
          </cell>
          <cell r="C467">
            <v>15000</v>
          </cell>
          <cell r="D467" t="str">
            <v>4943311106008</v>
          </cell>
          <cell r="F467">
            <v>8500</v>
          </cell>
          <cell r="G467" t="str">
            <v>슈구</v>
          </cell>
          <cell r="H467" t="str">
            <v>7-1.슈구</v>
          </cell>
        </row>
        <row r="468">
          <cell r="A468" t="str">
            <v>스포츠구</v>
          </cell>
          <cell r="B468" t="str">
            <v>스포츠구</v>
          </cell>
          <cell r="C468">
            <v>18000</v>
          </cell>
          <cell r="G468" t="str">
            <v>슈구</v>
          </cell>
          <cell r="H468" t="str">
            <v>7-1.슈구</v>
          </cell>
        </row>
        <row r="469">
          <cell r="A469" t="str">
            <v>슈구클리너</v>
          </cell>
          <cell r="B469" t="str">
            <v>슈구클리너 200ml</v>
          </cell>
          <cell r="C469">
            <v>22000</v>
          </cell>
          <cell r="F469">
            <v>12000</v>
          </cell>
          <cell r="G469" t="str">
            <v>슈구</v>
          </cell>
          <cell r="H469" t="str">
            <v>7-1.슈구</v>
          </cell>
        </row>
        <row r="470">
          <cell r="A470" t="str">
            <v>슈구클리너키트</v>
          </cell>
          <cell r="B470" t="str">
            <v>슈구클리너키트</v>
          </cell>
          <cell r="C470">
            <v>25000</v>
          </cell>
          <cell r="F470">
            <v>14000</v>
          </cell>
          <cell r="G470" t="str">
            <v>슈구</v>
          </cell>
          <cell r="H470" t="str">
            <v>7-1.슈구</v>
          </cell>
        </row>
        <row r="471">
          <cell r="A471" t="str">
            <v>고무뒷굽</v>
          </cell>
          <cell r="B471" t="str">
            <v>고무뒷굽(2개 1세트)</v>
          </cell>
          <cell r="C471">
            <v>1000</v>
          </cell>
          <cell r="F471">
            <v>500</v>
          </cell>
          <cell r="G471" t="str">
            <v>슈구</v>
          </cell>
          <cell r="H471" t="str">
            <v>7-1.슈구</v>
          </cell>
        </row>
        <row r="472">
          <cell r="A472" t="str">
            <v>슈구 클리너키트</v>
          </cell>
          <cell r="B472" t="str">
            <v>슈구 클리너키트</v>
          </cell>
          <cell r="C472">
            <v>25000</v>
          </cell>
          <cell r="G472" t="str">
            <v>슈구</v>
          </cell>
          <cell r="H472" t="str">
            <v>7-1.슈구</v>
          </cell>
        </row>
        <row r="473">
          <cell r="A473" t="str">
            <v>paint_strainer</v>
          </cell>
          <cell r="B473" t="str">
            <v>페인트 스트레이너</v>
          </cell>
          <cell r="C473">
            <v>13500</v>
          </cell>
          <cell r="G473" t="str">
            <v>엔젤러스</v>
          </cell>
          <cell r="H473" t="str">
            <v>6-1.기타</v>
          </cell>
        </row>
        <row r="474">
          <cell r="A474">
            <v>86366924006</v>
          </cell>
          <cell r="B474" t="str">
            <v>클리어 슈 시멘트</v>
          </cell>
          <cell r="C474">
            <v>15000</v>
          </cell>
          <cell r="E474">
            <v>39.6</v>
          </cell>
          <cell r="F474">
            <v>4554</v>
          </cell>
          <cell r="G474" t="str">
            <v>엔젤러스</v>
          </cell>
          <cell r="H474" t="str">
            <v>6-1.기타</v>
          </cell>
        </row>
        <row r="475">
          <cell r="A475">
            <v>21208000</v>
          </cell>
          <cell r="B475" t="str">
            <v>Deep conditoiner</v>
          </cell>
          <cell r="C475">
            <v>10000</v>
          </cell>
          <cell r="G475" t="str">
            <v>엔젤러스</v>
          </cell>
          <cell r="H475" t="str">
            <v>6-1.기타</v>
          </cell>
        </row>
        <row r="476">
          <cell r="A476" t="str">
            <v>택배비</v>
          </cell>
          <cell r="B476" t="str">
            <v>택배비</v>
          </cell>
          <cell r="C476">
            <v>2500</v>
          </cell>
          <cell r="F476">
            <v>2500</v>
          </cell>
          <cell r="G476" t="str">
            <v>엔젤러스</v>
          </cell>
          <cell r="H476" t="str">
            <v>6-1.기타</v>
          </cell>
        </row>
        <row r="477">
          <cell r="A477" t="str">
            <v>항공운송비</v>
          </cell>
          <cell r="B477" t="str">
            <v>항공운송비</v>
          </cell>
          <cell r="C477">
            <v>10000</v>
          </cell>
          <cell r="G477" t="str">
            <v>엔젤러스</v>
          </cell>
          <cell r="H477" t="str">
            <v>6-1.기타</v>
          </cell>
        </row>
        <row r="478">
          <cell r="A478" t="str">
            <v>고무뒷굽</v>
          </cell>
          <cell r="B478" t="str">
            <v>고무뒷굽</v>
          </cell>
          <cell r="C478">
            <v>5</v>
          </cell>
          <cell r="G478" t="str">
            <v>엔젤러스</v>
          </cell>
          <cell r="H478" t="str">
            <v>6-1.기타</v>
          </cell>
        </row>
        <row r="479">
          <cell r="A479" t="str">
            <v>wl-117</v>
          </cell>
          <cell r="B479" t="str">
            <v>스탠드원목헤라 (대)</v>
          </cell>
          <cell r="C479">
            <v>65000</v>
          </cell>
          <cell r="G479" t="str">
            <v>엔젤러스</v>
          </cell>
          <cell r="H479" t="str">
            <v>6-1.기타</v>
          </cell>
        </row>
        <row r="480">
          <cell r="A480" t="str">
            <v>towel</v>
          </cell>
          <cell r="B480" t="str">
            <v>프리미엄 마이크로파이버 타올</v>
          </cell>
          <cell r="C480">
            <v>5000</v>
          </cell>
          <cell r="E480">
            <v>0.65</v>
          </cell>
          <cell r="F480">
            <v>897</v>
          </cell>
          <cell r="G480" t="str">
            <v>엔젤러스</v>
          </cell>
          <cell r="H480" t="str">
            <v>6-1.기타</v>
          </cell>
        </row>
        <row r="481">
          <cell r="A481" t="str">
            <v>hogbrush</v>
          </cell>
          <cell r="B481" t="str">
            <v>돼지털 클리닝브러시</v>
          </cell>
          <cell r="C481">
            <v>14000</v>
          </cell>
          <cell r="E481">
            <v>3.2</v>
          </cell>
          <cell r="F481">
            <v>4416</v>
          </cell>
          <cell r="G481" t="str">
            <v>엔젤러스</v>
          </cell>
          <cell r="H481" t="str">
            <v>6-1.기타</v>
          </cell>
        </row>
        <row r="482">
          <cell r="A482" t="str">
            <v>택배비_abc</v>
          </cell>
          <cell r="B482" t="str">
            <v>택배비</v>
          </cell>
          <cell r="C482">
            <v>2100</v>
          </cell>
          <cell r="F482">
            <v>1900</v>
          </cell>
          <cell r="G482" t="str">
            <v>택배비</v>
          </cell>
          <cell r="H482" t="str">
            <v>6-1.기타</v>
          </cell>
        </row>
        <row r="483">
          <cell r="A483">
            <v>7995100</v>
          </cell>
          <cell r="B483" t="str">
            <v>엔젤러스 페인트 브러시 5종세트</v>
          </cell>
          <cell r="C483">
            <v>15000</v>
          </cell>
          <cell r="E483">
            <v>3.5</v>
          </cell>
          <cell r="F483">
            <v>4830</v>
          </cell>
          <cell r="G483" t="str">
            <v>엔젤러스</v>
          </cell>
          <cell r="H483" t="str">
            <v>6-1.기타</v>
          </cell>
        </row>
        <row r="484">
          <cell r="A484">
            <v>7995101</v>
          </cell>
          <cell r="B484" t="str">
            <v>엔젤러스 디테일 브러시 5종세트</v>
          </cell>
          <cell r="C484">
            <v>25000</v>
          </cell>
          <cell r="E484">
            <v>7.5</v>
          </cell>
          <cell r="F484">
            <v>10350</v>
          </cell>
          <cell r="G484" t="str">
            <v>엔젤러스</v>
          </cell>
          <cell r="H484" t="str">
            <v>6-1.기타</v>
          </cell>
        </row>
        <row r="485">
          <cell r="A485" t="str">
            <v>brush17_black</v>
          </cell>
          <cell r="B485" t="str">
            <v>말털브러시 17cm 블랙</v>
          </cell>
          <cell r="C485">
            <v>17000</v>
          </cell>
          <cell r="E485">
            <v>4.95</v>
          </cell>
          <cell r="F485">
            <v>6831</v>
          </cell>
          <cell r="G485" t="str">
            <v>엔젤러스</v>
          </cell>
          <cell r="H485" t="str">
            <v>6-1.기타</v>
          </cell>
        </row>
        <row r="486">
          <cell r="A486" t="str">
            <v>waxbrush</v>
          </cell>
          <cell r="B486" t="str">
            <v>엔제러스 말털 약솔</v>
          </cell>
          <cell r="C486">
            <v>12000</v>
          </cell>
          <cell r="G486" t="str">
            <v>엔젤러스</v>
          </cell>
          <cell r="H486" t="str">
            <v>6-1.기타</v>
          </cell>
        </row>
        <row r="487">
          <cell r="A487" t="str">
            <v>슈구재정산_s</v>
          </cell>
          <cell r="B487" t="str">
            <v>슈구재정산(스멜바이)</v>
          </cell>
          <cell r="C487">
            <v>272700</v>
          </cell>
          <cell r="E487">
            <v>272700</v>
          </cell>
          <cell r="F487">
            <v>272700</v>
          </cell>
        </row>
        <row r="488">
          <cell r="A488" t="str">
            <v>슈구재정산_a</v>
          </cell>
          <cell r="B488" t="str">
            <v>슈구재정산(스니케어)</v>
          </cell>
          <cell r="C488">
            <v>59400</v>
          </cell>
          <cell r="E488">
            <v>59400</v>
          </cell>
          <cell r="F488">
            <v>59400</v>
          </cell>
        </row>
        <row r="489">
          <cell r="A489" t="str">
            <v>brush_set</v>
          </cell>
          <cell r="B489" t="str">
            <v>엔젤러스 페인트브러시5종세트</v>
          </cell>
          <cell r="C489">
            <v>15000</v>
          </cell>
          <cell r="E489">
            <v>3.5</v>
          </cell>
          <cell r="F489">
            <v>4830</v>
          </cell>
          <cell r="G489" t="str">
            <v>엔젤러스</v>
          </cell>
          <cell r="H489" t="str">
            <v>6-1.기타</v>
          </cell>
        </row>
        <row r="490">
          <cell r="A490">
            <v>53003001</v>
          </cell>
          <cell r="B490" t="str">
            <v>Shine &amp; Dye Black 3 oz.</v>
          </cell>
          <cell r="C490">
            <v>10000</v>
          </cell>
          <cell r="G490" t="str">
            <v>엔젤러스</v>
          </cell>
          <cell r="H490" t="str">
            <v>6-1.기타</v>
          </cell>
        </row>
        <row r="491">
          <cell r="A491">
            <v>53003014</v>
          </cell>
          <cell r="B491" t="str">
            <v>Shine &amp; Dye Brown 3 oz.</v>
          </cell>
          <cell r="C491">
            <v>10000</v>
          </cell>
          <cell r="G491" t="str">
            <v>엔젤러스</v>
          </cell>
          <cell r="H491" t="str">
            <v>6-1.기타</v>
          </cell>
        </row>
        <row r="492">
          <cell r="A492" t="str">
            <v>8804164300011</v>
          </cell>
          <cell r="B492" t="str">
            <v>핑고 실버-264ml</v>
          </cell>
          <cell r="C492">
            <v>16800</v>
          </cell>
        </row>
        <row r="493">
          <cell r="A493" t="str">
            <v>애니맷</v>
          </cell>
          <cell r="B493" t="str">
            <v>엔젤러스 페인트 세트</v>
          </cell>
          <cell r="C493">
            <v>48000</v>
          </cell>
        </row>
        <row r="494">
          <cell r="A494" t="str">
            <v>Chocolate</v>
          </cell>
          <cell r="B494" t="str">
            <v>Chocolate</v>
          </cell>
          <cell r="C494">
            <v>110000</v>
          </cell>
          <cell r="F494">
            <v>45000</v>
          </cell>
          <cell r="G494">
            <v>2</v>
          </cell>
        </row>
        <row r="495">
          <cell r="A495" t="str">
            <v>Mustard</v>
          </cell>
          <cell r="B495" t="str">
            <v>Mustard</v>
          </cell>
          <cell r="C495">
            <v>110000</v>
          </cell>
          <cell r="F495">
            <v>45000</v>
          </cell>
          <cell r="G495">
            <v>1</v>
          </cell>
        </row>
        <row r="496">
          <cell r="A496" t="str">
            <v xml:space="preserve">Turquoise </v>
          </cell>
          <cell r="B496" t="str">
            <v xml:space="preserve">Turquoise </v>
          </cell>
          <cell r="C496">
            <v>110000</v>
          </cell>
          <cell r="F496">
            <v>45000</v>
          </cell>
          <cell r="G496">
            <v>1</v>
          </cell>
        </row>
        <row r="497">
          <cell r="A497" t="str">
            <v>Metallic Gold</v>
          </cell>
          <cell r="B497" t="str">
            <v>Metallic Gold</v>
          </cell>
          <cell r="C497">
            <v>55000</v>
          </cell>
          <cell r="F497">
            <v>16000</v>
          </cell>
          <cell r="G497">
            <v>1</v>
          </cell>
        </row>
        <row r="498">
          <cell r="A498" t="str">
            <v>Metallic Silver</v>
          </cell>
          <cell r="B498" t="str">
            <v>Metallic Silver</v>
          </cell>
          <cell r="C498">
            <v>55000</v>
          </cell>
          <cell r="F498">
            <v>16000</v>
          </cell>
          <cell r="G498">
            <v>1</v>
          </cell>
        </row>
        <row r="499">
          <cell r="A499" t="str">
            <v>Metallic Bronze</v>
          </cell>
          <cell r="B499" t="str">
            <v>Metallic Bronze</v>
          </cell>
          <cell r="C499">
            <v>55000</v>
          </cell>
          <cell r="F499">
            <v>16000</v>
          </cell>
          <cell r="G499">
            <v>1</v>
          </cell>
        </row>
        <row r="500">
          <cell r="A500" t="str">
            <v>Metallic Pearl</v>
          </cell>
          <cell r="B500" t="str">
            <v>Metallic Pearl</v>
          </cell>
          <cell r="C500">
            <v>55000</v>
          </cell>
          <cell r="F500">
            <v>16000</v>
          </cell>
          <cell r="G500">
            <v>1</v>
          </cell>
        </row>
        <row r="501">
          <cell r="A501" t="str">
            <v>Metallic Cooper</v>
          </cell>
          <cell r="B501" t="str">
            <v>Metallic Cooper</v>
          </cell>
          <cell r="C501">
            <v>55000</v>
          </cell>
          <cell r="F501">
            <v>16000</v>
          </cell>
          <cell r="G501">
            <v>1</v>
          </cell>
        </row>
        <row r="502">
          <cell r="A502" t="str">
            <v>Tropic Sunyellow</v>
          </cell>
          <cell r="B502" t="str">
            <v>Tropic Sunyellow</v>
          </cell>
          <cell r="C502">
            <v>55000</v>
          </cell>
          <cell r="F502">
            <v>16000</v>
          </cell>
          <cell r="G502">
            <v>1</v>
          </cell>
        </row>
        <row r="503">
          <cell r="A503" t="str">
            <v>Lava Orange</v>
          </cell>
          <cell r="B503" t="str">
            <v>Lava Orange</v>
          </cell>
          <cell r="C503">
            <v>55000</v>
          </cell>
          <cell r="F503">
            <v>16000</v>
          </cell>
          <cell r="G503">
            <v>1</v>
          </cell>
        </row>
        <row r="504">
          <cell r="A504" t="str">
            <v>Bahama Blue</v>
          </cell>
          <cell r="B504" t="str">
            <v>Bahama Blue</v>
          </cell>
          <cell r="C504">
            <v>55000</v>
          </cell>
          <cell r="F504">
            <v>16000</v>
          </cell>
          <cell r="G504">
            <v>1</v>
          </cell>
        </row>
        <row r="505">
          <cell r="A505" t="str">
            <v>Jamaican Joypink</v>
          </cell>
          <cell r="B505" t="str">
            <v>Jamaican Joypink</v>
          </cell>
          <cell r="C505">
            <v>55000</v>
          </cell>
          <cell r="F505">
            <v>16000</v>
          </cell>
          <cell r="G505">
            <v>1</v>
          </cell>
        </row>
        <row r="506">
          <cell r="A506" t="str">
            <v>Paradise purple</v>
          </cell>
          <cell r="B506" t="str">
            <v>Paradise purple</v>
          </cell>
          <cell r="C506">
            <v>55000</v>
          </cell>
          <cell r="F506">
            <v>16000</v>
          </cell>
          <cell r="G506">
            <v>2</v>
          </cell>
        </row>
        <row r="507">
          <cell r="A507" t="str">
            <v>Amazon Green</v>
          </cell>
          <cell r="B507" t="str">
            <v>Amazon Green</v>
          </cell>
          <cell r="C507">
            <v>55000</v>
          </cell>
          <cell r="F507">
            <v>16000</v>
          </cell>
          <cell r="G507">
            <v>2</v>
          </cell>
        </row>
        <row r="508">
          <cell r="A508" t="str">
            <v>Deglazer</v>
          </cell>
          <cell r="B508" t="str">
            <v>Deglazer</v>
          </cell>
          <cell r="C508">
            <v>9900</v>
          </cell>
          <cell r="F508">
            <v>7000</v>
          </cell>
          <cell r="G508">
            <v>2</v>
          </cell>
        </row>
        <row r="509">
          <cell r="A509" t="str">
            <v>애니맷</v>
          </cell>
          <cell r="B509" t="str">
            <v>엔젤러스 페인트 세트</v>
          </cell>
          <cell r="C509">
            <v>48000</v>
          </cell>
        </row>
        <row r="510">
          <cell r="A510" t="str">
            <v>720PT101</v>
          </cell>
          <cell r="B510" t="str">
            <v>파인트-#101-페인트-Flat Black</v>
          </cell>
          <cell r="C510">
            <v>44000</v>
          </cell>
          <cell r="F510">
            <v>10000</v>
          </cell>
          <cell r="G510" t="str">
            <v>엔젤러스</v>
          </cell>
        </row>
        <row r="511">
          <cell r="A511" t="str">
            <v>720PT001</v>
          </cell>
          <cell r="B511" t="str">
            <v>파인트-#001-페인트-Black</v>
          </cell>
          <cell r="C511">
            <v>44000</v>
          </cell>
          <cell r="F511">
            <v>10000</v>
          </cell>
          <cell r="G511" t="str">
            <v>엔젤러스</v>
          </cell>
        </row>
        <row r="512">
          <cell r="A512" t="str">
            <v>720PT005</v>
          </cell>
          <cell r="B512" t="str">
            <v>파인트-#005-페인트-White</v>
          </cell>
          <cell r="C512">
            <v>44000</v>
          </cell>
          <cell r="F512">
            <v>10000</v>
          </cell>
          <cell r="G512" t="str">
            <v>엔젤러스</v>
          </cell>
        </row>
        <row r="513">
          <cell r="A513" t="str">
            <v>720pt005</v>
          </cell>
          <cell r="B513" t="str">
            <v>파인트-#101-페인트-Flat Black</v>
          </cell>
          <cell r="C513">
            <v>44000</v>
          </cell>
          <cell r="F513">
            <v>10000</v>
          </cell>
          <cell r="G513" t="str">
            <v>엔젤러스</v>
          </cell>
        </row>
        <row r="514">
          <cell r="A514" t="str">
            <v>720PT101</v>
          </cell>
          <cell r="B514" t="str">
            <v>720PT101</v>
          </cell>
          <cell r="C514">
            <v>44000</v>
          </cell>
          <cell r="F514">
            <v>10000</v>
          </cell>
          <cell r="G514" t="str">
            <v>엔젤러스</v>
          </cell>
        </row>
        <row r="515">
          <cell r="A515" t="str">
            <v>720pt075</v>
          </cell>
          <cell r="B515" t="str">
            <v>파인트-#075-페인트-Yellow</v>
          </cell>
          <cell r="C515">
            <v>44000</v>
          </cell>
          <cell r="G515" t="str">
            <v>엔젤러스</v>
          </cell>
        </row>
        <row r="516">
          <cell r="A516" t="str">
            <v>ASW</v>
          </cell>
          <cell r="B516" t="str">
            <v>[앳스코]실리콘 워터가드 스프레이</v>
          </cell>
          <cell r="C516">
            <v>20000</v>
          </cell>
          <cell r="E516">
            <v>3.09</v>
          </cell>
          <cell r="F516">
            <v>4619.55</v>
          </cell>
          <cell r="G516" t="str">
            <v>앳스코</v>
          </cell>
          <cell r="H516" t="str">
            <v>33.앳스코</v>
          </cell>
        </row>
        <row r="517">
          <cell r="A517" t="str">
            <v>ASS</v>
          </cell>
          <cell r="B517" t="str">
            <v>[앳스코]스노씰</v>
          </cell>
          <cell r="C517">
            <v>18000</v>
          </cell>
          <cell r="E517">
            <v>2.79</v>
          </cell>
          <cell r="F517">
            <v>4171.05</v>
          </cell>
          <cell r="G517" t="str">
            <v>앳스코</v>
          </cell>
          <cell r="H517" t="str">
            <v>33.앳스코</v>
          </cell>
        </row>
        <row r="518">
          <cell r="A518" t="str">
            <v>APW</v>
          </cell>
          <cell r="B518" t="str">
            <v>[앳스코]퍼머넌트워터가드</v>
          </cell>
          <cell r="C518">
            <v>25000</v>
          </cell>
          <cell r="E518">
            <v>6.21</v>
          </cell>
          <cell r="F518">
            <v>9283.9500000000007</v>
          </cell>
          <cell r="G518" t="str">
            <v>앳스코</v>
          </cell>
          <cell r="H518" t="str">
            <v>33.앳스코</v>
          </cell>
        </row>
        <row r="520">
          <cell r="A520" t="str">
            <v>R01</v>
          </cell>
          <cell r="B520" t="str">
            <v>R01-[레이스랩]Black/White Rope Laces</v>
          </cell>
          <cell r="C520">
            <v>10000</v>
          </cell>
          <cell r="D520" t="str">
            <v>Rope Laces</v>
          </cell>
          <cell r="E520">
            <v>2.38</v>
          </cell>
          <cell r="F520">
            <v>3558.1</v>
          </cell>
          <cell r="G520" t="str">
            <v>레이스랩</v>
          </cell>
          <cell r="H520" t="str">
            <v>7-1.LaceLab</v>
          </cell>
          <cell r="I520" t="str">
            <v>Black/White Rope Laces</v>
          </cell>
        </row>
        <row r="521">
          <cell r="A521" t="str">
            <v>R02</v>
          </cell>
          <cell r="B521" t="str">
            <v>R02-[레이스랩]Grey/Black Rope Laces</v>
          </cell>
          <cell r="C521">
            <v>10000</v>
          </cell>
          <cell r="D521" t="str">
            <v>Rope Laces</v>
          </cell>
          <cell r="E521">
            <v>2.38</v>
          </cell>
          <cell r="F521">
            <v>3558.1</v>
          </cell>
          <cell r="G521" t="str">
            <v>레이스랩</v>
          </cell>
          <cell r="H521" t="str">
            <v>7-1.LaceLab</v>
          </cell>
          <cell r="I521" t="str">
            <v>Grey/Black Rope Laces</v>
          </cell>
        </row>
        <row r="522">
          <cell r="A522" t="str">
            <v>R03</v>
          </cell>
          <cell r="B522" t="str">
            <v>R03-[레이스랩]Grey/White Rope Laces</v>
          </cell>
          <cell r="C522">
            <v>10000</v>
          </cell>
          <cell r="D522" t="str">
            <v>Rope Laces</v>
          </cell>
          <cell r="E522">
            <v>2.38</v>
          </cell>
          <cell r="F522">
            <v>3558.1</v>
          </cell>
          <cell r="G522" t="str">
            <v>레이스랩</v>
          </cell>
          <cell r="H522" t="str">
            <v>7-1.LaceLab</v>
          </cell>
          <cell r="I522" t="str">
            <v>Grey/White Rope Laces</v>
          </cell>
        </row>
        <row r="523">
          <cell r="A523" t="str">
            <v>R04</v>
          </cell>
          <cell r="B523" t="str">
            <v>R04-[레이스랩]Black/Red Rope Laces</v>
          </cell>
          <cell r="C523">
            <v>10000</v>
          </cell>
          <cell r="D523" t="str">
            <v>Rope Laces</v>
          </cell>
          <cell r="E523">
            <v>2.38</v>
          </cell>
          <cell r="F523">
            <v>3558.1</v>
          </cell>
          <cell r="G523" t="str">
            <v>레이스랩</v>
          </cell>
          <cell r="H523" t="str">
            <v>7-1.LaceLab</v>
          </cell>
          <cell r="I523" t="str">
            <v>Black/Red Rope Laces</v>
          </cell>
        </row>
        <row r="524">
          <cell r="A524" t="str">
            <v>R05</v>
          </cell>
          <cell r="B524" t="str">
            <v>R05-[레이스랩]Blue/White Rope Laces</v>
          </cell>
          <cell r="C524">
            <v>10000</v>
          </cell>
          <cell r="D524" t="str">
            <v>Rope Laces</v>
          </cell>
          <cell r="E524">
            <v>2.38</v>
          </cell>
          <cell r="F524">
            <v>3558.1</v>
          </cell>
          <cell r="G524" t="str">
            <v>레이스랩</v>
          </cell>
          <cell r="H524" t="str">
            <v>7-1.LaceLab</v>
          </cell>
          <cell r="I524" t="str">
            <v>Blue/White Rope Laces</v>
          </cell>
        </row>
        <row r="525">
          <cell r="A525" t="str">
            <v>R06</v>
          </cell>
          <cell r="B525" t="str">
            <v>R06-[레이스랩]Red/White Rope Laces</v>
          </cell>
          <cell r="C525">
            <v>10000</v>
          </cell>
          <cell r="D525" t="str">
            <v>Rope Laces</v>
          </cell>
          <cell r="E525">
            <v>2.38</v>
          </cell>
          <cell r="F525">
            <v>3558.1</v>
          </cell>
          <cell r="G525" t="str">
            <v>레이스랩</v>
          </cell>
          <cell r="H525" t="str">
            <v>7-1.LaceLab</v>
          </cell>
          <cell r="I525" t="str">
            <v>Red/White Rope Laces</v>
          </cell>
        </row>
        <row r="526">
          <cell r="A526" t="str">
            <v>R07</v>
          </cell>
          <cell r="B526" t="str">
            <v>R07-[레이스랩]Blue/Black Rope Laces</v>
          </cell>
          <cell r="C526">
            <v>10000</v>
          </cell>
          <cell r="D526" t="str">
            <v>Rope Laces</v>
          </cell>
          <cell r="E526">
            <v>2.38</v>
          </cell>
          <cell r="F526">
            <v>3558.1</v>
          </cell>
          <cell r="G526" t="str">
            <v>레이스랩</v>
          </cell>
          <cell r="H526" t="str">
            <v>7-1.LaceLab</v>
          </cell>
          <cell r="I526" t="str">
            <v>Blue/Black Rope Laces</v>
          </cell>
        </row>
        <row r="527">
          <cell r="A527" t="str">
            <v>R08</v>
          </cell>
          <cell r="B527" t="str">
            <v>R08-[레이스랩]Mint/Black Rope Laces</v>
          </cell>
          <cell r="C527">
            <v>10000</v>
          </cell>
          <cell r="D527" t="str">
            <v>Rope Laces</v>
          </cell>
          <cell r="E527">
            <v>2.38</v>
          </cell>
          <cell r="F527">
            <v>3558.1</v>
          </cell>
          <cell r="G527" t="str">
            <v>레이스랩</v>
          </cell>
          <cell r="H527" t="str">
            <v>7-1.LaceLab</v>
          </cell>
          <cell r="I527" t="str">
            <v>Mint/Black Rope Laces</v>
          </cell>
        </row>
        <row r="528">
          <cell r="A528" t="str">
            <v>R09</v>
          </cell>
          <cell r="B528" t="str">
            <v>R09-[레이스랩]Oxford Tan Rope Laces</v>
          </cell>
          <cell r="C528">
            <v>10000</v>
          </cell>
          <cell r="D528" t="str">
            <v>Rope Laces</v>
          </cell>
          <cell r="E528">
            <v>2.38</v>
          </cell>
          <cell r="F528">
            <v>3558.1</v>
          </cell>
          <cell r="G528" t="str">
            <v>레이스랩</v>
          </cell>
          <cell r="H528" t="str">
            <v>7-1.LaceLab</v>
          </cell>
          <cell r="I528" t="str">
            <v>Oxford Tan Rope Laces</v>
          </cell>
        </row>
        <row r="529">
          <cell r="A529" t="str">
            <v>R10</v>
          </cell>
          <cell r="B529" t="str">
            <v>R10-[레이스랩]Metallic Red/Black Rope Laces</v>
          </cell>
          <cell r="C529">
            <v>10000</v>
          </cell>
          <cell r="D529" t="str">
            <v>Rope Laces</v>
          </cell>
          <cell r="E529">
            <v>2.38</v>
          </cell>
          <cell r="F529">
            <v>3558.1</v>
          </cell>
          <cell r="G529" t="str">
            <v>레이스랩</v>
          </cell>
          <cell r="H529" t="str">
            <v>7-1.LaceLab</v>
          </cell>
          <cell r="I529" t="str">
            <v>Metallic Red/Black Rope Laces</v>
          </cell>
        </row>
        <row r="530">
          <cell r="A530" t="str">
            <v>R11</v>
          </cell>
          <cell r="B530" t="str">
            <v>R11-[레이스랩]Metallic Gold/White Rope Laces</v>
          </cell>
          <cell r="C530">
            <v>10000</v>
          </cell>
          <cell r="D530" t="str">
            <v>Rope Laces</v>
          </cell>
          <cell r="E530">
            <v>2.38</v>
          </cell>
          <cell r="F530">
            <v>3558.1</v>
          </cell>
          <cell r="G530" t="str">
            <v>레이스랩</v>
          </cell>
          <cell r="H530" t="str">
            <v>7-1.LaceLab</v>
          </cell>
          <cell r="I530" t="str">
            <v>Metallic Gold/White Rope Laces</v>
          </cell>
        </row>
        <row r="531">
          <cell r="A531" t="str">
            <v>R12</v>
          </cell>
          <cell r="B531" t="str">
            <v>R12-[레이스랩]Olive/Black Rope Laces</v>
          </cell>
          <cell r="C531">
            <v>10000</v>
          </cell>
          <cell r="D531" t="str">
            <v>Rope Laces</v>
          </cell>
          <cell r="E531">
            <v>2.38</v>
          </cell>
          <cell r="F531">
            <v>3558.1</v>
          </cell>
          <cell r="G531" t="str">
            <v>레이스랩</v>
          </cell>
          <cell r="H531" t="str">
            <v>7-1.LaceLab</v>
          </cell>
          <cell r="I531" t="str">
            <v>Olive/Black Rope Laces</v>
          </cell>
        </row>
        <row r="532">
          <cell r="A532" t="str">
            <v>R13</v>
          </cell>
          <cell r="B532" t="str">
            <v>R13-[레이스랩]Pink/White Rope Laces</v>
          </cell>
          <cell r="C532">
            <v>10000</v>
          </cell>
          <cell r="D532" t="str">
            <v>Rope Laces</v>
          </cell>
          <cell r="E532">
            <v>2.38</v>
          </cell>
          <cell r="F532">
            <v>3558.1</v>
          </cell>
          <cell r="G532" t="str">
            <v>레이스랩</v>
          </cell>
          <cell r="H532" t="str">
            <v>7-1.LaceLab</v>
          </cell>
          <cell r="I532" t="str">
            <v>Pink/White Rope Laces</v>
          </cell>
        </row>
        <row r="533">
          <cell r="A533" t="str">
            <v>R14</v>
          </cell>
          <cell r="B533" t="str">
            <v>R14-[레이스랩]Mint Green/White Rope Laces</v>
          </cell>
          <cell r="C533">
            <v>10000</v>
          </cell>
          <cell r="D533" t="str">
            <v>Rope Laces</v>
          </cell>
          <cell r="E533">
            <v>2.38</v>
          </cell>
          <cell r="F533">
            <v>3558.1</v>
          </cell>
          <cell r="G533" t="str">
            <v>레이스랩</v>
          </cell>
          <cell r="H533" t="str">
            <v>7-1.LaceLab</v>
          </cell>
          <cell r="I533" t="str">
            <v>Mint Green/White Rope Laces</v>
          </cell>
        </row>
        <row r="534">
          <cell r="A534" t="str">
            <v>R15</v>
          </cell>
          <cell r="B534" t="str">
            <v>R15-[레이스랩]Volt/Black Rope Laces</v>
          </cell>
          <cell r="C534">
            <v>10000</v>
          </cell>
          <cell r="D534" t="str">
            <v>Rope Laces</v>
          </cell>
          <cell r="E534">
            <v>2.38</v>
          </cell>
          <cell r="F534">
            <v>3558.1</v>
          </cell>
          <cell r="G534" t="str">
            <v>레이스랩</v>
          </cell>
          <cell r="H534" t="str">
            <v>7-1.LaceLab</v>
          </cell>
          <cell r="I534" t="str">
            <v>Volt/Black Rope Laces</v>
          </cell>
        </row>
        <row r="535">
          <cell r="A535" t="str">
            <v>R16</v>
          </cell>
          <cell r="B535" t="str">
            <v>R16-[레이스랩]Green/White Rope Laces</v>
          </cell>
          <cell r="C535">
            <v>10000</v>
          </cell>
          <cell r="D535" t="str">
            <v>Rope Laces</v>
          </cell>
          <cell r="E535">
            <v>2.38</v>
          </cell>
          <cell r="F535">
            <v>3558.1</v>
          </cell>
          <cell r="G535" t="str">
            <v>레이스랩</v>
          </cell>
          <cell r="H535" t="str">
            <v>7-1.LaceLab</v>
          </cell>
          <cell r="I535" t="str">
            <v>Green/White Rope Laces</v>
          </cell>
        </row>
        <row r="536">
          <cell r="A536" t="str">
            <v>R17</v>
          </cell>
          <cell r="B536" t="str">
            <v>R17-[레이스랩]Black/Metallic Gold Rope Laces</v>
          </cell>
          <cell r="C536">
            <v>10000</v>
          </cell>
          <cell r="D536" t="str">
            <v>Rope Laces</v>
          </cell>
          <cell r="E536">
            <v>2.38</v>
          </cell>
          <cell r="F536">
            <v>3558.1</v>
          </cell>
          <cell r="G536" t="str">
            <v>레이스랩</v>
          </cell>
          <cell r="H536" t="str">
            <v>7-1.LaceLab</v>
          </cell>
          <cell r="I536" t="str">
            <v>Black/Metallic Gold Rope Laces</v>
          </cell>
        </row>
        <row r="537">
          <cell r="A537" t="str">
            <v>R18</v>
          </cell>
          <cell r="B537" t="str">
            <v>R18-[레이스랩]Columbia Blue/Black Rope Laces</v>
          </cell>
          <cell r="C537">
            <v>10000</v>
          </cell>
          <cell r="D537" t="str">
            <v>Rope Laces</v>
          </cell>
          <cell r="E537">
            <v>2.38</v>
          </cell>
          <cell r="F537">
            <v>3558.1</v>
          </cell>
          <cell r="G537" t="str">
            <v>레이스랩</v>
          </cell>
          <cell r="H537" t="str">
            <v>7-1.LaceLab</v>
          </cell>
          <cell r="I537" t="str">
            <v>Columbia Blue/Black Rope Laces</v>
          </cell>
        </row>
        <row r="538">
          <cell r="A538" t="str">
            <v>R19</v>
          </cell>
          <cell r="B538" t="str">
            <v>R19-[레이스랩]Red/Orange Rope Laces</v>
          </cell>
          <cell r="C538">
            <v>10000</v>
          </cell>
          <cell r="D538" t="str">
            <v>Rope Laces</v>
          </cell>
          <cell r="E538">
            <v>2.38</v>
          </cell>
          <cell r="F538">
            <v>3558.1</v>
          </cell>
          <cell r="G538" t="str">
            <v>레이스랩</v>
          </cell>
          <cell r="H538" t="str">
            <v>7-1.LaceLab</v>
          </cell>
          <cell r="I538" t="str">
            <v>Red/Orange Rope Laces</v>
          </cell>
        </row>
        <row r="539">
          <cell r="A539" t="str">
            <v>R20</v>
          </cell>
          <cell r="B539" t="str">
            <v>R20-[레이스랩]Infrapink/Black Rope Laces</v>
          </cell>
          <cell r="C539">
            <v>10000</v>
          </cell>
          <cell r="D539" t="str">
            <v>Rope Laces</v>
          </cell>
          <cell r="E539">
            <v>2.38</v>
          </cell>
          <cell r="F539">
            <v>3558.1</v>
          </cell>
          <cell r="G539" t="str">
            <v>레이스랩</v>
          </cell>
          <cell r="H539" t="str">
            <v>7-1.LaceLab</v>
          </cell>
          <cell r="I539" t="str">
            <v>Infrapink/Black Rope Laces</v>
          </cell>
        </row>
        <row r="540">
          <cell r="A540" t="str">
            <v>R21</v>
          </cell>
          <cell r="B540" t="str">
            <v>R21-[레이스랩]Hot Pink/Black Rope Laces</v>
          </cell>
          <cell r="C540">
            <v>10000</v>
          </cell>
          <cell r="D540" t="str">
            <v>Rope Laces</v>
          </cell>
          <cell r="E540">
            <v>2.38</v>
          </cell>
          <cell r="F540">
            <v>3558.1</v>
          </cell>
          <cell r="G540" t="str">
            <v>레이스랩</v>
          </cell>
          <cell r="H540" t="str">
            <v>7-1.LaceLab</v>
          </cell>
          <cell r="I540" t="str">
            <v>Hot Pink/Black Rope Laces</v>
          </cell>
        </row>
        <row r="541">
          <cell r="A541" t="str">
            <v>R22</v>
          </cell>
          <cell r="B541" t="str">
            <v>R22-[레이스랩]Purple/Black Rope Laces</v>
          </cell>
          <cell r="C541">
            <v>10000</v>
          </cell>
          <cell r="D541" t="str">
            <v>Rope Laces</v>
          </cell>
          <cell r="E541">
            <v>2.38</v>
          </cell>
          <cell r="F541">
            <v>3558.1</v>
          </cell>
          <cell r="G541" t="str">
            <v>레이스랩</v>
          </cell>
          <cell r="H541" t="str">
            <v>7-1.LaceLab</v>
          </cell>
          <cell r="I541" t="str">
            <v>Purple/Black Rope Laces</v>
          </cell>
        </row>
        <row r="542">
          <cell r="A542" t="str">
            <v>R23</v>
          </cell>
          <cell r="B542" t="str">
            <v>R23-[레이스랩]Yellow/Black Rope Laces</v>
          </cell>
          <cell r="C542">
            <v>10000</v>
          </cell>
          <cell r="D542" t="str">
            <v>Rope Laces</v>
          </cell>
          <cell r="E542">
            <v>2.38</v>
          </cell>
          <cell r="F542">
            <v>3558.1</v>
          </cell>
          <cell r="G542" t="str">
            <v>레이스랩</v>
          </cell>
          <cell r="H542" t="str">
            <v>7-1.LaceLab</v>
          </cell>
          <cell r="I542" t="str">
            <v>Yellow/Black Rope Laces</v>
          </cell>
        </row>
        <row r="543">
          <cell r="A543" t="str">
            <v>R24</v>
          </cell>
          <cell r="B543" t="str">
            <v>R24-[레이스랩]Yellow/White Rope Laces</v>
          </cell>
          <cell r="C543">
            <v>10000</v>
          </cell>
          <cell r="D543" t="str">
            <v>Rope Laces</v>
          </cell>
          <cell r="E543">
            <v>2.38</v>
          </cell>
          <cell r="F543">
            <v>3558.1</v>
          </cell>
          <cell r="G543" t="str">
            <v>레이스랩</v>
          </cell>
          <cell r="H543" t="str">
            <v>7-1.LaceLab</v>
          </cell>
          <cell r="I543" t="str">
            <v>Yellow/White Rope Laces</v>
          </cell>
        </row>
        <row r="544">
          <cell r="A544" t="str">
            <v>R25</v>
          </cell>
          <cell r="B544" t="str">
            <v>R25-[레이스랩]Black/Tan Rope Laces</v>
          </cell>
          <cell r="C544">
            <v>10000</v>
          </cell>
          <cell r="D544" t="str">
            <v>Rope Laces</v>
          </cell>
          <cell r="E544">
            <v>2.38</v>
          </cell>
          <cell r="F544">
            <v>3558.1</v>
          </cell>
          <cell r="G544" t="str">
            <v>레이스랩</v>
          </cell>
          <cell r="H544" t="str">
            <v>7-1.LaceLab</v>
          </cell>
          <cell r="I544" t="str">
            <v>Black/Tan Rope Laces</v>
          </cell>
        </row>
        <row r="545">
          <cell r="A545" t="str">
            <v>R26</v>
          </cell>
          <cell r="B545" t="str">
            <v>R26-[레이스랩]Cream/White Rope Laces</v>
          </cell>
          <cell r="C545">
            <v>10000</v>
          </cell>
          <cell r="D545" t="str">
            <v>Rope Laces</v>
          </cell>
          <cell r="E545">
            <v>2.38</v>
          </cell>
          <cell r="F545">
            <v>3558.1</v>
          </cell>
          <cell r="G545" t="str">
            <v>레이스랩</v>
          </cell>
          <cell r="H545" t="str">
            <v>7-1.LaceLab</v>
          </cell>
          <cell r="I545" t="str">
            <v>Cream/White Rope Laces</v>
          </cell>
        </row>
        <row r="546">
          <cell r="A546" t="str">
            <v>R27</v>
          </cell>
          <cell r="B546" t="str">
            <v>R27-[레이스랩]Black/Metallic Gold v2.0 Rope Laces</v>
          </cell>
          <cell r="C546">
            <v>10000</v>
          </cell>
          <cell r="D546" t="str">
            <v>Rope Laces</v>
          </cell>
          <cell r="E546">
            <v>2.38</v>
          </cell>
          <cell r="F546">
            <v>3558.1</v>
          </cell>
          <cell r="G546" t="str">
            <v>레이스랩</v>
          </cell>
          <cell r="H546" t="str">
            <v>7-1.LaceLab</v>
          </cell>
          <cell r="I546" t="str">
            <v>Black/Metallic Gold v2.0 Rope Laces</v>
          </cell>
        </row>
        <row r="547">
          <cell r="A547" t="str">
            <v>R28</v>
          </cell>
          <cell r="B547" t="str">
            <v>R28-[레이스랩]White/Metallic Gold v2.0 Rope Laces</v>
          </cell>
          <cell r="C547">
            <v>10000</v>
          </cell>
          <cell r="D547" t="str">
            <v>Rope Laces</v>
          </cell>
          <cell r="E547">
            <v>2.38</v>
          </cell>
          <cell r="F547">
            <v>3558.1</v>
          </cell>
          <cell r="G547" t="str">
            <v>레이스랩</v>
          </cell>
          <cell r="H547" t="str">
            <v>7-1.LaceLab</v>
          </cell>
          <cell r="I547" t="str">
            <v>White/Metallic Gold v2.0 Rope Laces</v>
          </cell>
        </row>
        <row r="548">
          <cell r="A548" t="str">
            <v>R29</v>
          </cell>
          <cell r="B548" t="str">
            <v>R29-[레이스랩]Green/Black Rope Laces</v>
          </cell>
          <cell r="C548">
            <v>10000</v>
          </cell>
          <cell r="D548" t="str">
            <v>Rope Laces</v>
          </cell>
          <cell r="E548">
            <v>2.38</v>
          </cell>
          <cell r="F548">
            <v>3558.1</v>
          </cell>
          <cell r="G548" t="str">
            <v>레이스랩</v>
          </cell>
          <cell r="H548" t="str">
            <v>7-1.LaceLab</v>
          </cell>
          <cell r="I548" t="str">
            <v>Green/Black Rope Laces</v>
          </cell>
        </row>
        <row r="549">
          <cell r="A549" t="str">
            <v>R30</v>
          </cell>
          <cell r="B549" t="str">
            <v>R30-[레이스랩]Burgundy/Grey Rope Laces</v>
          </cell>
          <cell r="C549">
            <v>10000</v>
          </cell>
          <cell r="D549" t="str">
            <v>Rope Laces</v>
          </cell>
          <cell r="E549">
            <v>2.38</v>
          </cell>
          <cell r="F549">
            <v>3558.1</v>
          </cell>
          <cell r="G549" t="str">
            <v>레이스랩</v>
          </cell>
          <cell r="H549" t="str">
            <v>7-1.LaceLab</v>
          </cell>
          <cell r="I549" t="str">
            <v>Burgundy/Grey Rope Laces</v>
          </cell>
        </row>
        <row r="550">
          <cell r="A550" t="str">
            <v>R31</v>
          </cell>
          <cell r="B550" t="str">
            <v>R31-[레이스랩]Navy Blue/Burgundy Rope Laces</v>
          </cell>
          <cell r="C550">
            <v>10000</v>
          </cell>
          <cell r="D550" t="str">
            <v>Rope Laces</v>
          </cell>
          <cell r="E550">
            <v>2.38</v>
          </cell>
          <cell r="F550">
            <v>3558.1</v>
          </cell>
          <cell r="G550" t="str">
            <v>레이스랩</v>
          </cell>
          <cell r="H550" t="str">
            <v>7-1.LaceLab</v>
          </cell>
          <cell r="I550" t="str">
            <v>Navy Blue/Burgundy Rope Laces</v>
          </cell>
        </row>
        <row r="551">
          <cell r="A551" t="str">
            <v>R32</v>
          </cell>
          <cell r="B551" t="str">
            <v>R32-[레이스랩]Sail Blue Rope Laces</v>
          </cell>
          <cell r="C551">
            <v>10000</v>
          </cell>
          <cell r="D551" t="str">
            <v>Rope Laces</v>
          </cell>
          <cell r="E551">
            <v>2.38</v>
          </cell>
          <cell r="F551">
            <v>3558.1</v>
          </cell>
          <cell r="G551" t="str">
            <v>레이스랩</v>
          </cell>
          <cell r="H551" t="str">
            <v>7-1.LaceLab</v>
          </cell>
          <cell r="I551" t="str">
            <v>Sail Blue Rope Laces</v>
          </cell>
        </row>
        <row r="552">
          <cell r="A552" t="str">
            <v>R33</v>
          </cell>
          <cell r="B552" t="str">
            <v>R33-[레이스랩]Team Red/White Rope Laces</v>
          </cell>
          <cell r="C552">
            <v>10000</v>
          </cell>
          <cell r="D552" t="str">
            <v>Rope Laces</v>
          </cell>
          <cell r="E552">
            <v>2.38</v>
          </cell>
          <cell r="F552">
            <v>3558.1</v>
          </cell>
          <cell r="G552" t="str">
            <v>레이스랩</v>
          </cell>
          <cell r="H552" t="str">
            <v>7-1.LaceLab</v>
          </cell>
          <cell r="I552" t="str">
            <v>Team Red/White Rope Laces</v>
          </cell>
        </row>
        <row r="553">
          <cell r="A553" t="str">
            <v>R34</v>
          </cell>
          <cell r="B553" t="str">
            <v>R34-[레이스랩]Beige Rope Laces</v>
          </cell>
          <cell r="C553">
            <v>10000</v>
          </cell>
          <cell r="D553" t="str">
            <v>Rope Laces</v>
          </cell>
          <cell r="E553">
            <v>2.38</v>
          </cell>
          <cell r="F553">
            <v>3558.1</v>
          </cell>
          <cell r="G553" t="str">
            <v>레이스랩</v>
          </cell>
          <cell r="H553" t="str">
            <v>7-1.LaceLab</v>
          </cell>
          <cell r="I553" t="str">
            <v>Beige Rope Laces</v>
          </cell>
        </row>
        <row r="554">
          <cell r="A554" t="str">
            <v>R35</v>
          </cell>
          <cell r="B554" t="str">
            <v>R35-[레이스랩]Black Rope Laces</v>
          </cell>
          <cell r="C554">
            <v>10000</v>
          </cell>
          <cell r="D554" t="str">
            <v>Rope Laces</v>
          </cell>
          <cell r="E554">
            <v>2.38</v>
          </cell>
          <cell r="F554">
            <v>3558.1</v>
          </cell>
          <cell r="G554" t="str">
            <v>레이스랩</v>
          </cell>
          <cell r="H554" t="str">
            <v>7-1.LaceLab</v>
          </cell>
          <cell r="I554" t="str">
            <v>Black Rope Laces</v>
          </cell>
        </row>
        <row r="555">
          <cell r="A555" t="str">
            <v>R36</v>
          </cell>
          <cell r="B555" t="str">
            <v>R36-[레이스랩]White Rope Laces</v>
          </cell>
          <cell r="C555">
            <v>10000</v>
          </cell>
          <cell r="D555" t="str">
            <v>Rope Laces</v>
          </cell>
          <cell r="E555">
            <v>2.38</v>
          </cell>
          <cell r="F555">
            <v>3558.1</v>
          </cell>
          <cell r="G555" t="str">
            <v>레이스랩</v>
          </cell>
          <cell r="H555" t="str">
            <v>7-1.LaceLab</v>
          </cell>
          <cell r="I555" t="str">
            <v>White Rope Laces</v>
          </cell>
        </row>
        <row r="556">
          <cell r="A556" t="str">
            <v>R37</v>
          </cell>
          <cell r="B556" t="str">
            <v>R37-[레이스랩]Blue Rope Laces</v>
          </cell>
          <cell r="C556">
            <v>10000</v>
          </cell>
          <cell r="D556" t="str">
            <v>Rope Laces</v>
          </cell>
          <cell r="E556">
            <v>2.38</v>
          </cell>
          <cell r="F556">
            <v>3558.1</v>
          </cell>
          <cell r="G556" t="str">
            <v>레이스랩</v>
          </cell>
          <cell r="H556" t="str">
            <v>7-1.LaceLab</v>
          </cell>
          <cell r="I556" t="str">
            <v>Blue Rope Laces</v>
          </cell>
        </row>
        <row r="557">
          <cell r="A557" t="str">
            <v>R38</v>
          </cell>
          <cell r="B557" t="str">
            <v>R38-[레이스랩]Red Rope Laces</v>
          </cell>
          <cell r="C557">
            <v>10000</v>
          </cell>
          <cell r="D557" t="str">
            <v>Rope Laces</v>
          </cell>
          <cell r="E557">
            <v>2.38</v>
          </cell>
          <cell r="F557">
            <v>3558.1</v>
          </cell>
          <cell r="G557" t="str">
            <v>레이스랩</v>
          </cell>
          <cell r="H557" t="str">
            <v>7-1.LaceLab</v>
          </cell>
          <cell r="I557" t="str">
            <v>Red Rope Laces</v>
          </cell>
        </row>
        <row r="558">
          <cell r="A558" t="str">
            <v>R39</v>
          </cell>
          <cell r="B558" t="str">
            <v>R39-[레이스랩]Navy Blue Rope Laces</v>
          </cell>
          <cell r="C558">
            <v>10000</v>
          </cell>
          <cell r="D558" t="str">
            <v>Rope Laces</v>
          </cell>
          <cell r="E558">
            <v>2.38</v>
          </cell>
          <cell r="F558">
            <v>3558.1</v>
          </cell>
          <cell r="G558" t="str">
            <v>레이스랩</v>
          </cell>
          <cell r="H558" t="str">
            <v>7-1.LaceLab</v>
          </cell>
          <cell r="I558" t="str">
            <v>Navy Blue Rope Laces</v>
          </cell>
        </row>
        <row r="559">
          <cell r="A559" t="str">
            <v>3M01</v>
          </cell>
          <cell r="B559" t="str">
            <v>3M01-[레이스랩]Black 3M Reflective Rope Laces</v>
          </cell>
          <cell r="C559">
            <v>11000</v>
          </cell>
          <cell r="D559" t="str">
            <v>3M Reflective Rope Laces</v>
          </cell>
          <cell r="E559">
            <v>2.78</v>
          </cell>
          <cell r="F559">
            <v>4156.1000000000004</v>
          </cell>
          <cell r="G559" t="str">
            <v>레이스랩</v>
          </cell>
          <cell r="H559" t="str">
            <v>7-1.LaceLab</v>
          </cell>
          <cell r="I559" t="str">
            <v>Black 3M Reflective Rope Laces</v>
          </cell>
        </row>
        <row r="560">
          <cell r="A560" t="str">
            <v>3M02</v>
          </cell>
          <cell r="B560" t="str">
            <v>3M02-[레이스랩]Blue 3M Reflective Rope Laces</v>
          </cell>
          <cell r="C560">
            <v>11000</v>
          </cell>
          <cell r="D560" t="str">
            <v>3M Reflective Rope Laces</v>
          </cell>
          <cell r="E560">
            <v>2.78</v>
          </cell>
          <cell r="F560">
            <v>4156.1000000000004</v>
          </cell>
          <cell r="G560" t="str">
            <v>레이스랩</v>
          </cell>
          <cell r="H560" t="str">
            <v>7-1.LaceLab</v>
          </cell>
          <cell r="I560" t="str">
            <v>Blue 3M Reflective Rope Laces</v>
          </cell>
        </row>
        <row r="561">
          <cell r="A561" t="str">
            <v>3M03</v>
          </cell>
          <cell r="B561" t="str">
            <v>3M03-[레이스랩]White 3M Reflective Rope Laces</v>
          </cell>
          <cell r="C561">
            <v>11000</v>
          </cell>
          <cell r="D561" t="str">
            <v>3M Reflective Rope Laces</v>
          </cell>
          <cell r="E561">
            <v>2.78</v>
          </cell>
          <cell r="F561">
            <v>4156.1000000000004</v>
          </cell>
          <cell r="G561" t="str">
            <v>레이스랩</v>
          </cell>
          <cell r="H561" t="str">
            <v>7-1.LaceLab</v>
          </cell>
          <cell r="I561" t="str">
            <v>White 3M Reflective Rope Laces</v>
          </cell>
        </row>
        <row r="562">
          <cell r="A562" t="str">
            <v>3M04</v>
          </cell>
          <cell r="B562" t="str">
            <v>3M04-[레이스랩]Red 3M Reflective Rope Laces</v>
          </cell>
          <cell r="C562">
            <v>11000</v>
          </cell>
          <cell r="D562" t="str">
            <v>3M Reflective Rope Laces</v>
          </cell>
          <cell r="E562">
            <v>2.78</v>
          </cell>
          <cell r="F562">
            <v>4156.1000000000004</v>
          </cell>
          <cell r="G562" t="str">
            <v>레이스랩</v>
          </cell>
          <cell r="H562" t="str">
            <v>7-1.LaceLab</v>
          </cell>
          <cell r="I562" t="str">
            <v>Red 3M Reflective Rope Laces</v>
          </cell>
        </row>
        <row r="563">
          <cell r="A563" t="str">
            <v>3M05</v>
          </cell>
          <cell r="B563" t="str">
            <v>3M05-[레이스랩]Grey 3M/3M Reflective Rope Laces</v>
          </cell>
          <cell r="C563">
            <v>11000</v>
          </cell>
          <cell r="D563" t="str">
            <v>3M Reflective Rope Laces</v>
          </cell>
          <cell r="E563">
            <v>2.78</v>
          </cell>
          <cell r="F563">
            <v>4156.1000000000004</v>
          </cell>
          <cell r="G563" t="str">
            <v>레이스랩</v>
          </cell>
          <cell r="H563" t="str">
            <v>7-1.LaceLab</v>
          </cell>
          <cell r="I563" t="str">
            <v>Grey 3M/3M Reflective Rope Laces</v>
          </cell>
        </row>
        <row r="564">
          <cell r="A564" t="str">
            <v>3M06</v>
          </cell>
          <cell r="B564" t="str">
            <v>3M06-[레이스랩]Olive 3M Reflective Rope Laces</v>
          </cell>
          <cell r="C564">
            <v>11000</v>
          </cell>
          <cell r="D564" t="str">
            <v>3M Reflective Rope Laces</v>
          </cell>
          <cell r="E564">
            <v>2.78</v>
          </cell>
          <cell r="F564">
            <v>4156.1000000000004</v>
          </cell>
          <cell r="G564" t="str">
            <v>레이스랩</v>
          </cell>
          <cell r="H564" t="str">
            <v>7-1.LaceLab</v>
          </cell>
          <cell r="I564" t="str">
            <v>Olive 3M Reflective Rope Laces</v>
          </cell>
        </row>
        <row r="565">
          <cell r="A565" t="str">
            <v>3M07</v>
          </cell>
          <cell r="B565" t="str">
            <v>3M07-[레이스랩]Volt 3M Reflective Rope Laces</v>
          </cell>
          <cell r="C565">
            <v>11000</v>
          </cell>
          <cell r="D565" t="str">
            <v>3M Reflective Rope Laces</v>
          </cell>
          <cell r="E565">
            <v>2.78</v>
          </cell>
          <cell r="F565">
            <v>4156.1000000000004</v>
          </cell>
          <cell r="G565" t="str">
            <v>레이스랩</v>
          </cell>
          <cell r="H565" t="str">
            <v>7-1.LaceLab</v>
          </cell>
          <cell r="I565" t="str">
            <v>Volt 3M Reflective Rope Laces</v>
          </cell>
        </row>
        <row r="566">
          <cell r="A566" t="str">
            <v>3M08</v>
          </cell>
          <cell r="B566" t="str">
            <v>3M08-[레이스랩]Mint 3M Reflective Rope Laces</v>
          </cell>
          <cell r="C566">
            <v>11000</v>
          </cell>
          <cell r="D566" t="str">
            <v>3M Reflective Rope Laces</v>
          </cell>
          <cell r="E566">
            <v>2.78</v>
          </cell>
          <cell r="F566">
            <v>4156.1000000000004</v>
          </cell>
          <cell r="G566" t="str">
            <v>레이스랩</v>
          </cell>
          <cell r="H566" t="str">
            <v>7-1.LaceLab</v>
          </cell>
          <cell r="I566" t="str">
            <v>Mint 3M Reflective Rope Laces</v>
          </cell>
        </row>
        <row r="567">
          <cell r="A567" t="str">
            <v>3M09</v>
          </cell>
          <cell r="B567" t="str">
            <v>3M09-[레이스랩]Cove Blue 3M Reflective Rope Laces</v>
          </cell>
          <cell r="C567">
            <v>11000</v>
          </cell>
          <cell r="D567" t="str">
            <v>3M Reflective Rope Laces</v>
          </cell>
          <cell r="E567">
            <v>2.78</v>
          </cell>
          <cell r="F567">
            <v>4156.1000000000004</v>
          </cell>
          <cell r="G567" t="str">
            <v>레이스랩</v>
          </cell>
          <cell r="H567" t="str">
            <v>7-1.LaceLab</v>
          </cell>
          <cell r="I567" t="str">
            <v>Cove Blue 3M Reflective Rope Laces</v>
          </cell>
        </row>
        <row r="568">
          <cell r="A568" t="str">
            <v>3M10</v>
          </cell>
          <cell r="B568" t="str">
            <v>3M10-[레이스랩]Yellow 3M Reflective Rope Laces</v>
          </cell>
          <cell r="C568">
            <v>11000</v>
          </cell>
          <cell r="D568" t="str">
            <v>3M Reflective Rope Laces</v>
          </cell>
          <cell r="E568">
            <v>2.78</v>
          </cell>
          <cell r="F568">
            <v>4156.1000000000004</v>
          </cell>
          <cell r="G568" t="str">
            <v>레이스랩</v>
          </cell>
          <cell r="H568" t="str">
            <v>7-1.LaceLab</v>
          </cell>
          <cell r="I568" t="str">
            <v>Yellow 3M Reflective Rope Laces</v>
          </cell>
        </row>
        <row r="569">
          <cell r="A569" t="str">
            <v>3M11</v>
          </cell>
          <cell r="B569" t="str">
            <v>3M11-[레이스랩]Purple 3M Reflective Rope Laces</v>
          </cell>
          <cell r="C569">
            <v>11000</v>
          </cell>
          <cell r="D569" t="str">
            <v>3M Reflective Rope Laces</v>
          </cell>
          <cell r="E569">
            <v>2.78</v>
          </cell>
          <cell r="F569">
            <v>4156.1000000000004</v>
          </cell>
          <cell r="G569" t="str">
            <v>레이스랩</v>
          </cell>
          <cell r="H569" t="str">
            <v>7-1.LaceLab</v>
          </cell>
          <cell r="I569" t="str">
            <v>Purple 3M Reflective Rope Laces</v>
          </cell>
        </row>
        <row r="570">
          <cell r="A570" t="str">
            <v>3M12</v>
          </cell>
          <cell r="B570" t="str">
            <v>3M12-[레이스랩]Orange 3M Reflective Rope Laces</v>
          </cell>
          <cell r="C570">
            <v>11000</v>
          </cell>
          <cell r="D570" t="str">
            <v>3M Reflective Rope Laces</v>
          </cell>
          <cell r="E570">
            <v>2.78</v>
          </cell>
          <cell r="F570">
            <v>4156.1000000000004</v>
          </cell>
          <cell r="G570" t="str">
            <v>레이스랩</v>
          </cell>
          <cell r="H570" t="str">
            <v>7-1.LaceLab</v>
          </cell>
          <cell r="I570" t="str">
            <v>Orange 3M Reflective Rope Laces</v>
          </cell>
        </row>
        <row r="571">
          <cell r="A571" t="str">
            <v>3M13</v>
          </cell>
          <cell r="B571" t="str">
            <v>3M13-[레이스랩]Pink 3M Reflective Rope Laces</v>
          </cell>
          <cell r="C571">
            <v>11000</v>
          </cell>
          <cell r="D571" t="str">
            <v>3M Reflective Rope Laces</v>
          </cell>
          <cell r="E571">
            <v>2.78</v>
          </cell>
          <cell r="F571">
            <v>4156.1000000000004</v>
          </cell>
          <cell r="G571" t="str">
            <v>레이스랩</v>
          </cell>
          <cell r="H571" t="str">
            <v>7-1.LaceLab</v>
          </cell>
          <cell r="I571" t="str">
            <v>Pink 3M Reflective Rope Laces</v>
          </cell>
        </row>
        <row r="572">
          <cell r="A572" t="str">
            <v>3M14</v>
          </cell>
          <cell r="B572" t="str">
            <v>3M14-[레이스랩]Green 3M Reflective Rope Laces</v>
          </cell>
          <cell r="C572">
            <v>11000</v>
          </cell>
          <cell r="D572" t="str">
            <v>3M Reflective Rope Laces</v>
          </cell>
          <cell r="E572">
            <v>2.78</v>
          </cell>
          <cell r="F572">
            <v>4156.1000000000004</v>
          </cell>
          <cell r="G572" t="str">
            <v>레이스랩</v>
          </cell>
          <cell r="H572" t="str">
            <v>7-1.LaceLab</v>
          </cell>
          <cell r="I572" t="str">
            <v>Green 3M Reflective Rope Laces</v>
          </cell>
        </row>
        <row r="573">
          <cell r="A573" t="str">
            <v>3M15</v>
          </cell>
          <cell r="B573" t="str">
            <v>3M15-[레이스랩]Sapphire 3M Reflective Rope Laces</v>
          </cell>
          <cell r="C573">
            <v>11000</v>
          </cell>
          <cell r="D573" t="str">
            <v>3M Reflective Rope Laces</v>
          </cell>
          <cell r="E573">
            <v>2.78</v>
          </cell>
          <cell r="F573">
            <v>4156.1000000000004</v>
          </cell>
          <cell r="G573" t="str">
            <v>레이스랩</v>
          </cell>
          <cell r="H573" t="str">
            <v>7-1.LaceLab</v>
          </cell>
          <cell r="I573" t="str">
            <v>Sapphire 3M Reflective Rope Laces</v>
          </cell>
        </row>
        <row r="574">
          <cell r="A574" t="str">
            <v>I01</v>
          </cell>
          <cell r="B574" t="str">
            <v>I01-[레이스랩]Black 3M Inverse Rope Laces</v>
          </cell>
          <cell r="C574">
            <v>11000</v>
          </cell>
          <cell r="D574" t="str">
            <v>3M Inverse Rope Laces</v>
          </cell>
          <cell r="E574">
            <v>2.78</v>
          </cell>
          <cell r="F574">
            <v>4156.1000000000004</v>
          </cell>
          <cell r="G574" t="str">
            <v>레이스랩</v>
          </cell>
          <cell r="H574" t="str">
            <v>7-1.LaceLab</v>
          </cell>
          <cell r="I574" t="str">
            <v>Black 3M Inverse Rope Laces</v>
          </cell>
        </row>
        <row r="575">
          <cell r="A575" t="str">
            <v>I02</v>
          </cell>
          <cell r="B575" t="str">
            <v>I02-[레이스랩]White 3M Inverse Rope Laces</v>
          </cell>
          <cell r="C575">
            <v>11000</v>
          </cell>
          <cell r="D575" t="str">
            <v>3M Inverse Rope Laces</v>
          </cell>
          <cell r="E575">
            <v>2.78</v>
          </cell>
          <cell r="F575">
            <v>4156.1000000000004</v>
          </cell>
          <cell r="G575" t="str">
            <v>레이스랩</v>
          </cell>
          <cell r="H575" t="str">
            <v>7-1.LaceLab</v>
          </cell>
          <cell r="I575" t="str">
            <v>White 3M Inverse Rope Laces</v>
          </cell>
        </row>
        <row r="576">
          <cell r="A576" t="str">
            <v>I03</v>
          </cell>
          <cell r="B576" t="str">
            <v>I03-[레이스랩]Blue 3M Inverse Rope Laces</v>
          </cell>
          <cell r="C576">
            <v>11000</v>
          </cell>
          <cell r="D576" t="str">
            <v>3M Inverse Rope Laces</v>
          </cell>
          <cell r="E576">
            <v>2.78</v>
          </cell>
          <cell r="F576">
            <v>4156.1000000000004</v>
          </cell>
          <cell r="G576" t="str">
            <v>레이스랩</v>
          </cell>
          <cell r="H576" t="str">
            <v>7-1.LaceLab</v>
          </cell>
          <cell r="I576" t="str">
            <v>Blue 3M Inverse Rope Laces</v>
          </cell>
        </row>
        <row r="577">
          <cell r="A577" t="str">
            <v>I04</v>
          </cell>
          <cell r="B577" t="str">
            <v>I04-[레이스랩]Red 3M Inverse Rope Laces</v>
          </cell>
          <cell r="C577">
            <v>11000</v>
          </cell>
          <cell r="D577" t="str">
            <v>3M Inverse Rope Laces</v>
          </cell>
          <cell r="E577">
            <v>2.78</v>
          </cell>
          <cell r="F577">
            <v>4156.1000000000004</v>
          </cell>
          <cell r="G577" t="str">
            <v>레이스랩</v>
          </cell>
          <cell r="H577" t="str">
            <v>7-1.LaceLab</v>
          </cell>
          <cell r="I577" t="str">
            <v>Red 3M Inverse Rope Laces</v>
          </cell>
        </row>
        <row r="578">
          <cell r="A578" t="str">
            <v>I05</v>
          </cell>
          <cell r="B578" t="str">
            <v>I05-[레이스랩]Charcoal 3M Inverse Rope Laces</v>
          </cell>
          <cell r="C578">
            <v>11000</v>
          </cell>
          <cell r="D578" t="str">
            <v>3M Inverse Rope Laces</v>
          </cell>
          <cell r="E578">
            <v>2.78</v>
          </cell>
          <cell r="F578">
            <v>4156.1000000000004</v>
          </cell>
          <cell r="G578" t="str">
            <v>레이스랩</v>
          </cell>
          <cell r="H578" t="str">
            <v>7-1.LaceLab</v>
          </cell>
          <cell r="I578" t="str">
            <v>Charcoal 3M Inverse Rope Laces</v>
          </cell>
        </row>
        <row r="579">
          <cell r="A579" t="str">
            <v>I06</v>
          </cell>
          <cell r="B579" t="str">
            <v>I06-[레이스랩]Mint 3M Inverse Rope Laces</v>
          </cell>
          <cell r="C579">
            <v>11000</v>
          </cell>
          <cell r="D579" t="str">
            <v>3M Inverse Rope Laces</v>
          </cell>
          <cell r="E579">
            <v>2.78</v>
          </cell>
          <cell r="F579">
            <v>4156.1000000000004</v>
          </cell>
          <cell r="G579" t="str">
            <v>레이스랩</v>
          </cell>
          <cell r="H579" t="str">
            <v>7-1.LaceLab</v>
          </cell>
          <cell r="I579" t="str">
            <v>Mint 3M Inverse Rope Laces</v>
          </cell>
        </row>
        <row r="580">
          <cell r="A580" t="str">
            <v>I07</v>
          </cell>
          <cell r="B580" t="str">
            <v>I07-[레이스랩]Cove Blue 3M Inverse Rope Laces</v>
          </cell>
          <cell r="C580">
            <v>11000</v>
          </cell>
          <cell r="D580" t="str">
            <v>3M Inverse Rope Laces</v>
          </cell>
          <cell r="E580">
            <v>2.78</v>
          </cell>
          <cell r="F580">
            <v>4156.1000000000004</v>
          </cell>
          <cell r="G580" t="str">
            <v>레이스랩</v>
          </cell>
          <cell r="H580" t="str">
            <v>7-1.LaceLab</v>
          </cell>
          <cell r="I580" t="str">
            <v>Cove Blue 3M Inverse Rope Laces</v>
          </cell>
        </row>
        <row r="581">
          <cell r="A581" t="str">
            <v>I08</v>
          </cell>
          <cell r="B581" t="str">
            <v>I08-[레이스랩]Volt 3M Inverse Rope Laces</v>
          </cell>
          <cell r="C581">
            <v>11000</v>
          </cell>
          <cell r="D581" t="str">
            <v>3M Inverse Rope Laces</v>
          </cell>
          <cell r="E581">
            <v>2.78</v>
          </cell>
          <cell r="F581">
            <v>4156.1000000000004</v>
          </cell>
          <cell r="G581" t="str">
            <v>레이스랩</v>
          </cell>
          <cell r="H581" t="str">
            <v>7-1.LaceLab</v>
          </cell>
          <cell r="I581" t="str">
            <v>Volt 3M Inverse Rope Laces</v>
          </cell>
        </row>
        <row r="582">
          <cell r="A582" t="str">
            <v>F01</v>
          </cell>
          <cell r="B582" t="str">
            <v>F01-[레이스랩]White Shoe Laces</v>
          </cell>
          <cell r="C582">
            <v>8000</v>
          </cell>
          <cell r="D582" t="str">
            <v>Shoe Laces</v>
          </cell>
          <cell r="E582">
            <v>1.98</v>
          </cell>
          <cell r="F582">
            <v>2960.1</v>
          </cell>
          <cell r="G582" t="str">
            <v>레이스랩</v>
          </cell>
          <cell r="H582" t="str">
            <v>7-1.LaceLab</v>
          </cell>
          <cell r="I582" t="str">
            <v>White Shoe Laces</v>
          </cell>
        </row>
        <row r="583">
          <cell r="A583" t="str">
            <v>F02</v>
          </cell>
          <cell r="B583" t="str">
            <v>F02-[레이스랩]Black Shoe Laces</v>
          </cell>
          <cell r="C583">
            <v>8000</v>
          </cell>
          <cell r="D583" t="str">
            <v>Shoe Laces</v>
          </cell>
          <cell r="E583">
            <v>1.98</v>
          </cell>
          <cell r="F583">
            <v>2960.1</v>
          </cell>
          <cell r="G583" t="str">
            <v>레이스랩</v>
          </cell>
          <cell r="H583" t="str">
            <v>7-1.LaceLab</v>
          </cell>
          <cell r="I583" t="str">
            <v>Black Shoe Laces</v>
          </cell>
        </row>
        <row r="584">
          <cell r="A584" t="str">
            <v>F03</v>
          </cell>
          <cell r="B584" t="str">
            <v>F03-[레이스랩]Red Shoe Laces</v>
          </cell>
          <cell r="C584">
            <v>8000</v>
          </cell>
          <cell r="D584" t="str">
            <v>Shoe Laces</v>
          </cell>
          <cell r="E584">
            <v>1.98</v>
          </cell>
          <cell r="F584">
            <v>2960.1</v>
          </cell>
          <cell r="G584" t="str">
            <v>레이스랩</v>
          </cell>
          <cell r="H584" t="str">
            <v>7-1.LaceLab</v>
          </cell>
          <cell r="I584" t="str">
            <v>Red Shoe Laces</v>
          </cell>
        </row>
        <row r="585">
          <cell r="A585" t="str">
            <v>F04</v>
          </cell>
          <cell r="B585" t="str">
            <v>F04-[레이스랩]Royal Blue Shoe Laces</v>
          </cell>
          <cell r="C585">
            <v>8000</v>
          </cell>
          <cell r="D585" t="str">
            <v>Shoe Laces</v>
          </cell>
          <cell r="E585">
            <v>1.98</v>
          </cell>
          <cell r="F585">
            <v>2960.1</v>
          </cell>
          <cell r="G585" t="str">
            <v>레이스랩</v>
          </cell>
          <cell r="H585" t="str">
            <v>7-1.LaceLab</v>
          </cell>
          <cell r="I585" t="str">
            <v>Royal Blue Shoe Laces</v>
          </cell>
        </row>
        <row r="586">
          <cell r="A586" t="str">
            <v>F05</v>
          </cell>
          <cell r="B586" t="str">
            <v>F05-[레이스랩]Mint Shoe Laces</v>
          </cell>
          <cell r="C586">
            <v>8000</v>
          </cell>
          <cell r="D586" t="str">
            <v>Shoe Laces</v>
          </cell>
          <cell r="E586">
            <v>1.98</v>
          </cell>
          <cell r="F586">
            <v>2960.1</v>
          </cell>
          <cell r="G586" t="str">
            <v>레이스랩</v>
          </cell>
          <cell r="H586" t="str">
            <v>7-1.LaceLab</v>
          </cell>
          <cell r="I586" t="str">
            <v>Mint Shoe Laces</v>
          </cell>
        </row>
        <row r="587">
          <cell r="A587" t="str">
            <v>F06</v>
          </cell>
          <cell r="B587" t="str">
            <v>F06-[레이스랩]Bahama Blue Shoe Laces</v>
          </cell>
          <cell r="C587">
            <v>8000</v>
          </cell>
          <cell r="D587" t="str">
            <v>Shoe Laces</v>
          </cell>
          <cell r="E587">
            <v>1.98</v>
          </cell>
          <cell r="F587">
            <v>2960.1</v>
          </cell>
          <cell r="G587" t="str">
            <v>레이스랩</v>
          </cell>
          <cell r="H587" t="str">
            <v>7-1.LaceLab</v>
          </cell>
          <cell r="I587" t="str">
            <v>Bahama Blue Shoe Laces</v>
          </cell>
        </row>
        <row r="588">
          <cell r="A588" t="str">
            <v>F07</v>
          </cell>
          <cell r="B588" t="str">
            <v>F07-[레이스랩]Maize Shoe Laces</v>
          </cell>
          <cell r="C588">
            <v>8000</v>
          </cell>
          <cell r="D588" t="str">
            <v>Shoe Laces</v>
          </cell>
          <cell r="E588">
            <v>1.98</v>
          </cell>
          <cell r="F588">
            <v>2960.1</v>
          </cell>
          <cell r="G588" t="str">
            <v>레이스랩</v>
          </cell>
          <cell r="H588" t="str">
            <v>7-1.LaceLab</v>
          </cell>
          <cell r="I588" t="str">
            <v>Maize Shoe Laces</v>
          </cell>
        </row>
        <row r="589">
          <cell r="A589" t="str">
            <v>F08</v>
          </cell>
          <cell r="B589" t="str">
            <v>F08-[레이스랩]Maroon Shoe Laces</v>
          </cell>
          <cell r="C589">
            <v>8000</v>
          </cell>
          <cell r="D589" t="str">
            <v>Shoe Laces</v>
          </cell>
          <cell r="E589">
            <v>1.98</v>
          </cell>
          <cell r="F589">
            <v>2960.1</v>
          </cell>
          <cell r="G589" t="str">
            <v>레이스랩</v>
          </cell>
          <cell r="H589" t="str">
            <v>7-1.LaceLab</v>
          </cell>
          <cell r="I589" t="str">
            <v>Maroon Shoe Laces</v>
          </cell>
        </row>
        <row r="590">
          <cell r="A590" t="str">
            <v>F09</v>
          </cell>
          <cell r="B590" t="str">
            <v>F09-[레이스랩]Navy Blue Shoe Laces</v>
          </cell>
          <cell r="C590">
            <v>8000</v>
          </cell>
          <cell r="D590" t="str">
            <v>Shoe Laces</v>
          </cell>
          <cell r="E590">
            <v>1.98</v>
          </cell>
          <cell r="F590">
            <v>2960.1</v>
          </cell>
          <cell r="G590" t="str">
            <v>레이스랩</v>
          </cell>
          <cell r="H590" t="str">
            <v>7-1.LaceLab</v>
          </cell>
          <cell r="I590" t="str">
            <v>Navy Blue Shoe Laces</v>
          </cell>
        </row>
        <row r="591">
          <cell r="A591" t="str">
            <v>F10</v>
          </cell>
          <cell r="B591" t="str">
            <v>F10-[레이스랩]Neon Green Shoe Laces</v>
          </cell>
          <cell r="C591">
            <v>8000</v>
          </cell>
          <cell r="D591" t="str">
            <v>Shoe Laces</v>
          </cell>
          <cell r="E591">
            <v>1.98</v>
          </cell>
          <cell r="F591">
            <v>2960.1</v>
          </cell>
          <cell r="G591" t="str">
            <v>레이스랩</v>
          </cell>
          <cell r="H591" t="str">
            <v>7-1.LaceLab</v>
          </cell>
          <cell r="I591" t="str">
            <v>Neon Green Shoe Laces</v>
          </cell>
        </row>
        <row r="592">
          <cell r="A592" t="str">
            <v>F11</v>
          </cell>
          <cell r="B592" t="str">
            <v>F11-[레이스랩]Neon Pink Shoe Laces</v>
          </cell>
          <cell r="C592">
            <v>8000</v>
          </cell>
          <cell r="D592" t="str">
            <v>Shoe Laces</v>
          </cell>
          <cell r="E592">
            <v>1.98</v>
          </cell>
          <cell r="F592">
            <v>2960.1</v>
          </cell>
          <cell r="G592" t="str">
            <v>레이스랩</v>
          </cell>
          <cell r="H592" t="str">
            <v>7-1.LaceLab</v>
          </cell>
          <cell r="I592" t="str">
            <v>Neon Pink Shoe Laces</v>
          </cell>
        </row>
        <row r="593">
          <cell r="A593" t="str">
            <v>F12</v>
          </cell>
          <cell r="B593" t="str">
            <v>F12-[레이스랩]Pale Yellow Shoe Laces</v>
          </cell>
          <cell r="C593">
            <v>8000</v>
          </cell>
          <cell r="D593" t="str">
            <v>Shoe Laces</v>
          </cell>
          <cell r="E593">
            <v>1.98</v>
          </cell>
          <cell r="F593">
            <v>2960.1</v>
          </cell>
          <cell r="G593" t="str">
            <v>레이스랩</v>
          </cell>
          <cell r="H593" t="str">
            <v>7-1.LaceLab</v>
          </cell>
          <cell r="I593" t="str">
            <v>Pale Yellow Shoe Laces</v>
          </cell>
        </row>
        <row r="594">
          <cell r="A594" t="str">
            <v>F13</v>
          </cell>
          <cell r="B594" t="str">
            <v>F13-[레이스랩]Paradise Purple Shoe Laces</v>
          </cell>
          <cell r="C594">
            <v>8000</v>
          </cell>
          <cell r="D594" t="str">
            <v>Shoe Laces</v>
          </cell>
          <cell r="E594">
            <v>1.98</v>
          </cell>
          <cell r="F594">
            <v>2960.1</v>
          </cell>
          <cell r="G594" t="str">
            <v>레이스랩</v>
          </cell>
          <cell r="H594" t="str">
            <v>7-1.LaceLab</v>
          </cell>
          <cell r="I594" t="str">
            <v>Paradise Purple Shoe Laces</v>
          </cell>
        </row>
        <row r="595">
          <cell r="A595" t="str">
            <v>F14</v>
          </cell>
          <cell r="B595" t="str">
            <v>F14-[레이스랩]Pink Shoe Laces</v>
          </cell>
          <cell r="C595">
            <v>8000</v>
          </cell>
          <cell r="D595" t="str">
            <v>Shoe Laces</v>
          </cell>
          <cell r="E595">
            <v>1.98</v>
          </cell>
          <cell r="F595">
            <v>2960.1</v>
          </cell>
          <cell r="G595" t="str">
            <v>레이스랩</v>
          </cell>
          <cell r="H595" t="str">
            <v>7-1.LaceLab</v>
          </cell>
          <cell r="I595" t="str">
            <v>Pink Shoe Laces</v>
          </cell>
        </row>
        <row r="596">
          <cell r="A596" t="str">
            <v>F15</v>
          </cell>
          <cell r="B596" t="str">
            <v>F15-[레이스랩]Purple Shoe Laces</v>
          </cell>
          <cell r="C596">
            <v>8000</v>
          </cell>
          <cell r="D596" t="str">
            <v>Shoe Laces</v>
          </cell>
          <cell r="E596">
            <v>1.98</v>
          </cell>
          <cell r="F596">
            <v>2960.1</v>
          </cell>
          <cell r="G596" t="str">
            <v>레이스랩</v>
          </cell>
          <cell r="H596" t="str">
            <v>7-1.LaceLab</v>
          </cell>
          <cell r="I596" t="str">
            <v>Purple Shoe Laces</v>
          </cell>
        </row>
        <row r="597">
          <cell r="A597" t="str">
            <v>F16</v>
          </cell>
          <cell r="B597" t="str">
            <v>F16-[레이스랩]Silver Shoe Laces</v>
          </cell>
          <cell r="C597">
            <v>8000</v>
          </cell>
          <cell r="D597" t="str">
            <v>Shoe Laces</v>
          </cell>
          <cell r="E597">
            <v>1.98</v>
          </cell>
          <cell r="F597">
            <v>2960.1</v>
          </cell>
          <cell r="G597" t="str">
            <v>레이스랩</v>
          </cell>
          <cell r="H597" t="str">
            <v>7-1.LaceLab</v>
          </cell>
          <cell r="I597" t="str">
            <v>Silver Shoe Laces</v>
          </cell>
        </row>
        <row r="598">
          <cell r="A598" t="str">
            <v>F17</v>
          </cell>
          <cell r="B598" t="str">
            <v>F17-[레이스랩]Teal Shoe Laces</v>
          </cell>
          <cell r="C598">
            <v>8000</v>
          </cell>
          <cell r="D598" t="str">
            <v>Shoe Laces</v>
          </cell>
          <cell r="E598">
            <v>1.98</v>
          </cell>
          <cell r="F598">
            <v>2960.1</v>
          </cell>
          <cell r="G598" t="str">
            <v>레이스랩</v>
          </cell>
          <cell r="H598" t="str">
            <v>7-1.LaceLab</v>
          </cell>
          <cell r="I598" t="str">
            <v>Teal Shoe Laces</v>
          </cell>
        </row>
        <row r="599">
          <cell r="A599" t="str">
            <v>F18</v>
          </cell>
          <cell r="B599" t="str">
            <v>F18-[레이스랩]Volt Shoe Laces</v>
          </cell>
          <cell r="C599">
            <v>8000</v>
          </cell>
          <cell r="D599" t="str">
            <v>Shoe Laces</v>
          </cell>
          <cell r="E599">
            <v>1.98</v>
          </cell>
          <cell r="F599">
            <v>2960.1</v>
          </cell>
          <cell r="G599" t="str">
            <v>레이스랩</v>
          </cell>
          <cell r="H599" t="str">
            <v>7-1.LaceLab</v>
          </cell>
          <cell r="I599" t="str">
            <v>Volt Shoe Laces</v>
          </cell>
        </row>
        <row r="600">
          <cell r="A600" t="str">
            <v>F19</v>
          </cell>
          <cell r="B600" t="str">
            <v>F19-[레이스랩]Olive Shoe Laces</v>
          </cell>
          <cell r="C600">
            <v>8000</v>
          </cell>
          <cell r="D600" t="str">
            <v>Shoe Laces</v>
          </cell>
          <cell r="E600">
            <v>1.98</v>
          </cell>
          <cell r="F600">
            <v>2960.1</v>
          </cell>
          <cell r="G600" t="str">
            <v>레이스랩</v>
          </cell>
          <cell r="H600" t="str">
            <v>7-1.LaceLab</v>
          </cell>
          <cell r="I600" t="str">
            <v>Olive Shoe Laces</v>
          </cell>
        </row>
        <row r="601">
          <cell r="A601" t="str">
            <v>F20</v>
          </cell>
          <cell r="B601" t="str">
            <v>F20-[레이스랩]Lilac Shoe Laces</v>
          </cell>
          <cell r="C601">
            <v>8000</v>
          </cell>
          <cell r="D601" t="str">
            <v>Shoe Laces</v>
          </cell>
          <cell r="E601">
            <v>1.98</v>
          </cell>
          <cell r="F601">
            <v>2960.1</v>
          </cell>
          <cell r="G601" t="str">
            <v>레이스랩</v>
          </cell>
          <cell r="H601" t="str">
            <v>7-1.LaceLab</v>
          </cell>
          <cell r="I601" t="str">
            <v>Lilac Shoe Laces</v>
          </cell>
        </row>
        <row r="602">
          <cell r="A602" t="str">
            <v>F21</v>
          </cell>
          <cell r="B602" t="str">
            <v>F21-[레이스랩]Light Grey Shoe Laces</v>
          </cell>
          <cell r="C602">
            <v>8000</v>
          </cell>
          <cell r="D602" t="str">
            <v>Shoe Laces</v>
          </cell>
          <cell r="E602">
            <v>1.98</v>
          </cell>
          <cell r="F602">
            <v>2960.1</v>
          </cell>
          <cell r="G602" t="str">
            <v>레이스랩</v>
          </cell>
          <cell r="H602" t="str">
            <v>7-1.LaceLab</v>
          </cell>
          <cell r="I602" t="str">
            <v>Light Grey Shoe Laces</v>
          </cell>
        </row>
        <row r="603">
          <cell r="A603" t="str">
            <v>F22</v>
          </cell>
          <cell r="B603" t="str">
            <v>F22-[레이스랩]Beige Shoe Laces</v>
          </cell>
          <cell r="C603">
            <v>8000</v>
          </cell>
          <cell r="D603" t="str">
            <v>Shoe Laces</v>
          </cell>
          <cell r="E603">
            <v>1.98</v>
          </cell>
          <cell r="F603">
            <v>2960.1</v>
          </cell>
          <cell r="G603" t="str">
            <v>레이스랩</v>
          </cell>
          <cell r="H603" t="str">
            <v>7-1.LaceLab</v>
          </cell>
          <cell r="I603" t="str">
            <v>Beige Shoe Laces</v>
          </cell>
        </row>
        <row r="604">
          <cell r="A604" t="str">
            <v>F23</v>
          </cell>
          <cell r="B604" t="str">
            <v>F23-[레이스랩]Brown Shoe Laces</v>
          </cell>
          <cell r="C604">
            <v>8000</v>
          </cell>
          <cell r="D604" t="str">
            <v>Shoe Laces</v>
          </cell>
          <cell r="E604">
            <v>1.98</v>
          </cell>
          <cell r="F604">
            <v>2960.1</v>
          </cell>
          <cell r="G604" t="str">
            <v>레이스랩</v>
          </cell>
          <cell r="H604" t="str">
            <v>7-1.LaceLab</v>
          </cell>
          <cell r="I604" t="str">
            <v>Brown Shoe Laces</v>
          </cell>
        </row>
        <row r="605">
          <cell r="A605" t="str">
            <v>F24</v>
          </cell>
          <cell r="B605" t="str">
            <v>F24-[레이스랩]Carolina Blue Shoe Laces</v>
          </cell>
          <cell r="C605">
            <v>8000</v>
          </cell>
          <cell r="D605" t="str">
            <v>Shoe Laces</v>
          </cell>
          <cell r="E605">
            <v>1.98</v>
          </cell>
          <cell r="F605">
            <v>2960.1</v>
          </cell>
          <cell r="G605" t="str">
            <v>레이스랩</v>
          </cell>
          <cell r="H605" t="str">
            <v>7-1.LaceLab</v>
          </cell>
          <cell r="I605" t="str">
            <v>Carolina Blue Shoe Laces</v>
          </cell>
        </row>
        <row r="606">
          <cell r="A606" t="str">
            <v>F25</v>
          </cell>
          <cell r="B606" t="str">
            <v>F25-[레이스랩]Charcoal Grey Shoe Laces</v>
          </cell>
          <cell r="C606">
            <v>8000</v>
          </cell>
          <cell r="D606" t="str">
            <v>Shoe Laces</v>
          </cell>
          <cell r="E606">
            <v>1.98</v>
          </cell>
          <cell r="F606">
            <v>2960.1</v>
          </cell>
          <cell r="G606" t="str">
            <v>레이스랩</v>
          </cell>
          <cell r="H606" t="str">
            <v>7-1.LaceLab</v>
          </cell>
          <cell r="I606" t="str">
            <v>Charcoal Grey Shoe Laces</v>
          </cell>
        </row>
        <row r="607">
          <cell r="A607" t="str">
            <v>F26</v>
          </cell>
          <cell r="B607" t="str">
            <v>F26-[레이스랩]Columbia Blue Shoe Laces</v>
          </cell>
          <cell r="C607">
            <v>8000</v>
          </cell>
          <cell r="D607" t="str">
            <v>Shoe Laces</v>
          </cell>
          <cell r="E607">
            <v>1.98</v>
          </cell>
          <cell r="F607">
            <v>2960.1</v>
          </cell>
          <cell r="G607" t="str">
            <v>레이스랩</v>
          </cell>
          <cell r="H607" t="str">
            <v>7-1.LaceLab</v>
          </cell>
          <cell r="I607" t="str">
            <v>Columbia Blue Shoe Laces</v>
          </cell>
        </row>
        <row r="608">
          <cell r="A608" t="str">
            <v>F27</v>
          </cell>
          <cell r="B608" t="str">
            <v>F27-[레이스랩]Dark Brown Shoe Laces</v>
          </cell>
          <cell r="C608">
            <v>8000</v>
          </cell>
          <cell r="D608" t="str">
            <v>Shoe Laces</v>
          </cell>
          <cell r="E608">
            <v>1.98</v>
          </cell>
          <cell r="F608">
            <v>2960.1</v>
          </cell>
          <cell r="G608" t="str">
            <v>레이스랩</v>
          </cell>
          <cell r="H608" t="str">
            <v>7-1.LaceLab</v>
          </cell>
          <cell r="I608" t="str">
            <v>Dark Brown Shoe Laces</v>
          </cell>
        </row>
        <row r="609">
          <cell r="A609" t="str">
            <v>F28</v>
          </cell>
          <cell r="B609" t="str">
            <v>F28-[레이스랩]Dark Green Shoe Laces</v>
          </cell>
          <cell r="C609">
            <v>8000</v>
          </cell>
          <cell r="D609" t="str">
            <v>Shoe Laces</v>
          </cell>
          <cell r="E609">
            <v>1.98</v>
          </cell>
          <cell r="F609">
            <v>2960.1</v>
          </cell>
          <cell r="G609" t="str">
            <v>레이스랩</v>
          </cell>
          <cell r="H609" t="str">
            <v>7-1.LaceLab</v>
          </cell>
          <cell r="I609" t="str">
            <v>Dark Green Shoe Laces</v>
          </cell>
        </row>
        <row r="610">
          <cell r="A610" t="str">
            <v>F29</v>
          </cell>
          <cell r="B610" t="str">
            <v>F29-[레이스랩]Dark Grey Shoe Laces</v>
          </cell>
          <cell r="C610">
            <v>8000</v>
          </cell>
          <cell r="D610" t="str">
            <v>Shoe Laces</v>
          </cell>
          <cell r="E610">
            <v>1.98</v>
          </cell>
          <cell r="F610">
            <v>2960.1</v>
          </cell>
          <cell r="G610" t="str">
            <v>레이스랩</v>
          </cell>
          <cell r="H610" t="str">
            <v>7-1.LaceLab</v>
          </cell>
          <cell r="I610" t="str">
            <v>Dark Grey Shoe Laces</v>
          </cell>
        </row>
        <row r="611">
          <cell r="A611" t="str">
            <v>F30</v>
          </cell>
          <cell r="B611" t="str">
            <v>F30-[레이스랩]Dark Orange Shoe Laces</v>
          </cell>
          <cell r="C611">
            <v>8000</v>
          </cell>
          <cell r="D611" t="str">
            <v>Shoe Laces</v>
          </cell>
          <cell r="E611">
            <v>1.98</v>
          </cell>
          <cell r="F611">
            <v>2960.1</v>
          </cell>
          <cell r="G611" t="str">
            <v>레이스랩</v>
          </cell>
          <cell r="H611" t="str">
            <v>7-1.LaceLab</v>
          </cell>
          <cell r="I611" t="str">
            <v>Dark Orange Shoe Laces</v>
          </cell>
        </row>
        <row r="612">
          <cell r="A612" t="str">
            <v>F31</v>
          </cell>
          <cell r="B612" t="str">
            <v>F31-[레이스랩]Flaming Orange Shoe Laces</v>
          </cell>
          <cell r="C612">
            <v>8000</v>
          </cell>
          <cell r="D612" t="str">
            <v>Shoe Laces</v>
          </cell>
          <cell r="E612">
            <v>1.98</v>
          </cell>
          <cell r="F612">
            <v>2960.1</v>
          </cell>
          <cell r="G612" t="str">
            <v>레이스랩</v>
          </cell>
          <cell r="H612" t="str">
            <v>7-1.LaceLab</v>
          </cell>
          <cell r="I612" t="str">
            <v>Flaming Orange Shoe Laces</v>
          </cell>
        </row>
        <row r="613">
          <cell r="A613" t="str">
            <v>F32</v>
          </cell>
          <cell r="B613" t="str">
            <v>F32-[레이스랩]Fuchsia Shoe Laces</v>
          </cell>
          <cell r="C613">
            <v>8000</v>
          </cell>
          <cell r="D613" t="str">
            <v>Shoe Laces</v>
          </cell>
          <cell r="E613">
            <v>1.98</v>
          </cell>
          <cell r="F613">
            <v>2960.1</v>
          </cell>
          <cell r="G613" t="str">
            <v>레이스랩</v>
          </cell>
          <cell r="H613" t="str">
            <v>7-1.LaceLab</v>
          </cell>
          <cell r="I613" t="str">
            <v>Fuchsia Shoe Laces</v>
          </cell>
        </row>
        <row r="614">
          <cell r="A614" t="str">
            <v>F33</v>
          </cell>
          <cell r="B614" t="str">
            <v>F33-[레이스랩]Gold Shoe Laces</v>
          </cell>
          <cell r="C614">
            <v>8000</v>
          </cell>
          <cell r="D614" t="str">
            <v>Shoe Laces</v>
          </cell>
          <cell r="E614">
            <v>1.98</v>
          </cell>
          <cell r="F614">
            <v>2960.1</v>
          </cell>
          <cell r="G614" t="str">
            <v>레이스랩</v>
          </cell>
          <cell r="H614" t="str">
            <v>7-1.LaceLab</v>
          </cell>
          <cell r="I614" t="str">
            <v>Gold Shoe Laces</v>
          </cell>
        </row>
        <row r="615">
          <cell r="A615" t="str">
            <v>F34</v>
          </cell>
          <cell r="B615" t="str">
            <v>F34-[레이스랩]Kelly Green Shoe Laces</v>
          </cell>
          <cell r="C615">
            <v>8000</v>
          </cell>
          <cell r="D615" t="str">
            <v>Shoe Laces</v>
          </cell>
          <cell r="E615">
            <v>1.98</v>
          </cell>
          <cell r="F615">
            <v>2960.1</v>
          </cell>
          <cell r="G615" t="str">
            <v>레이스랩</v>
          </cell>
          <cell r="H615" t="str">
            <v>7-1.LaceLab</v>
          </cell>
          <cell r="I615" t="str">
            <v>Kelly Green Shoe Laces</v>
          </cell>
        </row>
        <row r="616">
          <cell r="A616" t="str">
            <v>F35</v>
          </cell>
          <cell r="B616" t="str">
            <v>F35-[레이스랩]Light Beige Shoe Laces</v>
          </cell>
          <cell r="C616">
            <v>8000</v>
          </cell>
          <cell r="D616" t="str">
            <v>Shoe Laces</v>
          </cell>
          <cell r="E616">
            <v>1.98</v>
          </cell>
          <cell r="F616">
            <v>2960.1</v>
          </cell>
          <cell r="G616" t="str">
            <v>레이스랩</v>
          </cell>
          <cell r="H616" t="str">
            <v>7-1.LaceLab</v>
          </cell>
          <cell r="I616" t="str">
            <v>Light Beige Shoe Laces</v>
          </cell>
        </row>
        <row r="617">
          <cell r="A617" t="str">
            <v>RF01</v>
          </cell>
          <cell r="B617" t="str">
            <v>RF01-[레이스랩]White  - ReflectiveFlatLaces1.0</v>
          </cell>
          <cell r="C617">
            <v>11000</v>
          </cell>
          <cell r="D617" t="str">
            <v>Reflective Flat Laces</v>
          </cell>
          <cell r="E617">
            <v>2.78</v>
          </cell>
          <cell r="F617">
            <v>4156.1000000000004</v>
          </cell>
          <cell r="G617" t="str">
            <v>레이스랩</v>
          </cell>
          <cell r="H617" t="str">
            <v>7-1.LaceLab</v>
          </cell>
          <cell r="I617" t="str">
            <v>White  - ReflectiveFlatLaces1.0</v>
          </cell>
        </row>
        <row r="618">
          <cell r="A618" t="str">
            <v>RF02</v>
          </cell>
          <cell r="B618" t="str">
            <v xml:space="preserve">RF02-[레이스랩]Black Reflective Flat Laces1.0 </v>
          </cell>
          <cell r="C618">
            <v>11000</v>
          </cell>
          <cell r="D618" t="str">
            <v>Reflective Flat Laces</v>
          </cell>
          <cell r="E618">
            <v>2.78</v>
          </cell>
          <cell r="F618">
            <v>4156.1000000000004</v>
          </cell>
          <cell r="G618" t="str">
            <v>레이스랩</v>
          </cell>
          <cell r="H618" t="str">
            <v>7-1.LaceLab</v>
          </cell>
          <cell r="I618" t="str">
            <v>Black Reflective Flat Laces1.0</v>
          </cell>
        </row>
        <row r="619">
          <cell r="A619" t="str">
            <v>RF03</v>
          </cell>
          <cell r="B619" t="str">
            <v>RF03-[레이스랩]Red  - ReflectiveFlatLaces1.0</v>
          </cell>
          <cell r="C619">
            <v>11000</v>
          </cell>
          <cell r="D619" t="str">
            <v>Reflective Flat Laces</v>
          </cell>
          <cell r="E619">
            <v>2.78</v>
          </cell>
          <cell r="F619">
            <v>4156.1000000000004</v>
          </cell>
          <cell r="G619" t="str">
            <v>레이스랩</v>
          </cell>
          <cell r="H619" t="str">
            <v>7-1.LaceLab</v>
          </cell>
          <cell r="I619" t="str">
            <v>Red  - ReflectiveFlatLaces1.0</v>
          </cell>
        </row>
        <row r="620">
          <cell r="A620" t="str">
            <v>RF04</v>
          </cell>
          <cell r="B620" t="str">
            <v>RF04-[레이스랩]Blue  - ReflectiveFlatLaces1.0</v>
          </cell>
          <cell r="C620">
            <v>11000</v>
          </cell>
          <cell r="D620" t="str">
            <v>Reflective Flat Laces</v>
          </cell>
          <cell r="E620">
            <v>2.78</v>
          </cell>
          <cell r="F620">
            <v>4156.1000000000004</v>
          </cell>
          <cell r="G620" t="str">
            <v>레이스랩</v>
          </cell>
          <cell r="H620" t="str">
            <v>7-1.LaceLab</v>
          </cell>
          <cell r="I620" t="str">
            <v>Blue  - ReflectiveFlatLaces1.0</v>
          </cell>
        </row>
        <row r="621">
          <cell r="A621" t="str">
            <v>RF05</v>
          </cell>
          <cell r="B621" t="str">
            <v>RF05-[레이스랩]White  - ReflectiveFlatLaces2.0</v>
          </cell>
          <cell r="C621">
            <v>11000</v>
          </cell>
          <cell r="D621" t="str">
            <v>Reflective Flat Laces</v>
          </cell>
          <cell r="E621">
            <v>2.78</v>
          </cell>
          <cell r="F621">
            <v>4156.1000000000004</v>
          </cell>
          <cell r="G621" t="str">
            <v>레이스랩</v>
          </cell>
          <cell r="H621" t="str">
            <v>7-1.LaceLab</v>
          </cell>
          <cell r="I621" t="str">
            <v>White  - ReflectiveFlatLaces2.0</v>
          </cell>
        </row>
        <row r="622">
          <cell r="A622" t="str">
            <v>RF06</v>
          </cell>
          <cell r="B622" t="str">
            <v>RF06-[레이스랩]Black  - ReflectiveFlatLaces2.0</v>
          </cell>
          <cell r="C622">
            <v>11000</v>
          </cell>
          <cell r="D622" t="str">
            <v>Reflective Flat Laces</v>
          </cell>
          <cell r="E622">
            <v>2.78</v>
          </cell>
          <cell r="F622">
            <v>4156.1000000000004</v>
          </cell>
          <cell r="G622" t="str">
            <v>레이스랩</v>
          </cell>
          <cell r="H622" t="str">
            <v>7-1.LaceLab</v>
          </cell>
          <cell r="I622" t="str">
            <v>Black  - ReflectiveFlatLaces2.0</v>
          </cell>
        </row>
        <row r="623">
          <cell r="A623" t="str">
            <v>RF07</v>
          </cell>
          <cell r="B623" t="str">
            <v>RF07-[레이스랩]Blue  - ReflectiveFlatLaces2.0</v>
          </cell>
          <cell r="C623">
            <v>11000</v>
          </cell>
          <cell r="D623" t="str">
            <v>Reflective Flat Laces</v>
          </cell>
          <cell r="E623">
            <v>2.78</v>
          </cell>
          <cell r="F623">
            <v>4156.1000000000004</v>
          </cell>
          <cell r="G623" t="str">
            <v>레이스랩</v>
          </cell>
          <cell r="H623" t="str">
            <v>7-1.LaceLab</v>
          </cell>
          <cell r="I623" t="str">
            <v>Blue  - ReflectiveFlatLaces2.0</v>
          </cell>
        </row>
        <row r="624">
          <cell r="A624" t="str">
            <v>RF08</v>
          </cell>
          <cell r="B624" t="str">
            <v>RF08-[레이스랩]Red  - ReflectiveFlatLaces2.0</v>
          </cell>
          <cell r="C624">
            <v>11000</v>
          </cell>
          <cell r="D624" t="str">
            <v>Reflective Flat Laces</v>
          </cell>
          <cell r="E624">
            <v>2.78</v>
          </cell>
          <cell r="F624">
            <v>4156.1000000000004</v>
          </cell>
          <cell r="G624" t="str">
            <v>레이스랩</v>
          </cell>
          <cell r="H624" t="str">
            <v>7-1.LaceLab</v>
          </cell>
          <cell r="I624" t="str">
            <v>Red  - ReflectiveFlatLaces2.0</v>
          </cell>
        </row>
        <row r="625">
          <cell r="A625" t="str">
            <v>RF09</v>
          </cell>
          <cell r="B625" t="str">
            <v>RF09-[레이스랩]Cove Blue  - ReflectiveFlatLaces2.0</v>
          </cell>
          <cell r="C625">
            <v>11000</v>
          </cell>
          <cell r="D625" t="str">
            <v>Reflective Flat Laces</v>
          </cell>
          <cell r="E625">
            <v>2.78</v>
          </cell>
          <cell r="F625">
            <v>4156.1000000000004</v>
          </cell>
          <cell r="G625" t="str">
            <v>레이스랩</v>
          </cell>
          <cell r="H625" t="str">
            <v>7-1.LaceLab</v>
          </cell>
          <cell r="I625" t="str">
            <v>Cove Blue  - ReflectiveFlatLaces2.0</v>
          </cell>
        </row>
        <row r="626">
          <cell r="A626" t="str">
            <v>RF10</v>
          </cell>
          <cell r="B626" t="str">
            <v>RF10-[레이스랩]Mint  - ReflectiveFlatLaces2.0</v>
          </cell>
          <cell r="C626">
            <v>11000</v>
          </cell>
          <cell r="D626" t="str">
            <v>Reflective Flat Laces</v>
          </cell>
          <cell r="E626">
            <v>2.78</v>
          </cell>
          <cell r="F626">
            <v>4156.1000000000004</v>
          </cell>
          <cell r="G626" t="str">
            <v>레이스랩</v>
          </cell>
          <cell r="H626" t="str">
            <v>7-1.LaceLab</v>
          </cell>
          <cell r="I626" t="str">
            <v>Mint  - ReflectiveFlatLaces2.0</v>
          </cell>
        </row>
        <row r="627">
          <cell r="A627" t="str">
            <v>RF11</v>
          </cell>
          <cell r="B627" t="str">
            <v>RF11-[레이스랩]Volt  - ReflectiveFlatLaces2.0</v>
          </cell>
          <cell r="C627">
            <v>11000</v>
          </cell>
          <cell r="D627" t="str">
            <v>Reflective Flat Laces</v>
          </cell>
          <cell r="E627">
            <v>2.78</v>
          </cell>
          <cell r="F627">
            <v>4156.1000000000004</v>
          </cell>
          <cell r="G627" t="str">
            <v>레이스랩</v>
          </cell>
          <cell r="H627" t="str">
            <v>7-1.LaceLab</v>
          </cell>
          <cell r="I627" t="str">
            <v>Volt  - ReflectiveFlatLaces2.0</v>
          </cell>
        </row>
        <row r="628">
          <cell r="A628" t="str">
            <v>RF12</v>
          </cell>
          <cell r="B628" t="str">
            <v>RF12-[레이스랩]Black Reflective Flat Laces</v>
          </cell>
          <cell r="C628">
            <v>11000</v>
          </cell>
          <cell r="D628" t="str">
            <v>Reflective Flat Laces</v>
          </cell>
          <cell r="E628">
            <v>2.78</v>
          </cell>
          <cell r="F628">
            <v>4156.1000000000004</v>
          </cell>
          <cell r="G628" t="str">
            <v>레이스랩</v>
          </cell>
          <cell r="H628" t="str">
            <v>7-1.LaceLab</v>
          </cell>
          <cell r="I628" t="str">
            <v>Black Reflective Flat Laces</v>
          </cell>
        </row>
        <row r="629">
          <cell r="A629" t="str">
            <v>RF13</v>
          </cell>
          <cell r="B629" t="str">
            <v>RF13-[레이스랩]Silver Reflective Flat Laces</v>
          </cell>
          <cell r="C629">
            <v>11000</v>
          </cell>
          <cell r="D629" t="str">
            <v>Reflective Flat Laces</v>
          </cell>
          <cell r="E629">
            <v>2.78</v>
          </cell>
          <cell r="F629">
            <v>4156.1000000000004</v>
          </cell>
          <cell r="G629" t="str">
            <v>레이스랩</v>
          </cell>
          <cell r="H629" t="str">
            <v>7-1.LaceLab</v>
          </cell>
          <cell r="I629" t="str">
            <v>Silver Reflective Flat Laces</v>
          </cell>
        </row>
        <row r="630">
          <cell r="A630" t="str">
            <v>RF14</v>
          </cell>
          <cell r="B630" t="str">
            <v>RF14-[레이스랩]White Reflective Flat Laces</v>
          </cell>
          <cell r="C630">
            <v>11000</v>
          </cell>
          <cell r="D630" t="str">
            <v>Reflective Flat Laces</v>
          </cell>
          <cell r="E630">
            <v>2.78</v>
          </cell>
          <cell r="F630">
            <v>4156.1000000000004</v>
          </cell>
          <cell r="G630" t="str">
            <v>레이스랩</v>
          </cell>
          <cell r="H630" t="str">
            <v>7-1.LaceLab</v>
          </cell>
          <cell r="I630" t="str">
            <v>White Reflective Flat Laces</v>
          </cell>
        </row>
        <row r="631">
          <cell r="A631" t="str">
            <v>RF15</v>
          </cell>
          <cell r="B631" t="str">
            <v>RF15-[레이스랩]Navy Blue  - ReflectiveFlatLaces1.0</v>
          </cell>
          <cell r="C631">
            <v>11000</v>
          </cell>
          <cell r="D631" t="str">
            <v>Reflective Flat Laces</v>
          </cell>
          <cell r="E631">
            <v>2.78</v>
          </cell>
          <cell r="F631">
            <v>4156.1000000000004</v>
          </cell>
          <cell r="G631" t="str">
            <v>레이스랩</v>
          </cell>
          <cell r="H631" t="str">
            <v>7-1.LaceLab</v>
          </cell>
          <cell r="I631" t="str">
            <v>Navy Blue  - ReflectiveFlatLaces1.0</v>
          </cell>
        </row>
        <row r="632">
          <cell r="A632" t="str">
            <v>RF16</v>
          </cell>
          <cell r="B632" t="str">
            <v>RF16-[레이스랩]Sapphire  - ReflectiveFlatLaces1.0</v>
          </cell>
          <cell r="C632">
            <v>11000</v>
          </cell>
          <cell r="D632" t="str">
            <v>Reflective Flat Laces</v>
          </cell>
          <cell r="E632">
            <v>2.78</v>
          </cell>
          <cell r="F632">
            <v>4156.1000000000004</v>
          </cell>
          <cell r="G632" t="str">
            <v>레이스랩</v>
          </cell>
          <cell r="H632" t="str">
            <v>7-1.LaceLab</v>
          </cell>
          <cell r="I632" t="str">
            <v>Sapphire  - ReflectiveFlatLaces1.0</v>
          </cell>
        </row>
        <row r="633">
          <cell r="A633" t="str">
            <v>RF17</v>
          </cell>
          <cell r="B633" t="str">
            <v>RF17-[레이스랩]Sapphire - Reflective Flat Laces 2.0</v>
          </cell>
          <cell r="C633">
            <v>11000</v>
          </cell>
          <cell r="D633" t="str">
            <v>Reflective Flat Laces</v>
          </cell>
          <cell r="E633">
            <v>2.78</v>
          </cell>
          <cell r="F633">
            <v>4156.1000000000004</v>
          </cell>
          <cell r="G633" t="str">
            <v>레이스랩</v>
          </cell>
          <cell r="H633" t="str">
            <v>7-1.LaceLab</v>
          </cell>
          <cell r="I633" t="str">
            <v>Sapphire - Reflective Flat Laces 2.0</v>
          </cell>
        </row>
        <row r="634">
          <cell r="A634" t="str">
            <v>RF18</v>
          </cell>
          <cell r="B634" t="str">
            <v>RF18-[레이스랩]Navy Blue - Reflective Flat Laces 2.0</v>
          </cell>
          <cell r="C634">
            <v>11000</v>
          </cell>
          <cell r="D634" t="str">
            <v>Reflective Flat Laces</v>
          </cell>
          <cell r="E634">
            <v>2.78</v>
          </cell>
          <cell r="F634">
            <v>4156.1000000000004</v>
          </cell>
          <cell r="G634" t="str">
            <v>레이스랩</v>
          </cell>
          <cell r="H634" t="str">
            <v>7-1.LaceLab</v>
          </cell>
          <cell r="I634" t="str">
            <v>Navy Blue - Reflective Flat Laces 2.0</v>
          </cell>
        </row>
        <row r="635">
          <cell r="A635" t="str">
            <v>RF19</v>
          </cell>
          <cell r="B635" t="str">
            <v>RF19-[레이스랩]Olive - Reflective Flat Laces 1.0</v>
          </cell>
          <cell r="C635">
            <v>11000</v>
          </cell>
          <cell r="D635" t="str">
            <v>Reflective Flat Laces</v>
          </cell>
          <cell r="E635">
            <v>2.78</v>
          </cell>
          <cell r="F635">
            <v>4156.1000000000004</v>
          </cell>
          <cell r="G635" t="str">
            <v>레이스랩</v>
          </cell>
          <cell r="H635" t="str">
            <v>7-1.LaceLab</v>
          </cell>
          <cell r="I635" t="str">
            <v>Olive - Reflective Flat Laces 1.0</v>
          </cell>
        </row>
        <row r="636">
          <cell r="A636" t="str">
            <v>RF20</v>
          </cell>
          <cell r="B636" t="str">
            <v>RF20-[레이스랩]Olive - Reflective Flat Laces 2.0</v>
          </cell>
          <cell r="C636">
            <v>11000</v>
          </cell>
          <cell r="D636" t="str">
            <v>Reflective Flat Laces</v>
          </cell>
          <cell r="E636">
            <v>2.78</v>
          </cell>
          <cell r="F636">
            <v>4156.1000000000004</v>
          </cell>
          <cell r="G636" t="str">
            <v>레이스랩</v>
          </cell>
          <cell r="H636" t="str">
            <v>7-1.LaceLab</v>
          </cell>
          <cell r="I636" t="str">
            <v>Olive - Reflective Flat Laces 2.0</v>
          </cell>
        </row>
        <row r="637">
          <cell r="A637" t="str">
            <v>X01</v>
          </cell>
          <cell r="B637" t="str">
            <v>X01-[레이스랩]Black  - XIRopeLaces</v>
          </cell>
          <cell r="C637">
            <v>10000</v>
          </cell>
          <cell r="D637" t="str">
            <v>XI Rope Laces</v>
          </cell>
          <cell r="E637">
            <v>2.38</v>
          </cell>
          <cell r="F637">
            <v>3558.1</v>
          </cell>
          <cell r="G637" t="str">
            <v>레이스랩</v>
          </cell>
          <cell r="H637" t="str">
            <v>7-1.LaceLab</v>
          </cell>
          <cell r="I637" t="str">
            <v>Black  - XIRopeLaces</v>
          </cell>
        </row>
        <row r="638">
          <cell r="A638" t="str">
            <v>X02</v>
          </cell>
          <cell r="B638" t="str">
            <v>X02-[레이스랩]Cool Grey  - XIRopeLaces</v>
          </cell>
          <cell r="C638">
            <v>10000</v>
          </cell>
          <cell r="D638" t="str">
            <v>XI Rope Laces</v>
          </cell>
          <cell r="E638">
            <v>2.38</v>
          </cell>
          <cell r="F638">
            <v>3558.1</v>
          </cell>
          <cell r="G638" t="str">
            <v>레이스랩</v>
          </cell>
          <cell r="H638" t="str">
            <v>7-1.LaceLab</v>
          </cell>
          <cell r="I638" t="str">
            <v>Cool Grey  - XIRopeLaces</v>
          </cell>
        </row>
        <row r="639">
          <cell r="A639" t="str">
            <v>X03</v>
          </cell>
          <cell r="B639" t="str">
            <v>X03-[레이스랩]Gamma Blue  - XIRopeLaces</v>
          </cell>
          <cell r="C639">
            <v>10000</v>
          </cell>
          <cell r="D639" t="str">
            <v>XI Rope Laces</v>
          </cell>
          <cell r="E639">
            <v>2.38</v>
          </cell>
          <cell r="F639">
            <v>3558.1</v>
          </cell>
          <cell r="G639" t="str">
            <v>레이스랩</v>
          </cell>
          <cell r="H639" t="str">
            <v>7-1.LaceLab</v>
          </cell>
          <cell r="I639" t="str">
            <v>Gamma Blue  - XIRopeLaces</v>
          </cell>
        </row>
        <row r="640">
          <cell r="A640" t="str">
            <v>X04</v>
          </cell>
          <cell r="B640" t="str">
            <v>X04-[레이스랩]Grape  - XIRopeLaces</v>
          </cell>
          <cell r="C640">
            <v>10000</v>
          </cell>
          <cell r="D640" t="str">
            <v>XI Rope Laces</v>
          </cell>
          <cell r="E640">
            <v>2.38</v>
          </cell>
          <cell r="F640">
            <v>3558.1</v>
          </cell>
          <cell r="G640" t="str">
            <v>레이스랩</v>
          </cell>
          <cell r="H640" t="str">
            <v>7-1.LaceLab</v>
          </cell>
          <cell r="I640" t="str">
            <v>Grape  - XIRopeLaces</v>
          </cell>
        </row>
        <row r="641">
          <cell r="A641" t="str">
            <v>X05</v>
          </cell>
          <cell r="B641" t="str">
            <v>X05-[레이스랩]Legend Blue  - XIRopeLaces</v>
          </cell>
          <cell r="C641">
            <v>10000</v>
          </cell>
          <cell r="D641" t="str">
            <v>XI Rope Laces</v>
          </cell>
          <cell r="E641">
            <v>2.38</v>
          </cell>
          <cell r="F641">
            <v>3558.1</v>
          </cell>
          <cell r="G641" t="str">
            <v>레이스랩</v>
          </cell>
          <cell r="H641" t="str">
            <v>7-1.LaceLab</v>
          </cell>
          <cell r="I641" t="str">
            <v>Legend Blue  - XIRopeLaces</v>
          </cell>
        </row>
        <row r="642">
          <cell r="A642" t="str">
            <v>X06</v>
          </cell>
          <cell r="B642" t="str">
            <v>X06-[레이스랩]Light Grey  - XIRopeLaces</v>
          </cell>
          <cell r="C642">
            <v>10000</v>
          </cell>
          <cell r="D642" t="str">
            <v>XI Rope Laces</v>
          </cell>
          <cell r="E642">
            <v>2.38</v>
          </cell>
          <cell r="F642">
            <v>3558.1</v>
          </cell>
          <cell r="G642" t="str">
            <v>레이스랩</v>
          </cell>
          <cell r="H642" t="str">
            <v>7-1.LaceLab</v>
          </cell>
          <cell r="I642" t="str">
            <v>Light Grey  - XIRopeLaces</v>
          </cell>
        </row>
        <row r="643">
          <cell r="A643" t="str">
            <v>X07</v>
          </cell>
          <cell r="B643" t="str">
            <v>X07-[레이스랩]Navy Blue  - XIRopeLaces</v>
          </cell>
          <cell r="C643">
            <v>10000</v>
          </cell>
          <cell r="D643" t="str">
            <v>XI Rope Laces</v>
          </cell>
          <cell r="E643">
            <v>2.38</v>
          </cell>
          <cell r="F643">
            <v>3558.1</v>
          </cell>
          <cell r="G643" t="str">
            <v>레이스랩</v>
          </cell>
          <cell r="H643" t="str">
            <v>7-1.LaceLab</v>
          </cell>
          <cell r="I643" t="str">
            <v>Navy Blue  - XIRopeLaces</v>
          </cell>
        </row>
        <row r="644">
          <cell r="A644" t="str">
            <v>X08</v>
          </cell>
          <cell r="B644" t="str">
            <v>X08-[레이스랩]Red  - XILaces</v>
          </cell>
          <cell r="C644">
            <v>10000</v>
          </cell>
          <cell r="D644" t="str">
            <v>XI Rope Laces</v>
          </cell>
          <cell r="E644">
            <v>2.38</v>
          </cell>
          <cell r="F644">
            <v>3558.1</v>
          </cell>
          <cell r="G644" t="str">
            <v>레이스랩</v>
          </cell>
          <cell r="H644" t="str">
            <v>7-1.LaceLab</v>
          </cell>
          <cell r="I644" t="str">
            <v>Red  - XILaces</v>
          </cell>
        </row>
        <row r="645">
          <cell r="A645" t="str">
            <v>X09</v>
          </cell>
          <cell r="B645" t="str">
            <v>X09-[레이스랩]Royal Blue  - XIRopeLaces</v>
          </cell>
          <cell r="C645">
            <v>10000</v>
          </cell>
          <cell r="D645" t="str">
            <v>XI Rope Laces</v>
          </cell>
          <cell r="E645">
            <v>2.38</v>
          </cell>
          <cell r="F645">
            <v>3558.1</v>
          </cell>
          <cell r="G645" t="str">
            <v>레이스랩</v>
          </cell>
          <cell r="H645" t="str">
            <v>7-1.LaceLab</v>
          </cell>
          <cell r="I645" t="str">
            <v>Royal Blue  - XIRopeLaces</v>
          </cell>
        </row>
        <row r="646">
          <cell r="A646" t="str">
            <v>X10</v>
          </cell>
          <cell r="B646" t="str">
            <v>X10-[레이스랩]White  - XIRopeLaces</v>
          </cell>
          <cell r="C646">
            <v>10000</v>
          </cell>
          <cell r="D646" t="str">
            <v>XI Rope Laces</v>
          </cell>
          <cell r="E646">
            <v>2.38</v>
          </cell>
          <cell r="F646">
            <v>3558.1</v>
          </cell>
          <cell r="G646" t="str">
            <v>레이스랩</v>
          </cell>
          <cell r="H646" t="str">
            <v>7-1.LaceLab</v>
          </cell>
          <cell r="I646" t="str">
            <v>White  - XIRopeLaces</v>
          </cell>
        </row>
        <row r="647">
          <cell r="A647" t="str">
            <v>RO01</v>
          </cell>
          <cell r="B647" t="str">
            <v>RO01-[레이스랩]Beige Roshe - StyleLaces</v>
          </cell>
          <cell r="C647">
            <v>7000</v>
          </cell>
          <cell r="D647" t="str">
            <v>Roshe-Style Laces</v>
          </cell>
          <cell r="E647">
            <v>1.58</v>
          </cell>
          <cell r="F647">
            <v>2362.1</v>
          </cell>
          <cell r="G647" t="str">
            <v>레이스랩</v>
          </cell>
          <cell r="H647" t="str">
            <v>7-1.LaceLab</v>
          </cell>
          <cell r="I647" t="str">
            <v>Beige Roshe - StyleLaces</v>
          </cell>
        </row>
        <row r="648">
          <cell r="A648" t="str">
            <v>RO02</v>
          </cell>
          <cell r="B648" t="str">
            <v>RO02-[레이스랩]Black Roshe - StyleLaces</v>
          </cell>
          <cell r="C648">
            <v>7000</v>
          </cell>
          <cell r="D648" t="str">
            <v>Roshe-Style Laces</v>
          </cell>
          <cell r="E648">
            <v>1.58</v>
          </cell>
          <cell r="F648">
            <v>2362.1</v>
          </cell>
          <cell r="G648" t="str">
            <v>레이스랩</v>
          </cell>
          <cell r="H648" t="str">
            <v>7-1.LaceLab</v>
          </cell>
          <cell r="I648" t="str">
            <v>Black Roshe - StyleLaces</v>
          </cell>
        </row>
        <row r="649">
          <cell r="A649" t="str">
            <v>RO03</v>
          </cell>
          <cell r="B649" t="str">
            <v>RO03-[레이스랩]Bone Roshe - StyleLaces</v>
          </cell>
          <cell r="C649">
            <v>7000</v>
          </cell>
          <cell r="D649" t="str">
            <v>Roshe-Style Laces</v>
          </cell>
          <cell r="E649">
            <v>1.58</v>
          </cell>
          <cell r="F649">
            <v>2362.1</v>
          </cell>
          <cell r="G649" t="str">
            <v>레이스랩</v>
          </cell>
          <cell r="H649" t="str">
            <v>7-1.LaceLab</v>
          </cell>
          <cell r="I649" t="str">
            <v>Bone Roshe - StyleLaces</v>
          </cell>
        </row>
        <row r="650">
          <cell r="A650" t="str">
            <v>RO04</v>
          </cell>
          <cell r="B650" t="str">
            <v>RO04-[레이스랩]Cappuccino Roshe - StyleLaces</v>
          </cell>
          <cell r="C650">
            <v>7000</v>
          </cell>
          <cell r="D650" t="str">
            <v>Roshe-Style Laces</v>
          </cell>
          <cell r="E650">
            <v>1.58</v>
          </cell>
          <cell r="F650">
            <v>2362.1</v>
          </cell>
          <cell r="G650" t="str">
            <v>레이스랩</v>
          </cell>
          <cell r="H650" t="str">
            <v>7-1.LaceLab</v>
          </cell>
          <cell r="I650" t="str">
            <v>Cappuccino Roshe - StyleLaces</v>
          </cell>
        </row>
        <row r="651">
          <cell r="A651" t="str">
            <v>RO05</v>
          </cell>
          <cell r="B651" t="str">
            <v>RO05-[레이스랩]Chocolate Roshe - StyleLaces</v>
          </cell>
          <cell r="C651">
            <v>7000</v>
          </cell>
          <cell r="D651" t="str">
            <v>Roshe-Style Laces</v>
          </cell>
          <cell r="E651">
            <v>1.58</v>
          </cell>
          <cell r="F651">
            <v>2362.1</v>
          </cell>
          <cell r="G651" t="str">
            <v>레이스랩</v>
          </cell>
          <cell r="H651" t="str">
            <v>7-1.LaceLab</v>
          </cell>
          <cell r="I651" t="str">
            <v>Chocolate Roshe - StyleLaces</v>
          </cell>
        </row>
        <row r="652">
          <cell r="A652" t="str">
            <v>RO06</v>
          </cell>
          <cell r="B652" t="str">
            <v>RO06-[레이스랩]Dark Brown Roshe - StyleLaces</v>
          </cell>
          <cell r="C652">
            <v>7000</v>
          </cell>
          <cell r="D652" t="str">
            <v>Roshe-Style Laces</v>
          </cell>
          <cell r="E652">
            <v>1.58</v>
          </cell>
          <cell r="F652">
            <v>2362.1</v>
          </cell>
          <cell r="G652" t="str">
            <v>레이스랩</v>
          </cell>
          <cell r="H652" t="str">
            <v>7-1.LaceLab</v>
          </cell>
          <cell r="I652" t="str">
            <v>Dark Brown Roshe - StyleLaces</v>
          </cell>
        </row>
        <row r="653">
          <cell r="A653" t="str">
            <v>RO07</v>
          </cell>
          <cell r="B653" t="str">
            <v>RO07-[레이스랩]Hunter Green Roshe - StyleLaces</v>
          </cell>
          <cell r="C653">
            <v>7000</v>
          </cell>
          <cell r="D653" t="str">
            <v>Roshe-Style Laces</v>
          </cell>
          <cell r="E653">
            <v>1.58</v>
          </cell>
          <cell r="F653">
            <v>2362.1</v>
          </cell>
          <cell r="G653" t="str">
            <v>레이스랩</v>
          </cell>
          <cell r="H653" t="str">
            <v>7-1.LaceLab</v>
          </cell>
          <cell r="I653" t="str">
            <v>Hunter Green Roshe - StyleLaces</v>
          </cell>
        </row>
        <row r="654">
          <cell r="A654" t="str">
            <v>RO08</v>
          </cell>
          <cell r="B654" t="str">
            <v>RO08-[레이스랩]Navy Blue Roshe - StyleLaces</v>
          </cell>
          <cell r="C654">
            <v>7000</v>
          </cell>
          <cell r="D654" t="str">
            <v>Roshe-Style Laces</v>
          </cell>
          <cell r="E654">
            <v>1.58</v>
          </cell>
          <cell r="F654">
            <v>2362.1</v>
          </cell>
          <cell r="G654" t="str">
            <v>레이스랩</v>
          </cell>
          <cell r="H654" t="str">
            <v>7-1.LaceLab</v>
          </cell>
          <cell r="I654" t="str">
            <v>Navy Blue Roshe - StyleLaces</v>
          </cell>
        </row>
        <row r="655">
          <cell r="A655" t="str">
            <v>RO09</v>
          </cell>
          <cell r="B655" t="str">
            <v>RO09-[레이스랩]Neon Green Roshe - StyleLaces</v>
          </cell>
          <cell r="C655">
            <v>7000</v>
          </cell>
          <cell r="D655" t="str">
            <v>Roshe-Style Laces</v>
          </cell>
          <cell r="E655">
            <v>1.58</v>
          </cell>
          <cell r="F655">
            <v>2362.1</v>
          </cell>
          <cell r="G655" t="str">
            <v>레이스랩</v>
          </cell>
          <cell r="H655" t="str">
            <v>7-1.LaceLab</v>
          </cell>
          <cell r="I655" t="str">
            <v>Neon Green Roshe - StyleLaces</v>
          </cell>
        </row>
        <row r="656">
          <cell r="A656" t="str">
            <v>RO10</v>
          </cell>
          <cell r="B656" t="str">
            <v>RO10-[레이스랩]Neon Pink Roshe - StyleLaces</v>
          </cell>
          <cell r="C656">
            <v>7000</v>
          </cell>
          <cell r="D656" t="str">
            <v>Roshe-Style Laces</v>
          </cell>
          <cell r="E656">
            <v>1.58</v>
          </cell>
          <cell r="F656">
            <v>2362.1</v>
          </cell>
          <cell r="G656" t="str">
            <v>레이스랩</v>
          </cell>
          <cell r="H656" t="str">
            <v>7-1.LaceLab</v>
          </cell>
          <cell r="I656" t="str">
            <v>Neon Pink Roshe - StyleLaces</v>
          </cell>
        </row>
        <row r="657">
          <cell r="A657" t="str">
            <v>RO11</v>
          </cell>
          <cell r="B657" t="str">
            <v>RO11-[레이스랩]Red Roshe - StyleLaces</v>
          </cell>
          <cell r="C657">
            <v>7000</v>
          </cell>
          <cell r="D657" t="str">
            <v>Roshe-Style Laces</v>
          </cell>
          <cell r="E657">
            <v>1.58</v>
          </cell>
          <cell r="F657">
            <v>2362.1</v>
          </cell>
          <cell r="G657" t="str">
            <v>레이스랩</v>
          </cell>
          <cell r="H657" t="str">
            <v>7-1.LaceLab</v>
          </cell>
          <cell r="I657" t="str">
            <v>Red Roshe - StyleLaces</v>
          </cell>
        </row>
        <row r="658">
          <cell r="A658" t="str">
            <v>RO12</v>
          </cell>
          <cell r="B658" t="str">
            <v>RO12-[레이스랩]White Roshe - StyleLaces</v>
          </cell>
          <cell r="C658">
            <v>7000</v>
          </cell>
          <cell r="D658" t="str">
            <v>Roshe-Style Laces</v>
          </cell>
          <cell r="E658">
            <v>1.58</v>
          </cell>
          <cell r="F658">
            <v>2362.1</v>
          </cell>
          <cell r="G658" t="str">
            <v>레이스랩</v>
          </cell>
          <cell r="H658" t="str">
            <v>7-1.LaceLab</v>
          </cell>
          <cell r="I658" t="str">
            <v>White Roshe - StyleLaces</v>
          </cell>
        </row>
        <row r="659">
          <cell r="A659" t="str">
            <v>RO13</v>
          </cell>
          <cell r="B659" t="str">
            <v>RO13-[레이스랩]Yellow Roshe - StyleLaces</v>
          </cell>
          <cell r="C659">
            <v>7000</v>
          </cell>
          <cell r="D659" t="str">
            <v>Roshe-Style Laces</v>
          </cell>
          <cell r="E659">
            <v>1.58</v>
          </cell>
          <cell r="F659">
            <v>2362.1</v>
          </cell>
          <cell r="G659" t="str">
            <v>레이스랩</v>
          </cell>
          <cell r="H659" t="str">
            <v>7-1.LaceLab</v>
          </cell>
          <cell r="I659" t="str">
            <v>Yellow Roshe - StyleLaces</v>
          </cell>
        </row>
        <row r="660">
          <cell r="A660" t="str">
            <v>L01</v>
          </cell>
          <cell r="B660" t="str">
            <v>L01-[레이스랩]Black Luxury Leather Laces - GoldPlated</v>
          </cell>
          <cell r="C660">
            <v>30000</v>
          </cell>
          <cell r="D660" t="str">
            <v>Luxury Leather Laces</v>
          </cell>
          <cell r="E660">
            <v>7.98</v>
          </cell>
          <cell r="F660">
            <v>11930.1</v>
          </cell>
          <cell r="G660" t="str">
            <v>레이스랩</v>
          </cell>
          <cell r="H660" t="str">
            <v>7-1.LaceLab</v>
          </cell>
          <cell r="I660" t="str">
            <v>Black Luxury Leather Laces - GoldPlated</v>
          </cell>
        </row>
        <row r="661">
          <cell r="A661" t="str">
            <v>L02</v>
          </cell>
          <cell r="B661" t="str">
            <v>L02-[레이스랩]Black Luxury Leather Laces - GunmetalPlated</v>
          </cell>
          <cell r="C661">
            <v>30000</v>
          </cell>
          <cell r="D661" t="str">
            <v>Luxury Leather Laces</v>
          </cell>
          <cell r="E661">
            <v>7.98</v>
          </cell>
          <cell r="F661">
            <v>11930.1</v>
          </cell>
          <cell r="G661" t="str">
            <v>레이스랩</v>
          </cell>
          <cell r="H661" t="str">
            <v>7-1.LaceLab</v>
          </cell>
          <cell r="I661" t="str">
            <v>Black Luxury Leather Laces - GunmetalPlated</v>
          </cell>
        </row>
        <row r="662">
          <cell r="A662" t="str">
            <v>L03</v>
          </cell>
          <cell r="B662" t="str">
            <v>L03-[레이스랩]Black Luxury Leather Laces - SilverPlated</v>
          </cell>
          <cell r="C662">
            <v>30000</v>
          </cell>
          <cell r="D662" t="str">
            <v>Luxury Leather Laces</v>
          </cell>
          <cell r="E662">
            <v>7.98</v>
          </cell>
          <cell r="F662">
            <v>11930.1</v>
          </cell>
          <cell r="G662" t="str">
            <v>레이스랩</v>
          </cell>
          <cell r="H662" t="str">
            <v>7-1.LaceLab</v>
          </cell>
          <cell r="I662" t="str">
            <v>Black Luxury Leather Laces - SilverPlated</v>
          </cell>
        </row>
        <row r="663">
          <cell r="A663" t="str">
            <v>L04</v>
          </cell>
          <cell r="B663" t="str">
            <v>L04-[레이스랩]White Luxury Leather Laces - GoldPlated</v>
          </cell>
          <cell r="C663">
            <v>30000</v>
          </cell>
          <cell r="D663" t="str">
            <v>Luxury Leather Laces</v>
          </cell>
          <cell r="E663">
            <v>7.98</v>
          </cell>
          <cell r="F663">
            <v>11930.1</v>
          </cell>
          <cell r="G663" t="str">
            <v>레이스랩</v>
          </cell>
          <cell r="H663" t="str">
            <v>7-1.LaceLab</v>
          </cell>
          <cell r="I663" t="str">
            <v>White Luxury Leather Laces - GoldPlated</v>
          </cell>
        </row>
        <row r="664">
          <cell r="A664" t="str">
            <v>L05</v>
          </cell>
          <cell r="B664" t="str">
            <v>L05-[레이스랩]White Luxury Leather Laces - GunmetalPlated</v>
          </cell>
          <cell r="C664">
            <v>30000</v>
          </cell>
          <cell r="D664" t="str">
            <v>Luxury Leather Laces</v>
          </cell>
          <cell r="E664">
            <v>7.98</v>
          </cell>
          <cell r="F664">
            <v>11930.1</v>
          </cell>
          <cell r="G664" t="str">
            <v>레이스랩</v>
          </cell>
          <cell r="H664" t="str">
            <v>7-1.LaceLab</v>
          </cell>
          <cell r="I664" t="str">
            <v>White Luxury Leather Laces - GunmetalPlated</v>
          </cell>
        </row>
        <row r="665">
          <cell r="A665" t="str">
            <v>L06</v>
          </cell>
          <cell r="B665" t="str">
            <v>L06-[레이스랩]White Luxury Leather Laces - SilverPlated</v>
          </cell>
          <cell r="C665">
            <v>30000</v>
          </cell>
          <cell r="D665" t="str">
            <v>Luxury Leather Laces</v>
          </cell>
          <cell r="E665">
            <v>7.98</v>
          </cell>
          <cell r="F665">
            <v>11930.1</v>
          </cell>
          <cell r="G665" t="str">
            <v>레이스랩</v>
          </cell>
          <cell r="H665" t="str">
            <v>7-1.LaceLab</v>
          </cell>
          <cell r="I665" t="str">
            <v>White Luxury Leather Laces - SilverPlated</v>
          </cell>
        </row>
        <row r="666">
          <cell r="A666" t="str">
            <v>L07</v>
          </cell>
          <cell r="B666" t="str">
            <v>L07-[레이스랩]Gold Luxury Leather Laces - GoldPlated</v>
          </cell>
          <cell r="C666">
            <v>30000</v>
          </cell>
          <cell r="D666" t="str">
            <v>Luxury Leather Laces</v>
          </cell>
          <cell r="E666">
            <v>7.98</v>
          </cell>
          <cell r="F666">
            <v>11930.1</v>
          </cell>
          <cell r="G666" t="str">
            <v>레이스랩</v>
          </cell>
          <cell r="H666" t="str">
            <v>7-1.LaceLab</v>
          </cell>
          <cell r="I666" t="str">
            <v>Gold Luxury Leather Laces - GoldPlated</v>
          </cell>
        </row>
        <row r="667">
          <cell r="A667" t="str">
            <v>L08</v>
          </cell>
          <cell r="B667" t="str">
            <v>L08-[레이스랩]Gold Luxury Leather Laces - GunmetalPlated</v>
          </cell>
          <cell r="C667">
            <v>30000</v>
          </cell>
          <cell r="D667" t="str">
            <v>Luxury Leather Laces</v>
          </cell>
          <cell r="E667">
            <v>7.98</v>
          </cell>
          <cell r="F667">
            <v>11930.1</v>
          </cell>
          <cell r="G667" t="str">
            <v>레이스랩</v>
          </cell>
          <cell r="H667" t="str">
            <v>7-1.LaceLab</v>
          </cell>
          <cell r="I667" t="str">
            <v>Gold Luxury Leather Laces - GunmetalPlated</v>
          </cell>
        </row>
        <row r="668">
          <cell r="A668" t="str">
            <v>L09</v>
          </cell>
          <cell r="B668" t="str">
            <v>L09-[레이스랩]Gold Luxury Leather Laces - SilverPlated</v>
          </cell>
          <cell r="C668">
            <v>30000</v>
          </cell>
          <cell r="D668" t="str">
            <v>Luxury Leather Laces</v>
          </cell>
          <cell r="E668">
            <v>7.98</v>
          </cell>
          <cell r="F668">
            <v>11930.1</v>
          </cell>
          <cell r="G668" t="str">
            <v>레이스랩</v>
          </cell>
          <cell r="H668" t="str">
            <v>7-1.LaceLab</v>
          </cell>
          <cell r="I668" t="str">
            <v>Gold Luxury Leather Laces - SilverPlated</v>
          </cell>
        </row>
        <row r="669">
          <cell r="A669" t="str">
            <v>L10</v>
          </cell>
          <cell r="B669" t="str">
            <v>L10-[레이스랩]Red Luxury Leather Laces - GoldPlated</v>
          </cell>
          <cell r="C669">
            <v>30000</v>
          </cell>
          <cell r="D669" t="str">
            <v>Luxury Leather Laces</v>
          </cell>
          <cell r="E669">
            <v>7.98</v>
          </cell>
          <cell r="F669">
            <v>11930.1</v>
          </cell>
          <cell r="G669" t="str">
            <v>레이스랩</v>
          </cell>
          <cell r="H669" t="str">
            <v>7-1.LaceLab</v>
          </cell>
          <cell r="I669" t="str">
            <v>Red Luxury Leather Laces - GoldPlated</v>
          </cell>
        </row>
        <row r="670">
          <cell r="A670" t="str">
            <v>L11</v>
          </cell>
          <cell r="B670" t="str">
            <v>L11-[레이스랩]Red Luxury Leather Laces - GunmetalPlated</v>
          </cell>
          <cell r="C670">
            <v>30000</v>
          </cell>
          <cell r="D670" t="str">
            <v>Luxury Leather Laces</v>
          </cell>
          <cell r="E670">
            <v>7.98</v>
          </cell>
          <cell r="F670">
            <v>11930.1</v>
          </cell>
          <cell r="G670" t="str">
            <v>레이스랩</v>
          </cell>
          <cell r="H670" t="str">
            <v>7-1.LaceLab</v>
          </cell>
          <cell r="I670" t="str">
            <v>Red Luxury Leather Laces - GunmetalPlated</v>
          </cell>
        </row>
        <row r="671">
          <cell r="A671" t="str">
            <v>L12</v>
          </cell>
          <cell r="B671" t="str">
            <v>L12-[레이스랩]Red Luxury Leather Laces - SilverPlated</v>
          </cell>
          <cell r="C671">
            <v>30000</v>
          </cell>
          <cell r="D671" t="str">
            <v>Luxury Leather Laces</v>
          </cell>
          <cell r="E671">
            <v>7.98</v>
          </cell>
          <cell r="F671">
            <v>11930.1</v>
          </cell>
          <cell r="G671" t="str">
            <v>레이스랩</v>
          </cell>
          <cell r="H671" t="str">
            <v>7-1.LaceLab</v>
          </cell>
          <cell r="I671" t="str">
            <v>Red Luxury Leather Laces - SilverPlated</v>
          </cell>
        </row>
        <row r="672">
          <cell r="A672" t="str">
            <v>L13</v>
          </cell>
          <cell r="B672" t="str">
            <v>L13-[레이스랩]Royal Blue Luxury Leather Laces - GoldPlated</v>
          </cell>
          <cell r="C672">
            <v>30000</v>
          </cell>
          <cell r="D672" t="str">
            <v>Luxury Leather Laces</v>
          </cell>
          <cell r="E672">
            <v>7.98</v>
          </cell>
          <cell r="F672">
            <v>11930.1</v>
          </cell>
          <cell r="G672" t="str">
            <v>레이스랩</v>
          </cell>
          <cell r="H672" t="str">
            <v>7-1.LaceLab</v>
          </cell>
          <cell r="I672" t="str">
            <v>Royal Blue Luxury Leather Laces - GoldPlated</v>
          </cell>
        </row>
        <row r="673">
          <cell r="A673" t="str">
            <v>L14</v>
          </cell>
          <cell r="B673" t="str">
            <v>L14-[레이스랩]Royal Blue Luxury Leather Laces - GunmetalPlated</v>
          </cell>
          <cell r="C673">
            <v>30000</v>
          </cell>
          <cell r="D673" t="str">
            <v>Luxury Leather Laces</v>
          </cell>
          <cell r="E673">
            <v>7.98</v>
          </cell>
          <cell r="F673">
            <v>11930.1</v>
          </cell>
          <cell r="G673" t="str">
            <v>레이스랩</v>
          </cell>
          <cell r="H673" t="str">
            <v>7-1.LaceLab</v>
          </cell>
          <cell r="I673" t="str">
            <v>Royal Blue Luxury Leather Laces - GunmetalPlated</v>
          </cell>
        </row>
        <row r="674">
          <cell r="A674" t="str">
            <v>L15</v>
          </cell>
          <cell r="B674" t="str">
            <v>L15-[레이스랩]Royal Blue Luxury Leather Laces - SilverPlated</v>
          </cell>
          <cell r="C674">
            <v>30000</v>
          </cell>
          <cell r="D674" t="str">
            <v>Luxury Leather Laces</v>
          </cell>
          <cell r="E674">
            <v>7.98</v>
          </cell>
          <cell r="F674">
            <v>11930.1</v>
          </cell>
          <cell r="G674" t="str">
            <v>레이스랩</v>
          </cell>
          <cell r="H674" t="str">
            <v>7-1.LaceLab</v>
          </cell>
          <cell r="I674" t="str">
            <v>Royal Blue Luxury Leather Laces - SilverPlated</v>
          </cell>
        </row>
        <row r="675">
          <cell r="A675" t="str">
            <v>L16</v>
          </cell>
          <cell r="B675" t="str">
            <v>L16-[레이스랩]Mint Luxury Leather Laces - Gold Plated</v>
          </cell>
          <cell r="C675">
            <v>30000</v>
          </cell>
          <cell r="D675" t="str">
            <v>Luxury Leather Laces</v>
          </cell>
          <cell r="E675">
            <v>7.98</v>
          </cell>
          <cell r="F675">
            <v>11930.1</v>
          </cell>
          <cell r="G675" t="str">
            <v>레이스랩</v>
          </cell>
          <cell r="H675" t="str">
            <v>7-1.LaceLab</v>
          </cell>
          <cell r="I675" t="str">
            <v>Mint Luxury Leather Laces - Gold Plated</v>
          </cell>
        </row>
        <row r="676">
          <cell r="A676" t="str">
            <v>L17</v>
          </cell>
          <cell r="B676" t="str">
            <v>L17-[레이스랩]Mint Luxury Leather Laces - Gunmetal Plated</v>
          </cell>
          <cell r="C676">
            <v>30000</v>
          </cell>
          <cell r="D676" t="str">
            <v>Luxury Leather Laces</v>
          </cell>
          <cell r="E676">
            <v>7.98</v>
          </cell>
          <cell r="F676">
            <v>11930.1</v>
          </cell>
          <cell r="G676" t="str">
            <v>레이스랩</v>
          </cell>
          <cell r="H676" t="str">
            <v>7-1.LaceLab</v>
          </cell>
          <cell r="I676" t="str">
            <v>Mint Luxury Leather Laces - Gunmetal Plated</v>
          </cell>
        </row>
        <row r="677">
          <cell r="A677" t="str">
            <v>L18</v>
          </cell>
          <cell r="B677" t="str">
            <v>L18-[레이스랩]Mint Luxury Leather Laces - Silver Plated</v>
          </cell>
          <cell r="C677">
            <v>30000</v>
          </cell>
          <cell r="D677" t="str">
            <v>Luxury Leather Laces</v>
          </cell>
          <cell r="E677">
            <v>7.98</v>
          </cell>
          <cell r="F677">
            <v>11930.1</v>
          </cell>
          <cell r="G677" t="str">
            <v>레이스랩</v>
          </cell>
          <cell r="H677" t="str">
            <v>7-1.LaceLab</v>
          </cell>
          <cell r="I677" t="str">
            <v>Mint Luxury Leather Laces - Silver Plated</v>
          </cell>
        </row>
        <row r="678">
          <cell r="A678" t="str">
            <v>L19</v>
          </cell>
          <cell r="B678" t="str">
            <v xml:space="preserve">L19-[레이스랩]Light Grey Luxury Leather Laces - Gold Plated </v>
          </cell>
          <cell r="C678">
            <v>30000</v>
          </cell>
          <cell r="D678" t="str">
            <v>Luxury Leather Laces</v>
          </cell>
          <cell r="E678">
            <v>7.98</v>
          </cell>
          <cell r="F678">
            <v>11930.1</v>
          </cell>
          <cell r="G678" t="str">
            <v>레이스랩</v>
          </cell>
          <cell r="H678" t="str">
            <v>7-1.LaceLab</v>
          </cell>
          <cell r="I678" t="str">
            <v>Light Grey Luxury Leather Laces - Gold Plated</v>
          </cell>
        </row>
        <row r="679">
          <cell r="A679" t="str">
            <v>L20</v>
          </cell>
          <cell r="B679" t="str">
            <v>L20-[레이스랩]Light Grey Luxury Leather Laces - Gunmetal Plated</v>
          </cell>
          <cell r="C679">
            <v>30000</v>
          </cell>
          <cell r="D679" t="str">
            <v>Luxury Leather Laces</v>
          </cell>
          <cell r="E679">
            <v>7.98</v>
          </cell>
          <cell r="F679">
            <v>11930.1</v>
          </cell>
          <cell r="G679" t="str">
            <v>레이스랩</v>
          </cell>
          <cell r="H679" t="str">
            <v>7-1.LaceLab</v>
          </cell>
          <cell r="I679" t="str">
            <v>Light Grey Luxury Leather Laces - Gunmetal Plated</v>
          </cell>
        </row>
        <row r="680">
          <cell r="A680" t="str">
            <v>L21</v>
          </cell>
          <cell r="B680" t="str">
            <v>L21-[레이스랩]Light Grey Luxury Leather Laces - Silver Plated</v>
          </cell>
          <cell r="C680">
            <v>30000</v>
          </cell>
          <cell r="D680" t="str">
            <v>Luxury Leather Laces</v>
          </cell>
          <cell r="E680">
            <v>7.98</v>
          </cell>
          <cell r="F680">
            <v>11930.1</v>
          </cell>
          <cell r="G680" t="str">
            <v>레이스랩</v>
          </cell>
          <cell r="H680" t="str">
            <v>7-1.LaceLab</v>
          </cell>
          <cell r="I680" t="str">
            <v>Light Grey Luxury Leather Laces - Silver Plated</v>
          </cell>
        </row>
        <row r="681">
          <cell r="A681" t="str">
            <v>L22</v>
          </cell>
          <cell r="B681" t="str">
            <v>L22-[레이스랩]Olive Luxury Leather Laces - Gold Plated</v>
          </cell>
          <cell r="C681">
            <v>30000</v>
          </cell>
          <cell r="D681" t="str">
            <v>Luxury Leather Laces</v>
          </cell>
          <cell r="E681">
            <v>7.98</v>
          </cell>
          <cell r="F681">
            <v>11930.1</v>
          </cell>
          <cell r="G681" t="str">
            <v>레이스랩</v>
          </cell>
          <cell r="H681" t="str">
            <v>7-1.LaceLab</v>
          </cell>
          <cell r="I681" t="str">
            <v>Olive Luxury Leather Laces - Gold Plated</v>
          </cell>
        </row>
        <row r="682">
          <cell r="A682" t="str">
            <v>L23</v>
          </cell>
          <cell r="B682" t="str">
            <v>L23-[레이스랩]Olive Luxury Leather Laces - Gunmetal Plated</v>
          </cell>
          <cell r="C682">
            <v>30000</v>
          </cell>
          <cell r="D682" t="str">
            <v>Luxury Leather Laces</v>
          </cell>
          <cell r="E682">
            <v>7.98</v>
          </cell>
          <cell r="F682">
            <v>11930.1</v>
          </cell>
          <cell r="G682" t="str">
            <v>레이스랩</v>
          </cell>
          <cell r="H682" t="str">
            <v>7-1.LaceLab</v>
          </cell>
          <cell r="I682" t="str">
            <v>Olive Luxury Leather Laces - Gunmetal Plated</v>
          </cell>
        </row>
        <row r="683">
          <cell r="A683" t="str">
            <v>L24</v>
          </cell>
          <cell r="B683" t="str">
            <v>L24-[레이스랩]Olive Luxury Leather Laces - Silver Plated</v>
          </cell>
          <cell r="C683">
            <v>30000</v>
          </cell>
          <cell r="D683" t="str">
            <v>Luxury Leather Laces</v>
          </cell>
          <cell r="E683">
            <v>7.98</v>
          </cell>
          <cell r="F683">
            <v>11930.1</v>
          </cell>
          <cell r="G683" t="str">
            <v>레이스랩</v>
          </cell>
          <cell r="H683" t="str">
            <v>7-1.LaceLab</v>
          </cell>
          <cell r="I683" t="str">
            <v>Olive Luxury Leather Laces - Silver Plated</v>
          </cell>
        </row>
        <row r="684">
          <cell r="A684" t="str">
            <v>L25</v>
          </cell>
          <cell r="B684" t="str">
            <v>L25-[레이스랩]Tan Luxury Leather Laces - Gold Plated</v>
          </cell>
          <cell r="C684">
            <v>30000</v>
          </cell>
          <cell r="D684" t="str">
            <v>Luxury Leather Laces</v>
          </cell>
          <cell r="E684">
            <v>7.98</v>
          </cell>
          <cell r="F684">
            <v>11930.1</v>
          </cell>
          <cell r="G684" t="str">
            <v>레이스랩</v>
          </cell>
          <cell r="H684" t="str">
            <v>7-1.LaceLab</v>
          </cell>
          <cell r="I684" t="str">
            <v>Tan Luxury Leather Laces - Gold Plated</v>
          </cell>
        </row>
        <row r="685">
          <cell r="A685" t="str">
            <v>L26</v>
          </cell>
          <cell r="B685" t="str">
            <v>L26-[레이스랩]Tan Luxury Leather Laces - Gunmetal Plated</v>
          </cell>
          <cell r="C685">
            <v>30000</v>
          </cell>
          <cell r="D685" t="str">
            <v>Luxury Leather Laces</v>
          </cell>
          <cell r="E685">
            <v>7.98</v>
          </cell>
          <cell r="F685">
            <v>11930.1</v>
          </cell>
          <cell r="G685" t="str">
            <v>레이스랩</v>
          </cell>
          <cell r="H685" t="str">
            <v>7-1.LaceLab</v>
          </cell>
          <cell r="I685" t="str">
            <v>Tan Luxury Leather Laces - Gunmetal Plated</v>
          </cell>
        </row>
        <row r="686">
          <cell r="A686" t="str">
            <v>L27</v>
          </cell>
          <cell r="B686" t="str">
            <v>L27-[레이스랩]Tan Luxury Leather Laces - Silver Plated</v>
          </cell>
          <cell r="C686">
            <v>30000</v>
          </cell>
          <cell r="D686" t="str">
            <v>Luxury Leather Laces</v>
          </cell>
          <cell r="E686">
            <v>7.98</v>
          </cell>
          <cell r="F686">
            <v>11930.1</v>
          </cell>
          <cell r="G686" t="str">
            <v>레이스랩</v>
          </cell>
          <cell r="H686" t="str">
            <v>7-1.LaceLab</v>
          </cell>
          <cell r="I686" t="str">
            <v>Tan Luxury Leather Laces - Silver Plated</v>
          </cell>
        </row>
        <row r="687">
          <cell r="A687" t="str">
            <v>L28</v>
          </cell>
          <cell r="B687" t="str">
            <v>L28-[레이스랩]Pink Luxury Leather Laces - Gold Plated</v>
          </cell>
          <cell r="C687">
            <v>30000</v>
          </cell>
          <cell r="D687" t="str">
            <v>Luxury Leather Laces</v>
          </cell>
          <cell r="E687">
            <v>7.98</v>
          </cell>
          <cell r="F687">
            <v>11930.1</v>
          </cell>
          <cell r="G687" t="str">
            <v>레이스랩</v>
          </cell>
          <cell r="H687" t="str">
            <v>7-1.LaceLab</v>
          </cell>
          <cell r="I687" t="str">
            <v>Pink Luxury Leather Laces - Gold Plated</v>
          </cell>
        </row>
        <row r="688">
          <cell r="A688" t="str">
            <v>L29</v>
          </cell>
          <cell r="B688" t="str">
            <v>L29-[레이스랩]Pink Luxury Leather Laces - Gunmetal Plated</v>
          </cell>
          <cell r="C688">
            <v>30000</v>
          </cell>
          <cell r="D688" t="str">
            <v>Luxury Leather Laces</v>
          </cell>
          <cell r="E688">
            <v>7.98</v>
          </cell>
          <cell r="F688">
            <v>11930.1</v>
          </cell>
          <cell r="G688" t="str">
            <v>레이스랩</v>
          </cell>
          <cell r="H688" t="str">
            <v>7-1.LaceLab</v>
          </cell>
          <cell r="I688" t="str">
            <v>Pink Luxury Leather Laces - Gunmetal Plated</v>
          </cell>
        </row>
        <row r="689">
          <cell r="A689" t="str">
            <v>L30</v>
          </cell>
          <cell r="B689" t="str">
            <v>L30-[레이스랩]Pink Luxury Leather Laces - Silver Plated</v>
          </cell>
          <cell r="C689">
            <v>30000</v>
          </cell>
          <cell r="D689" t="str">
            <v>Luxury Leather Laces</v>
          </cell>
          <cell r="E689">
            <v>7.98</v>
          </cell>
          <cell r="F689">
            <v>11930.1</v>
          </cell>
          <cell r="G689" t="str">
            <v>레이스랩</v>
          </cell>
          <cell r="H689" t="str">
            <v>7-1.LaceLab</v>
          </cell>
          <cell r="I689" t="str">
            <v>Pink Luxury Leather Laces - Silver Plated</v>
          </cell>
        </row>
        <row r="690">
          <cell r="A690" t="str">
            <v>L31</v>
          </cell>
          <cell r="B690" t="str">
            <v>L31-[레이스랩]Kelly Green Luxury Leather Laces - Gold Plated</v>
          </cell>
          <cell r="C690">
            <v>30000</v>
          </cell>
          <cell r="D690" t="str">
            <v>Luxury Leather Laces</v>
          </cell>
          <cell r="E690">
            <v>7.98</v>
          </cell>
          <cell r="F690">
            <v>11930.1</v>
          </cell>
          <cell r="G690" t="str">
            <v>레이스랩</v>
          </cell>
          <cell r="H690" t="str">
            <v>7-1.LaceLab</v>
          </cell>
          <cell r="I690" t="str">
            <v>Kelly Green Luxury Leather Laces - Gold Plated</v>
          </cell>
        </row>
        <row r="691">
          <cell r="A691" t="str">
            <v>L32</v>
          </cell>
          <cell r="B691" t="str">
            <v>L32-[레이스랩]Kelly Green Luxury Leather Laces - Gunmetal Plated</v>
          </cell>
          <cell r="C691">
            <v>30000</v>
          </cell>
          <cell r="D691" t="str">
            <v>Luxury Leather Laces</v>
          </cell>
          <cell r="E691">
            <v>7.98</v>
          </cell>
          <cell r="F691">
            <v>11930.1</v>
          </cell>
          <cell r="G691" t="str">
            <v>레이스랩</v>
          </cell>
          <cell r="H691" t="str">
            <v>7-1.LaceLab</v>
          </cell>
          <cell r="I691" t="str">
            <v>Kelly Green Luxury Leather Laces - Gunmetal Plated</v>
          </cell>
        </row>
        <row r="692">
          <cell r="A692" t="str">
            <v>L33</v>
          </cell>
          <cell r="B692" t="str">
            <v>L33-[레이스랩]Kelly Green Luxury Leather Laces - Silver Plated</v>
          </cell>
          <cell r="C692">
            <v>30000</v>
          </cell>
          <cell r="D692" t="str">
            <v>Luxury Leather Laces</v>
          </cell>
          <cell r="E692">
            <v>7.98</v>
          </cell>
          <cell r="F692">
            <v>11930.1</v>
          </cell>
          <cell r="G692" t="str">
            <v>레이스랩</v>
          </cell>
          <cell r="H692" t="str">
            <v>7-1.LaceLab</v>
          </cell>
          <cell r="I692" t="str">
            <v>Kelly Green Luxury Leather Laces - Silver Plated</v>
          </cell>
        </row>
        <row r="693">
          <cell r="A693" t="str">
            <v>L34</v>
          </cell>
          <cell r="B693" t="str">
            <v>L34-[레이스랩]Navy Blue Luxury Leather Laces - Gold Plated</v>
          </cell>
          <cell r="C693">
            <v>30000</v>
          </cell>
          <cell r="D693" t="str">
            <v>Luxury Leather Laces</v>
          </cell>
          <cell r="E693">
            <v>7.98</v>
          </cell>
          <cell r="F693">
            <v>11930.1</v>
          </cell>
          <cell r="G693" t="str">
            <v>레이스랩</v>
          </cell>
          <cell r="H693" t="str">
            <v>7-1.LaceLab</v>
          </cell>
          <cell r="I693" t="str">
            <v>Navy Blue Luxury Leather Laces - Gold Plated</v>
          </cell>
        </row>
        <row r="694">
          <cell r="A694" t="str">
            <v>L35</v>
          </cell>
          <cell r="B694" t="str">
            <v>L35-[레이스랩]Navy Blue Luxury Leather Laces - Gunmetal Plated</v>
          </cell>
          <cell r="C694">
            <v>30000</v>
          </cell>
          <cell r="D694" t="str">
            <v>Luxury Leather Laces</v>
          </cell>
          <cell r="E694">
            <v>7.98</v>
          </cell>
          <cell r="F694">
            <v>11930.1</v>
          </cell>
          <cell r="G694" t="str">
            <v>레이스랩</v>
          </cell>
          <cell r="H694" t="str">
            <v>7-1.LaceLab</v>
          </cell>
          <cell r="I694" t="str">
            <v>Navy Blue Luxury Leather Laces - Gunmetal Plated</v>
          </cell>
        </row>
        <row r="695">
          <cell r="A695" t="str">
            <v>L36</v>
          </cell>
          <cell r="B695" t="str">
            <v>L36-[레이스랩]Navy Blue Luxury Leather Laces - Silver Plated</v>
          </cell>
          <cell r="C695">
            <v>30000</v>
          </cell>
          <cell r="D695" t="str">
            <v>Luxury Leather Laces</v>
          </cell>
          <cell r="E695">
            <v>7.98</v>
          </cell>
          <cell r="F695">
            <v>11930.1</v>
          </cell>
          <cell r="G695" t="str">
            <v>레이스랩</v>
          </cell>
          <cell r="H695" t="str">
            <v>7-1.LaceLab</v>
          </cell>
          <cell r="I695" t="str">
            <v>Navy Blue Luxury Leather Laces - Silver Plated</v>
          </cell>
        </row>
        <row r="696">
          <cell r="A696" t="str">
            <v>L37</v>
          </cell>
          <cell r="B696" t="str">
            <v>L37-[레이스랩]University Blue Luxury Leather Laces - Gold Plated</v>
          </cell>
          <cell r="C696">
            <v>30000</v>
          </cell>
          <cell r="D696" t="str">
            <v>Luxury Leather Laces</v>
          </cell>
          <cell r="E696">
            <v>7.98</v>
          </cell>
          <cell r="F696">
            <v>11930.1</v>
          </cell>
          <cell r="G696" t="str">
            <v>레이스랩</v>
          </cell>
          <cell r="H696" t="str">
            <v>7-1.LaceLab</v>
          </cell>
          <cell r="I696" t="str">
            <v>University Blue Luxury Leather Laces - Gold Plated</v>
          </cell>
        </row>
        <row r="697">
          <cell r="A697" t="str">
            <v>L38</v>
          </cell>
          <cell r="B697" t="str">
            <v>L38-[레이스랩]University Blue Luxury Leather Laces - Gunmetal Plated</v>
          </cell>
          <cell r="C697">
            <v>30000</v>
          </cell>
          <cell r="D697" t="str">
            <v>Luxury Leather Laces</v>
          </cell>
          <cell r="E697">
            <v>7.98</v>
          </cell>
          <cell r="F697">
            <v>11930.1</v>
          </cell>
          <cell r="G697" t="str">
            <v>레이스랩</v>
          </cell>
          <cell r="H697" t="str">
            <v>7-1.LaceLab</v>
          </cell>
          <cell r="I697" t="str">
            <v>University Blue Luxury Leather Laces - Gunmetal Plated</v>
          </cell>
        </row>
        <row r="698">
          <cell r="A698" t="str">
            <v>L39</v>
          </cell>
          <cell r="B698" t="str">
            <v>L39-[레이스랩]University Blue Luxury Leather Laces - Silver Plated</v>
          </cell>
          <cell r="C698">
            <v>30000</v>
          </cell>
          <cell r="D698" t="str">
            <v>Luxury Leather Laces</v>
          </cell>
          <cell r="E698">
            <v>7.98</v>
          </cell>
          <cell r="F698">
            <v>11930.1</v>
          </cell>
          <cell r="G698" t="str">
            <v>레이스랩</v>
          </cell>
          <cell r="H698" t="str">
            <v>7-1.LaceLab</v>
          </cell>
          <cell r="I698" t="str">
            <v>University Blue Luxury Leather Laces - Silver Plated</v>
          </cell>
        </row>
        <row r="699">
          <cell r="A699" t="str">
            <v>L40</v>
          </cell>
          <cell r="B699" t="str">
            <v>L40-[레이스랩]Blue Luxury Leather Laces - Gold Plated</v>
          </cell>
          <cell r="C699">
            <v>30000</v>
          </cell>
          <cell r="D699" t="str">
            <v>Luxury Leather Laces</v>
          </cell>
          <cell r="E699">
            <v>7.98</v>
          </cell>
          <cell r="F699">
            <v>11930.1</v>
          </cell>
          <cell r="G699" t="str">
            <v>레이스랩</v>
          </cell>
          <cell r="H699" t="str">
            <v>7-1.LaceLab</v>
          </cell>
          <cell r="I699" t="str">
            <v>Blue Luxury Leather Laces - Gold Plated</v>
          </cell>
        </row>
        <row r="700">
          <cell r="A700" t="str">
            <v>L41</v>
          </cell>
          <cell r="B700" t="str">
            <v>L41-[레이스랩]Blue Luxury Leather Laces - Gunmetal Plated</v>
          </cell>
          <cell r="C700">
            <v>30000</v>
          </cell>
          <cell r="D700" t="str">
            <v>Luxury Leather Laces</v>
          </cell>
          <cell r="E700">
            <v>7.98</v>
          </cell>
          <cell r="F700">
            <v>11930.1</v>
          </cell>
          <cell r="G700" t="str">
            <v>레이스랩</v>
          </cell>
          <cell r="H700" t="str">
            <v>7-1.LaceLab</v>
          </cell>
          <cell r="I700" t="str">
            <v>Blue Luxury Leather Laces - Gunmetal Plated</v>
          </cell>
        </row>
        <row r="701">
          <cell r="A701" t="str">
            <v>L42</v>
          </cell>
          <cell r="B701" t="str">
            <v>L42-[레이스랩]Blue Luxury Leather Laces - Silver Plated</v>
          </cell>
          <cell r="C701">
            <v>30000</v>
          </cell>
          <cell r="D701" t="str">
            <v>Luxury Leather Laces</v>
          </cell>
          <cell r="E701">
            <v>7.98</v>
          </cell>
          <cell r="F701">
            <v>11930.1</v>
          </cell>
          <cell r="G701" t="str">
            <v>레이스랩</v>
          </cell>
          <cell r="H701" t="str">
            <v>7-1.LaceLab</v>
          </cell>
          <cell r="I701" t="str">
            <v>Blue Luxury Leather Laces - Silver Plated</v>
          </cell>
        </row>
        <row r="702">
          <cell r="A702" t="str">
            <v>M01</v>
          </cell>
          <cell r="B702" t="str">
            <v>M01-[레이스랩]Black/Red Multi - ColorRopeLaces</v>
          </cell>
          <cell r="C702">
            <v>10000</v>
          </cell>
          <cell r="D702" t="str">
            <v>Multi-Color Rope Laces</v>
          </cell>
          <cell r="E702">
            <v>2.38</v>
          </cell>
          <cell r="F702">
            <v>3558.1</v>
          </cell>
          <cell r="G702" t="str">
            <v>레이스랩</v>
          </cell>
          <cell r="H702" t="str">
            <v>7-1.LaceLab</v>
          </cell>
          <cell r="I702" t="str">
            <v>Black/Red Multi - ColorRopeLaces</v>
          </cell>
        </row>
        <row r="703">
          <cell r="A703" t="str">
            <v>M02</v>
          </cell>
          <cell r="B703" t="str">
            <v>M02-[레이스랩]Black/White Multi - ColorRopeLaces</v>
          </cell>
          <cell r="C703">
            <v>10000</v>
          </cell>
          <cell r="D703" t="str">
            <v>Multi-Color Rope Laces</v>
          </cell>
          <cell r="E703">
            <v>2.38</v>
          </cell>
          <cell r="F703">
            <v>3558.1</v>
          </cell>
          <cell r="G703" t="str">
            <v>레이스랩</v>
          </cell>
          <cell r="H703" t="str">
            <v>7-1.LaceLab</v>
          </cell>
          <cell r="I703" t="str">
            <v>Black/White Multi - ColorRopeLaces</v>
          </cell>
        </row>
        <row r="704">
          <cell r="A704" t="str">
            <v>M03</v>
          </cell>
          <cell r="B704" t="str">
            <v>M03-[레이스랩]Blue Multi - ColorRopeLaces</v>
          </cell>
          <cell r="C704">
            <v>10000</v>
          </cell>
          <cell r="D704" t="str">
            <v>Multi-Color Rope Laces</v>
          </cell>
          <cell r="E704">
            <v>2.38</v>
          </cell>
          <cell r="F704">
            <v>3558.1</v>
          </cell>
          <cell r="G704" t="str">
            <v>레이스랩</v>
          </cell>
          <cell r="H704" t="str">
            <v>7-1.LaceLab</v>
          </cell>
          <cell r="I704" t="str">
            <v>Blue Multi - ColorRopeLaces</v>
          </cell>
        </row>
        <row r="705">
          <cell r="A705" t="str">
            <v>M04</v>
          </cell>
          <cell r="B705" t="str">
            <v>M04-[레이스랩]Green Multi - ColorRopeLaces</v>
          </cell>
          <cell r="C705">
            <v>10000</v>
          </cell>
          <cell r="D705" t="str">
            <v>Multi-Color Rope Laces</v>
          </cell>
          <cell r="E705">
            <v>2.38</v>
          </cell>
          <cell r="F705">
            <v>3558.1</v>
          </cell>
          <cell r="G705" t="str">
            <v>레이스랩</v>
          </cell>
          <cell r="H705" t="str">
            <v>7-1.LaceLab</v>
          </cell>
          <cell r="I705" t="str">
            <v>Green Multi - ColorRopeLaces</v>
          </cell>
        </row>
        <row r="706">
          <cell r="A706" t="str">
            <v>M05</v>
          </cell>
          <cell r="B706" t="str">
            <v>M05-[레이스랩]Orange Multi - ColorRopeLaces</v>
          </cell>
          <cell r="C706">
            <v>10000</v>
          </cell>
          <cell r="D706" t="str">
            <v>Multi-Color Rope Laces</v>
          </cell>
          <cell r="E706">
            <v>2.38</v>
          </cell>
          <cell r="F706">
            <v>3558.1</v>
          </cell>
          <cell r="G706" t="str">
            <v>레이스랩</v>
          </cell>
          <cell r="H706" t="str">
            <v>7-1.LaceLab</v>
          </cell>
          <cell r="I706" t="str">
            <v>Orange Multi - ColorRopeLaces</v>
          </cell>
        </row>
        <row r="707">
          <cell r="A707" t="str">
            <v>M06</v>
          </cell>
          <cell r="B707" t="str">
            <v>M06-[레이스랩]Pink Multi - ColorRopeLaces</v>
          </cell>
          <cell r="C707">
            <v>10000</v>
          </cell>
          <cell r="D707" t="str">
            <v>Multi-Color Rope Laces</v>
          </cell>
          <cell r="E707">
            <v>2.38</v>
          </cell>
          <cell r="F707">
            <v>3558.1</v>
          </cell>
          <cell r="G707" t="str">
            <v>레이스랩</v>
          </cell>
          <cell r="H707" t="str">
            <v>7-1.LaceLab</v>
          </cell>
          <cell r="I707" t="str">
            <v>Pink Multi - ColorRopeLaces</v>
          </cell>
        </row>
        <row r="708">
          <cell r="A708" t="str">
            <v>M07</v>
          </cell>
          <cell r="B708" t="str">
            <v>M07-[레이스랩]Volt Multi - ColorRopeLaces</v>
          </cell>
          <cell r="C708">
            <v>10000</v>
          </cell>
          <cell r="D708" t="str">
            <v>Multi-Color Rope Laces</v>
          </cell>
          <cell r="E708">
            <v>2.38</v>
          </cell>
          <cell r="F708">
            <v>3558.1</v>
          </cell>
          <cell r="G708" t="str">
            <v>레이스랩</v>
          </cell>
          <cell r="H708" t="str">
            <v>7-1.LaceLab</v>
          </cell>
          <cell r="I708" t="str">
            <v>Volt Multi - ColorRopeLaces</v>
          </cell>
        </row>
        <row r="709">
          <cell r="A709" t="str">
            <v>O01</v>
          </cell>
          <cell r="B709" t="str">
            <v>O01-[레이스랩]Black  - OvalSBLaces</v>
          </cell>
          <cell r="C709">
            <v>7000</v>
          </cell>
          <cell r="D709" t="str">
            <v>Oval SB Laces</v>
          </cell>
          <cell r="E709">
            <v>1.58</v>
          </cell>
          <cell r="F709">
            <v>2362.1</v>
          </cell>
          <cell r="G709" t="str">
            <v>레이스랩</v>
          </cell>
          <cell r="H709" t="str">
            <v>7-1.LaceLab</v>
          </cell>
          <cell r="I709" t="str">
            <v>Black  - OvalSBLaces</v>
          </cell>
        </row>
        <row r="710">
          <cell r="A710" t="str">
            <v>O02</v>
          </cell>
          <cell r="B710" t="str">
            <v>O02-[레이스랩]Blue  - OvalSBLaces</v>
          </cell>
          <cell r="C710">
            <v>7000</v>
          </cell>
          <cell r="D710" t="str">
            <v>Oval SB Laces</v>
          </cell>
          <cell r="E710">
            <v>1.58</v>
          </cell>
          <cell r="F710">
            <v>2362.1</v>
          </cell>
          <cell r="G710" t="str">
            <v>레이스랩</v>
          </cell>
          <cell r="H710" t="str">
            <v>7-1.LaceLab</v>
          </cell>
          <cell r="I710" t="str">
            <v>Blue  - OvalSBLaces</v>
          </cell>
        </row>
        <row r="711">
          <cell r="A711" t="str">
            <v>O03</v>
          </cell>
          <cell r="B711" t="str">
            <v>O03-[레이스랩]Carolina Blue  - OvalSBLaces</v>
          </cell>
          <cell r="C711">
            <v>7000</v>
          </cell>
          <cell r="D711" t="str">
            <v>Oval SB Laces</v>
          </cell>
          <cell r="E711">
            <v>1.58</v>
          </cell>
          <cell r="F711">
            <v>2362.1</v>
          </cell>
          <cell r="G711" t="str">
            <v>레이스랩</v>
          </cell>
          <cell r="H711" t="str">
            <v>7-1.LaceLab</v>
          </cell>
          <cell r="I711" t="str">
            <v>Carolina Blue  - OvalSBLaces</v>
          </cell>
        </row>
        <row r="712">
          <cell r="A712" t="str">
            <v>O04</v>
          </cell>
          <cell r="B712" t="str">
            <v>O04-[레이스랩]Green  - OvalSBLaces</v>
          </cell>
          <cell r="C712">
            <v>7000</v>
          </cell>
          <cell r="D712" t="str">
            <v>Oval SB Laces</v>
          </cell>
          <cell r="E712">
            <v>1.58</v>
          </cell>
          <cell r="F712">
            <v>2362.1</v>
          </cell>
          <cell r="G712" t="str">
            <v>레이스랩</v>
          </cell>
          <cell r="H712" t="str">
            <v>7-1.LaceLab</v>
          </cell>
          <cell r="I712" t="str">
            <v>Green  - OvalSBLaces</v>
          </cell>
        </row>
        <row r="713">
          <cell r="A713" t="str">
            <v>O05</v>
          </cell>
          <cell r="B713" t="str">
            <v>O05-[레이스랩]Grey  - OvalSBLaces</v>
          </cell>
          <cell r="C713">
            <v>7000</v>
          </cell>
          <cell r="D713" t="str">
            <v>Oval SB Laces</v>
          </cell>
          <cell r="E713">
            <v>1.58</v>
          </cell>
          <cell r="F713">
            <v>2362.1</v>
          </cell>
          <cell r="G713" t="str">
            <v>레이스랩</v>
          </cell>
          <cell r="H713" t="str">
            <v>7-1.LaceLab</v>
          </cell>
          <cell r="I713" t="str">
            <v>Grey  - OvalSBLaces</v>
          </cell>
        </row>
        <row r="714">
          <cell r="A714" t="str">
            <v>O06</v>
          </cell>
          <cell r="B714" t="str">
            <v>O06-[레이스랩]Light Grey  - OvalSBLaces</v>
          </cell>
          <cell r="C714">
            <v>7000</v>
          </cell>
          <cell r="D714" t="str">
            <v>Oval SB Laces</v>
          </cell>
          <cell r="E714">
            <v>1.58</v>
          </cell>
          <cell r="F714">
            <v>2362.1</v>
          </cell>
          <cell r="G714" t="str">
            <v>레이스랩</v>
          </cell>
          <cell r="H714" t="str">
            <v>7-1.LaceLab</v>
          </cell>
          <cell r="I714" t="str">
            <v>Light Grey  - OvalSBLaces</v>
          </cell>
        </row>
        <row r="715">
          <cell r="A715" t="str">
            <v>O07</v>
          </cell>
          <cell r="B715" t="str">
            <v>O07-[레이스랩]Orange  - OvalSBLaces</v>
          </cell>
          <cell r="C715">
            <v>7000</v>
          </cell>
          <cell r="D715" t="str">
            <v>Oval SB Laces</v>
          </cell>
          <cell r="E715">
            <v>1.58</v>
          </cell>
          <cell r="F715">
            <v>2362.1</v>
          </cell>
          <cell r="G715" t="str">
            <v>레이스랩</v>
          </cell>
          <cell r="H715" t="str">
            <v>7-1.LaceLab</v>
          </cell>
          <cell r="I715" t="str">
            <v>Orange  - OvalSBLaces</v>
          </cell>
        </row>
        <row r="716">
          <cell r="A716" t="str">
            <v>O08</v>
          </cell>
          <cell r="B716" t="str">
            <v>O08-[레이스랩]Pink  - OvalSBLaces</v>
          </cell>
          <cell r="C716">
            <v>7000</v>
          </cell>
          <cell r="D716" t="str">
            <v>Oval SB Laces</v>
          </cell>
          <cell r="E716">
            <v>1.58</v>
          </cell>
          <cell r="F716">
            <v>2362.1</v>
          </cell>
          <cell r="G716" t="str">
            <v>레이스랩</v>
          </cell>
          <cell r="H716" t="str">
            <v>7-1.LaceLab</v>
          </cell>
          <cell r="I716" t="str">
            <v>Pink  - OvalSBLaces</v>
          </cell>
        </row>
        <row r="717">
          <cell r="A717" t="str">
            <v>O09</v>
          </cell>
          <cell r="B717" t="str">
            <v>O09-[레이스랩]Purple  - OvalSBLaces</v>
          </cell>
          <cell r="C717">
            <v>7000</v>
          </cell>
          <cell r="D717" t="str">
            <v>Oval SB Laces</v>
          </cell>
          <cell r="E717">
            <v>1.58</v>
          </cell>
          <cell r="F717">
            <v>2362.1</v>
          </cell>
          <cell r="G717" t="str">
            <v>레이스랩</v>
          </cell>
          <cell r="H717" t="str">
            <v>7-1.LaceLab</v>
          </cell>
          <cell r="I717" t="str">
            <v>Purple  - OvalSBLaces</v>
          </cell>
        </row>
        <row r="718">
          <cell r="A718" t="str">
            <v>O10</v>
          </cell>
          <cell r="B718" t="str">
            <v>O10-[레이스랩]Red  - OvalSBLaces</v>
          </cell>
          <cell r="C718">
            <v>7000</v>
          </cell>
          <cell r="D718" t="str">
            <v>Oval SB Laces</v>
          </cell>
          <cell r="E718">
            <v>1.58</v>
          </cell>
          <cell r="F718">
            <v>2362.1</v>
          </cell>
          <cell r="G718" t="str">
            <v>레이스랩</v>
          </cell>
          <cell r="H718" t="str">
            <v>7-1.LaceLab</v>
          </cell>
          <cell r="I718" t="str">
            <v>Red  - OvalSBLaces</v>
          </cell>
        </row>
        <row r="719">
          <cell r="A719" t="str">
            <v>O11</v>
          </cell>
          <cell r="B719" t="str">
            <v>O11-[레이스랩]Royal Blue  - OvalSBLaces</v>
          </cell>
          <cell r="C719">
            <v>7000</v>
          </cell>
          <cell r="D719" t="str">
            <v>Oval SB Laces</v>
          </cell>
          <cell r="E719">
            <v>1.58</v>
          </cell>
          <cell r="F719">
            <v>2362.1</v>
          </cell>
          <cell r="G719" t="str">
            <v>레이스랩</v>
          </cell>
          <cell r="H719" t="str">
            <v>7-1.LaceLab</v>
          </cell>
          <cell r="I719" t="str">
            <v>Royal Blue  - OvalSBLaces</v>
          </cell>
        </row>
        <row r="720">
          <cell r="A720" t="str">
            <v>O12</v>
          </cell>
          <cell r="B720" t="str">
            <v>O12-[레이스랩]Tiffany/Mint  - OvalSBLaces</v>
          </cell>
          <cell r="C720">
            <v>7000</v>
          </cell>
          <cell r="D720" t="str">
            <v>Oval SB Laces</v>
          </cell>
          <cell r="E720">
            <v>1.58</v>
          </cell>
          <cell r="F720">
            <v>2362.1</v>
          </cell>
          <cell r="G720" t="str">
            <v>레이스랩</v>
          </cell>
          <cell r="H720" t="str">
            <v>7-1.LaceLab</v>
          </cell>
          <cell r="I720" t="str">
            <v>Tiffany/Mint  - OvalSBLaces</v>
          </cell>
        </row>
        <row r="721">
          <cell r="A721" t="str">
            <v>O13</v>
          </cell>
          <cell r="B721" t="str">
            <v>O13-[레이스랩]Volt  - OvalSBLaces</v>
          </cell>
          <cell r="C721">
            <v>7000</v>
          </cell>
          <cell r="D721" t="str">
            <v>Oval SB Laces</v>
          </cell>
          <cell r="E721">
            <v>1.58</v>
          </cell>
          <cell r="F721">
            <v>2362.1</v>
          </cell>
          <cell r="G721" t="str">
            <v>레이스랩</v>
          </cell>
          <cell r="H721" t="str">
            <v>7-1.LaceLab</v>
          </cell>
          <cell r="I721" t="str">
            <v>Volt  - OvalSBLaces</v>
          </cell>
        </row>
        <row r="722">
          <cell r="A722" t="str">
            <v>O14</v>
          </cell>
          <cell r="B722" t="str">
            <v>O14-[레이스랩]Yellow  - OvalSBLaces</v>
          </cell>
          <cell r="C722">
            <v>7000</v>
          </cell>
          <cell r="D722" t="str">
            <v>Oval SB Laces</v>
          </cell>
          <cell r="E722">
            <v>1.58</v>
          </cell>
          <cell r="F722">
            <v>2362.1</v>
          </cell>
          <cell r="G722" t="str">
            <v>레이스랩</v>
          </cell>
          <cell r="H722" t="str">
            <v>7-1.LaceLab</v>
          </cell>
          <cell r="I722" t="str">
            <v>Yellow  - OvalSBLaces</v>
          </cell>
        </row>
        <row r="723">
          <cell r="A723" t="str">
            <v>B01</v>
          </cell>
          <cell r="B723" t="str">
            <v>B01-[레이스랩]Black Boot Laces</v>
          </cell>
          <cell r="C723">
            <v>10000</v>
          </cell>
          <cell r="D723" t="str">
            <v>Boot Laces</v>
          </cell>
          <cell r="E723">
            <v>2.38</v>
          </cell>
          <cell r="F723">
            <v>3558.1</v>
          </cell>
          <cell r="G723" t="str">
            <v>레이스랩</v>
          </cell>
          <cell r="H723" t="str">
            <v>7-1.LaceLab</v>
          </cell>
          <cell r="I723" t="str">
            <v>Black Boot Laces</v>
          </cell>
        </row>
        <row r="724">
          <cell r="A724" t="str">
            <v>B02</v>
          </cell>
          <cell r="B724" t="str">
            <v>B02-[레이스랩]Black/Brown Boot Laces</v>
          </cell>
          <cell r="C724">
            <v>10000</v>
          </cell>
          <cell r="D724" t="str">
            <v>Boot Laces</v>
          </cell>
          <cell r="E724">
            <v>2.38</v>
          </cell>
          <cell r="F724">
            <v>3558.1</v>
          </cell>
          <cell r="G724" t="str">
            <v>레이스랩</v>
          </cell>
          <cell r="H724" t="str">
            <v>7-1.LaceLab</v>
          </cell>
          <cell r="I724" t="str">
            <v>Black/Brown Boot Laces</v>
          </cell>
        </row>
        <row r="725">
          <cell r="A725" t="str">
            <v>B03</v>
          </cell>
          <cell r="B725" t="str">
            <v>B03-[레이스랩]Black/Grey Boot Laces</v>
          </cell>
          <cell r="C725">
            <v>10000</v>
          </cell>
          <cell r="D725" t="str">
            <v>Boot Laces</v>
          </cell>
          <cell r="E725">
            <v>2.38</v>
          </cell>
          <cell r="F725">
            <v>3558.1</v>
          </cell>
          <cell r="G725" t="str">
            <v>레이스랩</v>
          </cell>
          <cell r="H725" t="str">
            <v>7-1.LaceLab</v>
          </cell>
          <cell r="I725" t="str">
            <v>Black/Grey Boot Laces</v>
          </cell>
        </row>
        <row r="726">
          <cell r="A726" t="str">
            <v>B04</v>
          </cell>
          <cell r="B726" t="str">
            <v>B04-[레이스랩]Black/Hunter Green Boot Laces</v>
          </cell>
          <cell r="C726">
            <v>10000</v>
          </cell>
          <cell r="D726" t="str">
            <v>Boot Laces</v>
          </cell>
          <cell r="E726">
            <v>2.38</v>
          </cell>
          <cell r="F726">
            <v>3558.1</v>
          </cell>
          <cell r="G726" t="str">
            <v>레이스랩</v>
          </cell>
          <cell r="H726" t="str">
            <v>7-1.LaceLab</v>
          </cell>
          <cell r="I726" t="str">
            <v>Black/Hunter Green Boot Laces</v>
          </cell>
        </row>
        <row r="727">
          <cell r="A727" t="str">
            <v>B05</v>
          </cell>
          <cell r="B727" t="str">
            <v>B05-[레이스랩]Black/Tan Boot Laces</v>
          </cell>
          <cell r="C727">
            <v>10000</v>
          </cell>
          <cell r="D727" t="str">
            <v>Boot Laces</v>
          </cell>
          <cell r="E727">
            <v>2.38</v>
          </cell>
          <cell r="F727">
            <v>3558.1</v>
          </cell>
          <cell r="G727" t="str">
            <v>레이스랩</v>
          </cell>
          <cell r="H727" t="str">
            <v>7-1.LaceLab</v>
          </cell>
          <cell r="I727" t="str">
            <v>Black/Tan Boot Laces</v>
          </cell>
        </row>
        <row r="728">
          <cell r="A728" t="str">
            <v>B06</v>
          </cell>
          <cell r="B728" t="str">
            <v>B06-[레이스랩]Brown Boot Laces</v>
          </cell>
          <cell r="C728">
            <v>10000</v>
          </cell>
          <cell r="D728" t="str">
            <v>Boot Laces</v>
          </cell>
          <cell r="E728">
            <v>2.38</v>
          </cell>
          <cell r="F728">
            <v>3558.1</v>
          </cell>
          <cell r="G728" t="str">
            <v>레이스랩</v>
          </cell>
          <cell r="H728" t="str">
            <v>7-1.LaceLab</v>
          </cell>
          <cell r="I728" t="str">
            <v>Brown Boot Laces</v>
          </cell>
        </row>
        <row r="729">
          <cell r="A729" t="str">
            <v>B07</v>
          </cell>
          <cell r="B729" t="str">
            <v>B07-[레이스랩]Brown/Beige Boot Laces</v>
          </cell>
          <cell r="C729">
            <v>10000</v>
          </cell>
          <cell r="D729" t="str">
            <v>Boot Laces</v>
          </cell>
          <cell r="E729">
            <v>2.38</v>
          </cell>
          <cell r="F729">
            <v>3558.1</v>
          </cell>
          <cell r="G729" t="str">
            <v>레이스랩</v>
          </cell>
          <cell r="H729" t="str">
            <v>7-1.LaceLab</v>
          </cell>
          <cell r="I729" t="str">
            <v>Brown/Beige Boot Laces</v>
          </cell>
        </row>
        <row r="730">
          <cell r="A730" t="str">
            <v>B08</v>
          </cell>
          <cell r="B730" t="str">
            <v>B08-[레이스랩]Rawhide Boot Laces</v>
          </cell>
          <cell r="C730">
            <v>10000</v>
          </cell>
          <cell r="D730" t="str">
            <v>Boot Laces</v>
          </cell>
          <cell r="E730">
            <v>2.38</v>
          </cell>
          <cell r="F730">
            <v>3558.1</v>
          </cell>
          <cell r="G730" t="str">
            <v>레이스랩</v>
          </cell>
          <cell r="H730" t="str">
            <v>7-1.LaceLab</v>
          </cell>
          <cell r="I730" t="str">
            <v>Rawhide Boot Laces</v>
          </cell>
        </row>
        <row r="731">
          <cell r="A731" t="str">
            <v>T01</v>
          </cell>
          <cell r="B731" t="str">
            <v>T01-[레이스랩]Black  - ThinOvalLaces</v>
          </cell>
          <cell r="C731">
            <v>8000</v>
          </cell>
          <cell r="D731" t="str">
            <v>Thin Oval Laces</v>
          </cell>
          <cell r="E731">
            <v>1.98</v>
          </cell>
          <cell r="F731">
            <v>2960.1</v>
          </cell>
          <cell r="G731" t="str">
            <v>레이스랩</v>
          </cell>
          <cell r="H731" t="str">
            <v>7-1.LaceLab</v>
          </cell>
          <cell r="I731" t="str">
            <v>Black  - ThinOvalLaces</v>
          </cell>
        </row>
        <row r="732">
          <cell r="A732" t="str">
            <v>T02</v>
          </cell>
          <cell r="B732" t="str">
            <v>T02-[레이스랩]Black/Red  - ThinOvalLaces</v>
          </cell>
          <cell r="C732">
            <v>8000</v>
          </cell>
          <cell r="D732" t="str">
            <v>Thin Oval Laces</v>
          </cell>
          <cell r="E732">
            <v>1.98</v>
          </cell>
          <cell r="F732">
            <v>2960.1</v>
          </cell>
          <cell r="G732" t="str">
            <v>레이스랩</v>
          </cell>
          <cell r="H732" t="str">
            <v>7-1.LaceLab</v>
          </cell>
          <cell r="I732" t="str">
            <v>Black/Red  - ThinOvalLaces</v>
          </cell>
        </row>
        <row r="733">
          <cell r="A733" t="str">
            <v>T03</v>
          </cell>
          <cell r="B733" t="str">
            <v>T03-[레이스랩]Flaming Orange  - ThinOvalLaces</v>
          </cell>
          <cell r="C733">
            <v>8000</v>
          </cell>
          <cell r="D733" t="str">
            <v>Thin Oval Laces</v>
          </cell>
          <cell r="E733">
            <v>1.98</v>
          </cell>
          <cell r="F733">
            <v>2960.1</v>
          </cell>
          <cell r="G733" t="str">
            <v>레이스랩</v>
          </cell>
          <cell r="H733" t="str">
            <v>7-1.LaceLab</v>
          </cell>
          <cell r="I733" t="str">
            <v>Flaming Orange  - ThinOvalLaces</v>
          </cell>
        </row>
        <row r="734">
          <cell r="A734" t="str">
            <v>T04</v>
          </cell>
          <cell r="B734" t="str">
            <v>T04-[레이스랩]Kelly Green  - ThinOvalLaces</v>
          </cell>
          <cell r="C734">
            <v>8000</v>
          </cell>
          <cell r="D734" t="str">
            <v>Thin Oval Laces</v>
          </cell>
          <cell r="E734">
            <v>1.98</v>
          </cell>
          <cell r="F734">
            <v>2960.1</v>
          </cell>
          <cell r="G734" t="str">
            <v>레이스랩</v>
          </cell>
          <cell r="H734" t="str">
            <v>7-1.LaceLab</v>
          </cell>
          <cell r="I734" t="str">
            <v>Kelly Green  - ThinOvalLaces</v>
          </cell>
        </row>
        <row r="735">
          <cell r="A735" t="str">
            <v>T05</v>
          </cell>
          <cell r="B735" t="str">
            <v>T05-[레이스랩]Light Grey  - ThinOvalLaces</v>
          </cell>
          <cell r="C735">
            <v>8000</v>
          </cell>
          <cell r="D735" t="str">
            <v>Thin Oval Laces</v>
          </cell>
          <cell r="E735">
            <v>1.98</v>
          </cell>
          <cell r="F735">
            <v>2960.1</v>
          </cell>
          <cell r="G735" t="str">
            <v>레이스랩</v>
          </cell>
          <cell r="H735" t="str">
            <v>7-1.LaceLab</v>
          </cell>
          <cell r="I735" t="str">
            <v>Light Grey  - ThinOvalLaces</v>
          </cell>
        </row>
        <row r="736">
          <cell r="A736" t="str">
            <v>T06</v>
          </cell>
          <cell r="B736" t="str">
            <v>T06-[레이스랩]Navy Blue  - ThinOvalLaces</v>
          </cell>
          <cell r="C736">
            <v>8000</v>
          </cell>
          <cell r="D736" t="str">
            <v>Thin Oval Laces</v>
          </cell>
          <cell r="E736">
            <v>1.98</v>
          </cell>
          <cell r="F736">
            <v>2960.1</v>
          </cell>
          <cell r="G736" t="str">
            <v>레이스랩</v>
          </cell>
          <cell r="H736" t="str">
            <v>7-1.LaceLab</v>
          </cell>
          <cell r="I736" t="str">
            <v>Navy Blue  - ThinOvalLaces</v>
          </cell>
        </row>
        <row r="737">
          <cell r="A737" t="str">
            <v>T07</v>
          </cell>
          <cell r="B737" t="str">
            <v>T07-[레이스랩]Red  - ThinOvalLaces</v>
          </cell>
          <cell r="C737">
            <v>8000</v>
          </cell>
          <cell r="D737" t="str">
            <v>Thin Oval Laces</v>
          </cell>
          <cell r="E737">
            <v>1.98</v>
          </cell>
          <cell r="F737">
            <v>2960.1</v>
          </cell>
          <cell r="G737" t="str">
            <v>레이스랩</v>
          </cell>
          <cell r="H737" t="str">
            <v>7-1.LaceLab</v>
          </cell>
          <cell r="I737" t="str">
            <v>Red  - ThinOvalLaces</v>
          </cell>
        </row>
        <row r="738">
          <cell r="A738" t="str">
            <v>T08</v>
          </cell>
          <cell r="B738" t="str">
            <v>T08-[레이스랩]Royal Blue  - ThinOvalLaces</v>
          </cell>
          <cell r="C738">
            <v>8000</v>
          </cell>
          <cell r="D738" t="str">
            <v>Thin Oval Laces</v>
          </cell>
          <cell r="E738">
            <v>1.98</v>
          </cell>
          <cell r="F738">
            <v>2960.1</v>
          </cell>
          <cell r="G738" t="str">
            <v>레이스랩</v>
          </cell>
          <cell r="H738" t="str">
            <v>7-1.LaceLab</v>
          </cell>
          <cell r="I738" t="str">
            <v>Royal Blue  - ThinOvalLaces</v>
          </cell>
        </row>
        <row r="739">
          <cell r="A739" t="str">
            <v>T09</v>
          </cell>
          <cell r="B739" t="str">
            <v>T09-[레이스랩]Volt  - ThinOvalLaces</v>
          </cell>
          <cell r="C739">
            <v>8000</v>
          </cell>
          <cell r="D739" t="str">
            <v>Thin Oval Laces</v>
          </cell>
          <cell r="E739">
            <v>1.98</v>
          </cell>
          <cell r="F739">
            <v>2960.1</v>
          </cell>
          <cell r="G739" t="str">
            <v>레이스랩</v>
          </cell>
          <cell r="H739" t="str">
            <v>7-1.LaceLab</v>
          </cell>
          <cell r="I739" t="str">
            <v>Volt  - ThinOvalLaces</v>
          </cell>
        </row>
        <row r="740">
          <cell r="A740" t="str">
            <v>T10</v>
          </cell>
          <cell r="B740" t="str">
            <v>T10-[레이스랩]White  - ThinOvalLaces</v>
          </cell>
          <cell r="C740">
            <v>8000</v>
          </cell>
          <cell r="D740" t="str">
            <v>Thin Oval Laces</v>
          </cell>
          <cell r="E740">
            <v>1.98</v>
          </cell>
          <cell r="F740">
            <v>2960.1</v>
          </cell>
          <cell r="G740" t="str">
            <v>레이스랩</v>
          </cell>
          <cell r="H740" t="str">
            <v>7-1.LaceLab</v>
          </cell>
          <cell r="I740" t="str">
            <v>White  - ThinOvalLaces</v>
          </cell>
        </row>
        <row r="741">
          <cell r="A741" t="str">
            <v>W01</v>
          </cell>
          <cell r="B741" t="str">
            <v>[레이스랩] W01-"Black Waxed Shoe Laces</v>
          </cell>
          <cell r="C741">
            <v>10000</v>
          </cell>
          <cell r="D741" t="str">
            <v>Waxed Shoe Laces</v>
          </cell>
          <cell r="E741">
            <v>2.78</v>
          </cell>
          <cell r="F741">
            <v>4156.1000000000004</v>
          </cell>
          <cell r="G741" t="str">
            <v>레이스랩</v>
          </cell>
          <cell r="H741" t="str">
            <v>7-1.LaceLab</v>
          </cell>
          <cell r="I741" t="str">
            <v>Black Waxed Shoe Laces</v>
          </cell>
        </row>
        <row r="742">
          <cell r="A742" t="str">
            <v>W02</v>
          </cell>
          <cell r="B742" t="str">
            <v>[레이스랩] W02-"White Waxed Shoe Laces</v>
          </cell>
          <cell r="C742">
            <v>10000</v>
          </cell>
          <cell r="D742" t="str">
            <v>Waxed Shoe Laces</v>
          </cell>
          <cell r="E742">
            <v>2.78</v>
          </cell>
          <cell r="F742">
            <v>4156.1000000000004</v>
          </cell>
          <cell r="G742" t="str">
            <v>레이스랩</v>
          </cell>
          <cell r="H742" t="str">
            <v>7-1.LaceLab</v>
          </cell>
          <cell r="I742" t="str">
            <v>White Waxed Shoe Laces</v>
          </cell>
        </row>
        <row r="743">
          <cell r="A743" t="str">
            <v>W03</v>
          </cell>
          <cell r="B743" t="str">
            <v>[레이스랩] W03-"Red Waxed Shoe Laces</v>
          </cell>
          <cell r="C743">
            <v>10000</v>
          </cell>
          <cell r="D743" t="str">
            <v>Waxed Shoe Laces</v>
          </cell>
          <cell r="E743">
            <v>2.78</v>
          </cell>
          <cell r="F743">
            <v>4156.1000000000004</v>
          </cell>
          <cell r="G743" t="str">
            <v>레이스랩</v>
          </cell>
          <cell r="H743" t="str">
            <v>7-1.LaceLab</v>
          </cell>
          <cell r="I743" t="str">
            <v>Red Waxed Shoe Laces</v>
          </cell>
        </row>
        <row r="744">
          <cell r="A744" t="str">
            <v>W04</v>
          </cell>
          <cell r="B744" t="str">
            <v>[레이스랩] W04-"Royal Blue Waxed Shoe Laces</v>
          </cell>
          <cell r="C744">
            <v>10000</v>
          </cell>
          <cell r="D744" t="str">
            <v>Waxed Shoe Laces</v>
          </cell>
          <cell r="E744">
            <v>2.78</v>
          </cell>
          <cell r="F744">
            <v>4156.1000000000004</v>
          </cell>
          <cell r="G744" t="str">
            <v>레이스랩</v>
          </cell>
          <cell r="H744" t="str">
            <v>7-1.LaceLab</v>
          </cell>
          <cell r="I744" t="str">
            <v>Royal Blue Waxed Shoe Laces</v>
          </cell>
        </row>
        <row r="745">
          <cell r="A745" t="str">
            <v>MF01</v>
          </cell>
          <cell r="B745" t="str">
            <v>MF01-[레이스랩]Grey/Black Multi-Color Flat Laces</v>
          </cell>
          <cell r="C745">
            <v>10000</v>
          </cell>
          <cell r="E745">
            <v>2.38</v>
          </cell>
          <cell r="F745">
            <v>3558.1</v>
          </cell>
          <cell r="G745" t="str">
            <v>레이스랩</v>
          </cell>
          <cell r="H745" t="str">
            <v>7-1.LaceLab</v>
          </cell>
          <cell r="I745" t="str">
            <v>Grey/Black Multi-Color Flat Laces</v>
          </cell>
        </row>
        <row r="746">
          <cell r="A746" t="str">
            <v>MF02</v>
          </cell>
          <cell r="B746" t="str">
            <v>MF02-[레이스랩]Black/Red Multi-Color Flat Laces</v>
          </cell>
          <cell r="C746">
            <v>10000</v>
          </cell>
          <cell r="E746">
            <v>2.38</v>
          </cell>
          <cell r="F746">
            <v>3558.1</v>
          </cell>
          <cell r="G746" t="str">
            <v>레이스랩</v>
          </cell>
          <cell r="H746" t="str">
            <v>7-1.LaceLab</v>
          </cell>
          <cell r="I746" t="str">
            <v>Black/Red Multi-Color Flat Laces</v>
          </cell>
        </row>
        <row r="747">
          <cell r="A747" t="str">
            <v>MF03</v>
          </cell>
          <cell r="B747" t="str">
            <v>MF03-[레이스랩]Black/White Multi-Color Flat Laces</v>
          </cell>
          <cell r="C747">
            <v>10000</v>
          </cell>
          <cell r="E747">
            <v>2.38</v>
          </cell>
          <cell r="F747">
            <v>3558.1</v>
          </cell>
          <cell r="G747" t="str">
            <v>레이스랩</v>
          </cell>
          <cell r="H747" t="str">
            <v>7-1.LaceLab</v>
          </cell>
          <cell r="I747" t="str">
            <v>Black/White Multi-Color Flat Laces</v>
          </cell>
        </row>
        <row r="748">
          <cell r="A748" t="str">
            <v>MF04</v>
          </cell>
          <cell r="B748" t="str">
            <v>MF04-[레이스랩]Grey/White Multi-Color Flat Laces</v>
          </cell>
          <cell r="C748">
            <v>10000</v>
          </cell>
          <cell r="E748">
            <v>2.38</v>
          </cell>
          <cell r="F748">
            <v>3558.1</v>
          </cell>
          <cell r="G748" t="str">
            <v>레이스랩</v>
          </cell>
          <cell r="H748" t="str">
            <v>7-1.LaceLab</v>
          </cell>
          <cell r="I748" t="str">
            <v>Grey/White Multi-Color Flat Laces</v>
          </cell>
        </row>
        <row r="749">
          <cell r="A749" t="str">
            <v>MF05</v>
          </cell>
          <cell r="B749" t="str">
            <v>MF05-[레이스랩]Beige/White Multi-Color Flat Laces</v>
          </cell>
          <cell r="C749">
            <v>10000</v>
          </cell>
          <cell r="D749" t="str">
            <v>010-3002-8143</v>
          </cell>
          <cell r="E749">
            <v>2.38</v>
          </cell>
          <cell r="F749">
            <v>3558.1</v>
          </cell>
          <cell r="G749" t="str">
            <v>레이스랩</v>
          </cell>
          <cell r="H749" t="str">
            <v>7-1.LaceLab</v>
          </cell>
          <cell r="I749" t="str">
            <v>Beige/White Multi-Color Flat Laces</v>
          </cell>
        </row>
        <row r="750">
          <cell r="A750" t="str">
            <v>k01</v>
          </cell>
          <cell r="B750" t="str">
            <v>k01-[레이스랩]White Japanese Katakana Flat Laces</v>
          </cell>
          <cell r="C750">
            <v>13000</v>
          </cell>
          <cell r="E750">
            <v>3.2</v>
          </cell>
          <cell r="F750">
            <v>4784</v>
          </cell>
          <cell r="G750" t="str">
            <v>레이스랩</v>
          </cell>
          <cell r="H750" t="str">
            <v>7-1.LaceLab</v>
          </cell>
          <cell r="I750" t="str">
            <v>White Japanese Katakana Flat Laces</v>
          </cell>
        </row>
        <row r="751">
          <cell r="A751" t="str">
            <v>k02</v>
          </cell>
          <cell r="B751" t="str">
            <v xml:space="preserve">k02-[레이스랩]Black Japanese Katakana Flat Laces </v>
          </cell>
          <cell r="C751">
            <v>13000</v>
          </cell>
          <cell r="E751">
            <v>3.2</v>
          </cell>
          <cell r="F751">
            <v>4784</v>
          </cell>
          <cell r="G751" t="str">
            <v>레이스랩</v>
          </cell>
          <cell r="H751" t="str">
            <v>7-1.LaceLab</v>
          </cell>
          <cell r="I751" t="str">
            <v>Black Japanese Katakana Flat Laces</v>
          </cell>
        </row>
        <row r="752">
          <cell r="A752">
            <v>783583294833</v>
          </cell>
          <cell r="B752" t="str">
            <v>[스니커쉴드] 유니버살 Small</v>
          </cell>
          <cell r="C752">
            <v>20000</v>
          </cell>
          <cell r="E752">
            <v>4.95</v>
          </cell>
          <cell r="F752">
            <v>7400.25</v>
          </cell>
          <cell r="G752" t="str">
            <v>스니커쉴드</v>
          </cell>
          <cell r="H752" t="str">
            <v>8-1.SneakerShield</v>
          </cell>
          <cell r="I752" t="str">
            <v>[스니커쉴드] 유니버살 Small</v>
          </cell>
        </row>
        <row r="753">
          <cell r="A753">
            <v>783583298476</v>
          </cell>
          <cell r="B753" t="str">
            <v>[스니커쉴드] 유니버살 Medium</v>
          </cell>
          <cell r="C753">
            <v>20000</v>
          </cell>
          <cell r="E753">
            <v>4.95</v>
          </cell>
          <cell r="F753">
            <v>7400.25</v>
          </cell>
          <cell r="G753" t="str">
            <v>스니커쉴드</v>
          </cell>
          <cell r="H753" t="str">
            <v>8-1.SneakerShield</v>
          </cell>
          <cell r="I753" t="str">
            <v>[스니커쉴드] 유니버살 Medium</v>
          </cell>
        </row>
        <row r="754">
          <cell r="A754">
            <v>705020599076</v>
          </cell>
          <cell r="B754" t="str">
            <v xml:space="preserve">[스니커쉴드] 프로텍터 Small </v>
          </cell>
          <cell r="C754">
            <v>25000</v>
          </cell>
          <cell r="E754">
            <v>6.6</v>
          </cell>
          <cell r="F754">
            <v>9867</v>
          </cell>
          <cell r="G754" t="str">
            <v>스니커쉴드</v>
          </cell>
          <cell r="H754" t="str">
            <v>8-1.SneakerShield</v>
          </cell>
          <cell r="I754" t="str">
            <v xml:space="preserve">[스니커쉴드] 프로텍터 Small </v>
          </cell>
        </row>
        <row r="755">
          <cell r="A755">
            <v>705020599069</v>
          </cell>
          <cell r="B755" t="str">
            <v>[스니커쉴드] 프로텍터 Medium</v>
          </cell>
          <cell r="C755">
            <v>25000</v>
          </cell>
          <cell r="E755">
            <v>6.6</v>
          </cell>
          <cell r="F755">
            <v>9867</v>
          </cell>
          <cell r="G755" t="str">
            <v>스니커쉴드</v>
          </cell>
          <cell r="H755" t="str">
            <v>8-1.SneakerShield</v>
          </cell>
          <cell r="I755" t="str">
            <v>[스니커쉴드] 프로텍터 Medium</v>
          </cell>
        </row>
        <row r="756">
          <cell r="A756">
            <v>705020599106</v>
          </cell>
          <cell r="B756" t="str">
            <v>[스니커쉴드] 스포츠 Small</v>
          </cell>
          <cell r="C756">
            <v>20000</v>
          </cell>
          <cell r="E756">
            <v>4.95</v>
          </cell>
          <cell r="F756">
            <v>7400.25</v>
          </cell>
          <cell r="G756" t="str">
            <v>스니커쉴드</v>
          </cell>
          <cell r="H756" t="str">
            <v>8-1.SneakerShield</v>
          </cell>
          <cell r="I756" t="str">
            <v>[스니커쉴드] 스포츠 Small</v>
          </cell>
        </row>
        <row r="757">
          <cell r="A757">
            <v>705020599113</v>
          </cell>
          <cell r="B757" t="str">
            <v>[스니커쉴드] 부츠 Small</v>
          </cell>
          <cell r="C757">
            <v>25000</v>
          </cell>
          <cell r="E757">
            <v>6.6</v>
          </cell>
          <cell r="F757">
            <v>9867</v>
          </cell>
          <cell r="G757" t="str">
            <v>스니커쉴드</v>
          </cell>
          <cell r="H757" t="str">
            <v>8-1.SneakerShield</v>
          </cell>
          <cell r="I757" t="str">
            <v>[스니커쉴드] 부츠 Small</v>
          </cell>
        </row>
        <row r="758">
          <cell r="A758">
            <v>705020599120</v>
          </cell>
          <cell r="B758" t="str">
            <v>[스니커쉴드] 부츠 Medium</v>
          </cell>
          <cell r="C758">
            <v>25000</v>
          </cell>
          <cell r="E758">
            <v>6.6</v>
          </cell>
          <cell r="F758">
            <v>9867</v>
          </cell>
          <cell r="G758" t="str">
            <v>스니커쉴드</v>
          </cell>
          <cell r="H758" t="str">
            <v>8-1.SneakerShield</v>
          </cell>
          <cell r="I758" t="str">
            <v>[스니커쉴드] 부츠 Medium</v>
          </cell>
        </row>
        <row r="759">
          <cell r="A759">
            <v>705020599144</v>
          </cell>
          <cell r="B759" t="str">
            <v>[스니커쉴드] 윈터부츠 Small</v>
          </cell>
          <cell r="C759">
            <v>20000</v>
          </cell>
          <cell r="E759">
            <v>4.95</v>
          </cell>
          <cell r="F759">
            <v>7400.25</v>
          </cell>
          <cell r="G759" t="str">
            <v>스니커쉴드</v>
          </cell>
          <cell r="H759" t="str">
            <v>8-1.SneakerShield</v>
          </cell>
          <cell r="I759" t="str">
            <v>[스니커쉴드] 윈터부츠 Small</v>
          </cell>
        </row>
        <row r="760">
          <cell r="A760">
            <v>640816954175</v>
          </cell>
          <cell r="B760" t="str">
            <v>[스니커쉴드] 윈터부츠 Medium</v>
          </cell>
          <cell r="C760">
            <v>20000</v>
          </cell>
          <cell r="E760">
            <v>4.95</v>
          </cell>
          <cell r="F760">
            <v>7400.25</v>
          </cell>
          <cell r="G760" t="str">
            <v>스니커쉴드</v>
          </cell>
          <cell r="H760" t="str">
            <v>8-1.SneakerShield</v>
          </cell>
          <cell r="I760" t="str">
            <v>[스니커쉴드] 윈터부츠 Medium</v>
          </cell>
        </row>
        <row r="761">
          <cell r="A761">
            <v>649906438960</v>
          </cell>
          <cell r="B761" t="str">
            <v>[스니커쉴드] 매직와이프</v>
          </cell>
          <cell r="C761">
            <v>10000</v>
          </cell>
          <cell r="E761">
            <v>1.95</v>
          </cell>
          <cell r="F761">
            <v>2915.25</v>
          </cell>
          <cell r="G761" t="str">
            <v>스니커쉴드</v>
          </cell>
          <cell r="H761" t="str">
            <v>8-1.SneakerShield</v>
          </cell>
          <cell r="I761" t="str">
            <v>[스니커쉴드] 매직와이프</v>
          </cell>
        </row>
        <row r="762">
          <cell r="A762" t="str">
            <v>gold_sylinder</v>
          </cell>
          <cell r="B762" t="str">
            <v>[레이스랩] 골드 실린더 애글렛</v>
          </cell>
          <cell r="C762">
            <v>10000</v>
          </cell>
          <cell r="E762">
            <v>2.38</v>
          </cell>
          <cell r="F762">
            <v>3558.1</v>
          </cell>
          <cell r="G762" t="str">
            <v>레이스랩</v>
          </cell>
          <cell r="H762" t="str">
            <v>7-2.Aglet</v>
          </cell>
          <cell r="I762" t="str">
            <v>[레이스랩] 골드 실린더 애글렛</v>
          </cell>
        </row>
        <row r="763">
          <cell r="A763" t="str">
            <v>silver_sylinder</v>
          </cell>
          <cell r="B763" t="str">
            <v>[레이스랩] 실버 실린더 애글렛</v>
          </cell>
          <cell r="C763">
            <v>10000</v>
          </cell>
          <cell r="E763">
            <v>2.38</v>
          </cell>
          <cell r="F763">
            <v>3558.1</v>
          </cell>
          <cell r="G763" t="str">
            <v>레이스랩</v>
          </cell>
          <cell r="H763" t="str">
            <v>7-2.Aglet</v>
          </cell>
          <cell r="I763" t="str">
            <v>[레이스랩] 실버 실린더 애글렛</v>
          </cell>
        </row>
        <row r="764">
          <cell r="A764" t="str">
            <v>gunmetal_sylinder</v>
          </cell>
          <cell r="B764" t="str">
            <v>[레이스랩] 건메탈 실린더 애글렛</v>
          </cell>
          <cell r="C764">
            <v>10000</v>
          </cell>
          <cell r="E764">
            <v>2.38</v>
          </cell>
          <cell r="F764">
            <v>3558.1</v>
          </cell>
          <cell r="G764" t="str">
            <v>레이스랩</v>
          </cell>
          <cell r="H764" t="str">
            <v>7-2.Aglet</v>
          </cell>
          <cell r="I764" t="str">
            <v>[레이스랩] 건메탈 실린더 애글렛</v>
          </cell>
        </row>
        <row r="765">
          <cell r="A765" t="str">
            <v>neo_crome_sylinder</v>
          </cell>
          <cell r="B765" t="str">
            <v>[레이스랩] 네오 크롬 실린더 애글렛</v>
          </cell>
          <cell r="C765">
            <v>10000</v>
          </cell>
          <cell r="E765">
            <v>2.38</v>
          </cell>
          <cell r="F765">
            <v>3558.1</v>
          </cell>
          <cell r="G765" t="str">
            <v>레이스랩</v>
          </cell>
          <cell r="H765" t="str">
            <v>7-2.Aglet</v>
          </cell>
          <cell r="I765" t="str">
            <v>[레이스랩] 네오 크롬 실린더 애글렛</v>
          </cell>
        </row>
        <row r="766">
          <cell r="A766" t="str">
            <v>flatblack_sylinder</v>
          </cell>
          <cell r="B766" t="str">
            <v>[레이스랩] 플랫블랙 실린더 애글렛</v>
          </cell>
          <cell r="C766">
            <v>10000</v>
          </cell>
          <cell r="E766">
            <v>2.38</v>
          </cell>
          <cell r="F766">
            <v>3558.1</v>
          </cell>
          <cell r="G766" t="str">
            <v>레이스랩</v>
          </cell>
          <cell r="H766" t="str">
            <v>7-2.Aglet</v>
          </cell>
          <cell r="I766" t="str">
            <v>[레이스랩] 플랫블랙 실린더 애글렛</v>
          </cell>
        </row>
        <row r="767">
          <cell r="A767" t="str">
            <v>gold_bullet</v>
          </cell>
          <cell r="B767" t="str">
            <v>[레이스랩] 골드 불렛 애글렛</v>
          </cell>
          <cell r="C767">
            <v>10000</v>
          </cell>
          <cell r="E767">
            <v>2.38</v>
          </cell>
          <cell r="F767">
            <v>3558.1</v>
          </cell>
          <cell r="G767" t="str">
            <v>레이스랩</v>
          </cell>
          <cell r="H767" t="str">
            <v>7-2.Aglet</v>
          </cell>
          <cell r="I767" t="str">
            <v>[레이스랩] 골드 불렛 애글렛</v>
          </cell>
        </row>
        <row r="768">
          <cell r="A768" t="str">
            <v>silver_bullet</v>
          </cell>
          <cell r="B768" t="str">
            <v>[레이스랩] 실버 불렛 애글렛</v>
          </cell>
          <cell r="C768">
            <v>10000</v>
          </cell>
          <cell r="E768">
            <v>2.38</v>
          </cell>
          <cell r="F768">
            <v>3558.1</v>
          </cell>
          <cell r="G768" t="str">
            <v>레이스랩</v>
          </cell>
          <cell r="H768" t="str">
            <v>7-2.Aglet</v>
          </cell>
          <cell r="I768" t="str">
            <v>[레이스랩] 실버 불렛 애글렛</v>
          </cell>
        </row>
        <row r="769">
          <cell r="A769" t="str">
            <v>gunmetal_bullet</v>
          </cell>
          <cell r="B769" t="str">
            <v>[레이스랩] 건메탈 불렛 애글렛</v>
          </cell>
          <cell r="C769">
            <v>10000</v>
          </cell>
          <cell r="E769">
            <v>2.38</v>
          </cell>
          <cell r="F769">
            <v>3558.1</v>
          </cell>
          <cell r="G769" t="str">
            <v>레이스랩</v>
          </cell>
          <cell r="H769" t="str">
            <v>7-2.Aglet</v>
          </cell>
          <cell r="I769" t="str">
            <v>[레이스랩] 건메탈 불렛 애글렛</v>
          </cell>
        </row>
        <row r="770">
          <cell r="A770" t="str">
            <v>gold_yeezy</v>
          </cell>
          <cell r="B770" t="str">
            <v>[레이스랩] 골드 메탈 애글렛[이지스타일]</v>
          </cell>
          <cell r="C770">
            <v>10000</v>
          </cell>
          <cell r="E770">
            <v>2.38</v>
          </cell>
          <cell r="F770">
            <v>3558.1</v>
          </cell>
          <cell r="G770" t="str">
            <v>레이스랩</v>
          </cell>
          <cell r="H770" t="str">
            <v>7-2.Aglet</v>
          </cell>
          <cell r="I770" t="str">
            <v>[레이스랩] 골드 메탈 애글렛[이지스타일]</v>
          </cell>
        </row>
        <row r="771">
          <cell r="A771" t="str">
            <v>silver_yeezy</v>
          </cell>
          <cell r="B771" t="str">
            <v>[레이스랩] 실버 메탈 애글렛[이지스타일]</v>
          </cell>
          <cell r="C771">
            <v>10000</v>
          </cell>
          <cell r="E771">
            <v>2.38</v>
          </cell>
          <cell r="F771">
            <v>3558.1</v>
          </cell>
          <cell r="G771" t="str">
            <v>레이스랩</v>
          </cell>
          <cell r="H771" t="str">
            <v>7-2.Aglet</v>
          </cell>
          <cell r="I771" t="str">
            <v>[레이스랩] 실버 메탈 애글렛[이지스타일]</v>
          </cell>
        </row>
        <row r="772">
          <cell r="A772" t="str">
            <v>gunmetal_yeezy</v>
          </cell>
          <cell r="B772" t="str">
            <v>[레이스랩] 건메탈 메탈 애글렛[이지스타일]</v>
          </cell>
          <cell r="C772">
            <v>10000</v>
          </cell>
          <cell r="E772">
            <v>2.38</v>
          </cell>
          <cell r="F772">
            <v>3558.1</v>
          </cell>
          <cell r="G772" t="str">
            <v>레이스랩</v>
          </cell>
          <cell r="H772" t="str">
            <v>7-2.Aglet</v>
          </cell>
          <cell r="I772" t="str">
            <v>[레이스랩] 건메탈 메탈 애글렛[이지스타일]</v>
          </cell>
        </row>
        <row r="773">
          <cell r="A773" t="str">
            <v>neo_crome_bullet</v>
          </cell>
          <cell r="B773" t="str">
            <v>Neo Chrome Bullet Aglets</v>
          </cell>
          <cell r="C773">
            <v>10000</v>
          </cell>
          <cell r="E773">
            <v>2.38</v>
          </cell>
          <cell r="F773">
            <v>3558.1</v>
          </cell>
          <cell r="G773" t="str">
            <v>레이스랩</v>
          </cell>
          <cell r="H773" t="str">
            <v>7-2.Aglet</v>
          </cell>
          <cell r="I773" t="str">
            <v>Neo Chrome Bullet Aglets</v>
          </cell>
        </row>
        <row r="774">
          <cell r="A774" t="str">
            <v>flatblack_bullet</v>
          </cell>
          <cell r="B774" t="str">
            <v>Flat Black Bullet Aglets</v>
          </cell>
          <cell r="C774">
            <v>10000</v>
          </cell>
          <cell r="E774">
            <v>2.38</v>
          </cell>
          <cell r="F774">
            <v>3558.1</v>
          </cell>
          <cell r="G774" t="str">
            <v>레이스랩</v>
          </cell>
          <cell r="H774" t="str">
            <v>7-2.Aglet</v>
          </cell>
          <cell r="I774" t="str">
            <v>Flat Black Bullet Aglets</v>
          </cell>
        </row>
        <row r="775">
          <cell r="A775" t="str">
            <v>rosegold_bullet</v>
          </cell>
          <cell r="B775" t="str">
            <v>Rose Gold Bullet Aglets</v>
          </cell>
          <cell r="C775">
            <v>10000</v>
          </cell>
          <cell r="E775">
            <v>2.38</v>
          </cell>
          <cell r="F775">
            <v>3558.1</v>
          </cell>
          <cell r="G775" t="str">
            <v>레이스랩</v>
          </cell>
          <cell r="H775" t="str">
            <v>7-2.Aglet</v>
          </cell>
          <cell r="I775" t="str">
            <v>Rose Gold Bullet Aglets</v>
          </cell>
        </row>
        <row r="776">
          <cell r="A776" t="str">
            <v>rosegold_sylinder</v>
          </cell>
          <cell r="B776" t="str">
            <v>Rose Gold Cylinder Aglets</v>
          </cell>
          <cell r="C776">
            <v>10000</v>
          </cell>
          <cell r="E776">
            <v>2.38</v>
          </cell>
          <cell r="F776">
            <v>3558.1</v>
          </cell>
          <cell r="G776" t="str">
            <v>레이스랩</v>
          </cell>
          <cell r="H776" t="str">
            <v>7-2.Aglet</v>
          </cell>
          <cell r="I776" t="str">
            <v>Rose Gold Cylinder Aglets</v>
          </cell>
        </row>
        <row r="777">
          <cell r="A777" t="str">
            <v>OW01</v>
          </cell>
          <cell r="B777" t="str">
            <v>Black Off-White Style "SHOELACES"</v>
          </cell>
          <cell r="C777">
            <v>8000</v>
          </cell>
          <cell r="D777" t="str">
            <v xml:space="preserve">Off-White Style </v>
          </cell>
          <cell r="E777">
            <v>1.9800000000000002</v>
          </cell>
          <cell r="F777">
            <v>2960.1000000000008</v>
          </cell>
          <cell r="G777" t="str">
            <v>레이스랩</v>
          </cell>
          <cell r="H777" t="str">
            <v>7-1.LaceLab</v>
          </cell>
          <cell r="I777" t="str">
            <v>Black Off-White Style "SHOELACES"</v>
          </cell>
        </row>
        <row r="778">
          <cell r="A778" t="str">
            <v>OW02</v>
          </cell>
          <cell r="B778" t="str">
            <v>White Off-White Style "SHOELACES</v>
          </cell>
          <cell r="C778">
            <v>8000</v>
          </cell>
          <cell r="D778" t="str">
            <v xml:space="preserve">Off-White Style </v>
          </cell>
          <cell r="E778">
            <v>1.9800000000000002</v>
          </cell>
          <cell r="F778">
            <v>2960.1000000000008</v>
          </cell>
          <cell r="G778" t="str">
            <v>레이스랩</v>
          </cell>
          <cell r="H778" t="str">
            <v>7-1.LaceLab</v>
          </cell>
          <cell r="I778" t="str">
            <v>White Off-White Style "SHOELACES</v>
          </cell>
        </row>
        <row r="779">
          <cell r="A779" t="str">
            <v>OW03</v>
          </cell>
          <cell r="B779" t="str">
            <v>Neon Orange Off-White Style "SHOELACES"</v>
          </cell>
          <cell r="C779">
            <v>8000</v>
          </cell>
          <cell r="D779" t="str">
            <v xml:space="preserve">Off-White Style </v>
          </cell>
          <cell r="E779">
            <v>1.9800000000000002</v>
          </cell>
          <cell r="F779">
            <v>2960.1000000000008</v>
          </cell>
          <cell r="G779" t="str">
            <v>레이스랩</v>
          </cell>
          <cell r="H779" t="str">
            <v>7-1.LaceLab</v>
          </cell>
          <cell r="I779" t="str">
            <v>Neon Orange Off-White Style "SHOELACES"</v>
          </cell>
        </row>
        <row r="780">
          <cell r="A780" t="str">
            <v>OW04</v>
          </cell>
          <cell r="B780" t="str">
            <v>Neon Green Off-White Style "SHOELACES"</v>
          </cell>
          <cell r="C780">
            <v>8000</v>
          </cell>
          <cell r="D780" t="str">
            <v xml:space="preserve">Off-White Style </v>
          </cell>
          <cell r="E780">
            <v>1.9800000000000002</v>
          </cell>
          <cell r="F780">
            <v>2960.1000000000008</v>
          </cell>
          <cell r="G780" t="str">
            <v>레이스랩</v>
          </cell>
          <cell r="H780" t="str">
            <v>7-1.LaceLab</v>
          </cell>
          <cell r="I780" t="str">
            <v>Neon Green Off-White Style "SHOELACES"</v>
          </cell>
        </row>
        <row r="781">
          <cell r="A781" t="str">
            <v>OW05</v>
          </cell>
          <cell r="B781" t="str">
            <v>Purple Off-White Style "SHOELACES"</v>
          </cell>
          <cell r="C781">
            <v>8000</v>
          </cell>
          <cell r="D781" t="str">
            <v xml:space="preserve">Off-White Style </v>
          </cell>
          <cell r="E781">
            <v>1.9800000000000002</v>
          </cell>
          <cell r="F781">
            <v>2960.1000000000008</v>
          </cell>
          <cell r="G781" t="str">
            <v>레이스랩</v>
          </cell>
          <cell r="H781" t="str">
            <v>7-1.LaceLab</v>
          </cell>
          <cell r="I781" t="str">
            <v>Purple Off-White Style "SHOELACES"</v>
          </cell>
        </row>
        <row r="782">
          <cell r="A782" t="str">
            <v>OW06</v>
          </cell>
          <cell r="B782" t="str">
            <v>Light Blue Off-White Style "SHOELACES"</v>
          </cell>
          <cell r="C782">
            <v>8000</v>
          </cell>
          <cell r="D782" t="str">
            <v xml:space="preserve">Off-White Style </v>
          </cell>
          <cell r="E782">
            <v>1.9800000000000002</v>
          </cell>
          <cell r="F782">
            <v>2960.1000000000008</v>
          </cell>
          <cell r="G782" t="str">
            <v>레이스랩</v>
          </cell>
          <cell r="H782" t="str">
            <v>7-1.LaceLab</v>
          </cell>
          <cell r="I782" t="str">
            <v>Light Blue Off-White Style "SHOELACES"</v>
          </cell>
        </row>
        <row r="784">
          <cell r="A784" t="str">
            <v>720GL015</v>
          </cell>
          <cell r="B784" t="str">
            <v>#015-Acrylic Leather  Chocolate</v>
          </cell>
          <cell r="C784">
            <v>110000</v>
          </cell>
          <cell r="E784">
            <v>37.5</v>
          </cell>
          <cell r="F784">
            <v>51750</v>
          </cell>
          <cell r="H784" t="str">
            <v>1-7.갤런 페인트</v>
          </cell>
        </row>
        <row r="785">
          <cell r="A785" t="str">
            <v>720GL043</v>
          </cell>
          <cell r="B785" t="str">
            <v>#043-Acrylic Leather  Turgouise</v>
          </cell>
          <cell r="C785">
            <v>110000</v>
          </cell>
          <cell r="E785">
            <v>37.5</v>
          </cell>
          <cell r="F785">
            <v>51750</v>
          </cell>
          <cell r="H785" t="str">
            <v>1-7.갤런 페인트</v>
          </cell>
        </row>
        <row r="786">
          <cell r="A786" t="str">
            <v>7200GL96</v>
          </cell>
          <cell r="B786" t="str">
            <v>#196-Acrylic Leather Mustard</v>
          </cell>
          <cell r="C786">
            <v>110000</v>
          </cell>
          <cell r="E786">
            <v>37.5</v>
          </cell>
          <cell r="F786">
            <v>51750</v>
          </cell>
          <cell r="H786" t="str">
            <v>1-7.갤런 페인트</v>
          </cell>
        </row>
        <row r="789">
          <cell r="A789">
            <v>72004001</v>
          </cell>
          <cell r="B789" t="str">
            <v>#001-4온즈 페인트-Black</v>
          </cell>
          <cell r="C789">
            <v>22000</v>
          </cell>
          <cell r="E789">
            <v>27</v>
          </cell>
          <cell r="F789">
            <v>3105</v>
          </cell>
          <cell r="G789" t="str">
            <v>엔젤러스</v>
          </cell>
        </row>
        <row r="790">
          <cell r="A790">
            <v>72004004</v>
          </cell>
          <cell r="B790" t="str">
            <v>#004-4온즈 페인트-Neutral</v>
          </cell>
          <cell r="C790">
            <v>22000</v>
          </cell>
          <cell r="E790">
            <v>27</v>
          </cell>
          <cell r="F790">
            <v>3105</v>
          </cell>
          <cell r="G790" t="str">
            <v>엔젤러스</v>
          </cell>
        </row>
        <row r="791">
          <cell r="A791">
            <v>72004005</v>
          </cell>
          <cell r="B791" t="str">
            <v>#005-4온즈 페인트-White</v>
          </cell>
          <cell r="C791">
            <v>22000</v>
          </cell>
          <cell r="E791">
            <v>27</v>
          </cell>
          <cell r="F791">
            <v>3105</v>
          </cell>
          <cell r="G791" t="str">
            <v>엔젤러스</v>
          </cell>
        </row>
        <row r="792">
          <cell r="A792">
            <v>72004014</v>
          </cell>
          <cell r="B792" t="str">
            <v>#014-4온즈 페인트-Brown</v>
          </cell>
          <cell r="C792">
            <v>22000</v>
          </cell>
          <cell r="E792">
            <v>27</v>
          </cell>
          <cell r="F792">
            <v>3105</v>
          </cell>
          <cell r="G792" t="str">
            <v>엔젤러스</v>
          </cell>
        </row>
        <row r="793">
          <cell r="A793">
            <v>72004015</v>
          </cell>
          <cell r="B793" t="str">
            <v>#015-4온즈 페인트-Chocolate</v>
          </cell>
          <cell r="C793">
            <v>22000</v>
          </cell>
          <cell r="E793">
            <v>27</v>
          </cell>
          <cell r="F793">
            <v>3105</v>
          </cell>
          <cell r="G793" t="str">
            <v>엔젤러스</v>
          </cell>
        </row>
        <row r="794">
          <cell r="A794">
            <v>72004018</v>
          </cell>
          <cell r="B794" t="str">
            <v>#018-4온즈 페인트-DarkBrown</v>
          </cell>
          <cell r="C794">
            <v>22000</v>
          </cell>
          <cell r="E794">
            <v>27</v>
          </cell>
          <cell r="F794">
            <v>3105</v>
          </cell>
          <cell r="G794" t="str">
            <v>엔젤러스</v>
          </cell>
        </row>
        <row r="795">
          <cell r="A795">
            <v>72004019</v>
          </cell>
          <cell r="B795" t="str">
            <v>#019-4온즈 페인트-English Tan</v>
          </cell>
          <cell r="C795">
            <v>22000</v>
          </cell>
          <cell r="E795">
            <v>27</v>
          </cell>
          <cell r="F795">
            <v>3105</v>
          </cell>
          <cell r="G795" t="str">
            <v>엔젤러스</v>
          </cell>
        </row>
        <row r="796">
          <cell r="A796">
            <v>72004021</v>
          </cell>
          <cell r="B796" t="str">
            <v>#021-4온즈 페인트-LightBrown</v>
          </cell>
          <cell r="C796">
            <v>22000</v>
          </cell>
          <cell r="E796">
            <v>27</v>
          </cell>
          <cell r="F796">
            <v>3105</v>
          </cell>
          <cell r="G796" t="str">
            <v>엔젤러스</v>
          </cell>
        </row>
        <row r="797">
          <cell r="A797">
            <v>72004024</v>
          </cell>
          <cell r="B797" t="str">
            <v>#024-4온즈 페인트-Orange</v>
          </cell>
          <cell r="C797">
            <v>22000</v>
          </cell>
          <cell r="E797">
            <v>27</v>
          </cell>
          <cell r="F797">
            <v>3105</v>
          </cell>
          <cell r="G797" t="str">
            <v>엔젤러스</v>
          </cell>
        </row>
        <row r="798">
          <cell r="A798">
            <v>72004027</v>
          </cell>
          <cell r="B798" t="str">
            <v>#027- 4온즈 페인트-SADDLE</v>
          </cell>
          <cell r="C798">
            <v>22000</v>
          </cell>
          <cell r="E798">
            <v>27</v>
          </cell>
          <cell r="F798">
            <v>3105</v>
          </cell>
          <cell r="G798" t="str">
            <v>엔젤러스</v>
          </cell>
        </row>
        <row r="799">
          <cell r="A799">
            <v>72004029</v>
          </cell>
          <cell r="B799" t="str">
            <v>#029- 4온즈 페인트-Tan</v>
          </cell>
          <cell r="C799">
            <v>22000</v>
          </cell>
          <cell r="E799">
            <v>27</v>
          </cell>
          <cell r="F799">
            <v>3105</v>
          </cell>
          <cell r="G799" t="str">
            <v>엔젤러스</v>
          </cell>
        </row>
        <row r="800">
          <cell r="A800">
            <v>72004040</v>
          </cell>
          <cell r="B800" t="str">
            <v>#040-4온즈 페인트-BLUE</v>
          </cell>
          <cell r="C800">
            <v>22000</v>
          </cell>
          <cell r="E800">
            <v>27</v>
          </cell>
          <cell r="F800">
            <v>3105</v>
          </cell>
          <cell r="G800" t="str">
            <v>엔젤러스</v>
          </cell>
        </row>
        <row r="801">
          <cell r="A801">
            <v>72004041</v>
          </cell>
          <cell r="B801" t="str">
            <v>#041-4온즈 페인트-LightBLUE</v>
          </cell>
          <cell r="C801">
            <v>22000</v>
          </cell>
          <cell r="E801">
            <v>27</v>
          </cell>
          <cell r="F801">
            <v>3105</v>
          </cell>
          <cell r="G801" t="str">
            <v>엔젤러스</v>
          </cell>
        </row>
        <row r="802">
          <cell r="A802">
            <v>72004042</v>
          </cell>
          <cell r="B802" t="str">
            <v>#042-4온즈 페인트-NavyBlue</v>
          </cell>
          <cell r="C802">
            <v>22000</v>
          </cell>
          <cell r="E802">
            <v>27</v>
          </cell>
          <cell r="F802">
            <v>3105</v>
          </cell>
          <cell r="G802" t="str">
            <v>엔젤러스</v>
          </cell>
        </row>
        <row r="803">
          <cell r="A803">
            <v>72004043</v>
          </cell>
          <cell r="B803" t="str">
            <v>#043-4온즈 페인트-Turgouise</v>
          </cell>
          <cell r="C803">
            <v>22000</v>
          </cell>
          <cell r="E803">
            <v>27</v>
          </cell>
          <cell r="F803">
            <v>3105</v>
          </cell>
          <cell r="G803" t="str">
            <v>엔젤러스</v>
          </cell>
        </row>
        <row r="804">
          <cell r="A804">
            <v>72004045</v>
          </cell>
          <cell r="B804" t="str">
            <v>#045-4온즈 페인트-Blue Turquoise</v>
          </cell>
          <cell r="C804">
            <v>22000</v>
          </cell>
          <cell r="E804">
            <v>27</v>
          </cell>
          <cell r="F804">
            <v>3105</v>
          </cell>
          <cell r="G804" t="str">
            <v>엔젤러스</v>
          </cell>
        </row>
        <row r="805">
          <cell r="A805">
            <v>72004047</v>
          </cell>
          <cell r="B805" t="str">
            <v>#047-4온즈 페인트-Purple</v>
          </cell>
          <cell r="C805">
            <v>22000</v>
          </cell>
          <cell r="E805">
            <v>27</v>
          </cell>
          <cell r="F805">
            <v>3105</v>
          </cell>
          <cell r="G805" t="str">
            <v>엔젤러스</v>
          </cell>
        </row>
        <row r="806">
          <cell r="A806">
            <v>72004050</v>
          </cell>
          <cell r="B806" t="str">
            <v>#050-4온즈 페인트-Green</v>
          </cell>
          <cell r="C806">
            <v>22000</v>
          </cell>
          <cell r="E806">
            <v>27</v>
          </cell>
          <cell r="F806">
            <v>3105</v>
          </cell>
          <cell r="G806" t="str">
            <v>엔젤러스</v>
          </cell>
        </row>
        <row r="807">
          <cell r="A807">
            <v>72004052</v>
          </cell>
          <cell r="B807" t="str">
            <v>#052-4온즈 페인트-MidniteGreen</v>
          </cell>
          <cell r="C807">
            <v>22000</v>
          </cell>
          <cell r="E807">
            <v>27</v>
          </cell>
          <cell r="F807">
            <v>3105</v>
          </cell>
          <cell r="G807" t="str">
            <v>엔젤러스</v>
          </cell>
        </row>
        <row r="808">
          <cell r="A808">
            <v>72004060</v>
          </cell>
          <cell r="B808" t="str">
            <v>#060-4온즈 페인트-Burgundy</v>
          </cell>
          <cell r="C808">
            <v>22000</v>
          </cell>
          <cell r="E808">
            <v>27</v>
          </cell>
          <cell r="F808">
            <v>3105</v>
          </cell>
          <cell r="G808" t="str">
            <v>엔젤러스</v>
          </cell>
        </row>
        <row r="809">
          <cell r="A809">
            <v>72004064</v>
          </cell>
          <cell r="B809" t="str">
            <v>#064-4온즈 페인트-Red</v>
          </cell>
          <cell r="C809">
            <v>22000</v>
          </cell>
          <cell r="E809">
            <v>27</v>
          </cell>
          <cell r="F809">
            <v>3105</v>
          </cell>
          <cell r="G809" t="str">
            <v>엔젤러스</v>
          </cell>
        </row>
        <row r="810">
          <cell r="A810">
            <v>72004070</v>
          </cell>
          <cell r="B810" t="str">
            <v>#070-4온즈 페인트-Beige</v>
          </cell>
          <cell r="C810">
            <v>22000</v>
          </cell>
          <cell r="E810">
            <v>27</v>
          </cell>
          <cell r="F810">
            <v>3105</v>
          </cell>
          <cell r="G810" t="str">
            <v>엔젤러스</v>
          </cell>
        </row>
        <row r="811">
          <cell r="A811">
            <v>72004072</v>
          </cell>
          <cell r="B811" t="str">
            <v>#072-4온즈 페인트-Gold</v>
          </cell>
          <cell r="C811">
            <v>22000</v>
          </cell>
          <cell r="E811">
            <v>28</v>
          </cell>
          <cell r="F811">
            <v>3220</v>
          </cell>
          <cell r="G811" t="str">
            <v>엔젤러스</v>
          </cell>
        </row>
        <row r="812">
          <cell r="A812">
            <v>72004075</v>
          </cell>
          <cell r="B812" t="str">
            <v>#075-4온즈 페인트-Yellow</v>
          </cell>
          <cell r="C812">
            <v>22000</v>
          </cell>
          <cell r="E812">
            <v>27</v>
          </cell>
          <cell r="F812">
            <v>3105</v>
          </cell>
          <cell r="G812" t="str">
            <v>엔젤러스</v>
          </cell>
        </row>
        <row r="813">
          <cell r="A813">
            <v>72004080</v>
          </cell>
          <cell r="B813" t="str">
            <v>#080-4온즈 페인트-DarkGrey</v>
          </cell>
          <cell r="C813">
            <v>22000</v>
          </cell>
          <cell r="E813">
            <v>27</v>
          </cell>
          <cell r="F813">
            <v>3105</v>
          </cell>
          <cell r="G813" t="str">
            <v>엔젤러스</v>
          </cell>
        </row>
        <row r="814">
          <cell r="A814">
            <v>72004081</v>
          </cell>
          <cell r="B814" t="str">
            <v>#081-4온즈 페인트-Grey</v>
          </cell>
          <cell r="C814">
            <v>22000</v>
          </cell>
          <cell r="E814">
            <v>27</v>
          </cell>
          <cell r="F814">
            <v>3105</v>
          </cell>
          <cell r="G814" t="str">
            <v>엔젤러스</v>
          </cell>
        </row>
        <row r="815">
          <cell r="A815">
            <v>72004082</v>
          </cell>
          <cell r="B815" t="str">
            <v>#082-4온즈 페인트-LightGrey</v>
          </cell>
          <cell r="C815">
            <v>22000</v>
          </cell>
          <cell r="E815">
            <v>27</v>
          </cell>
          <cell r="F815">
            <v>3105</v>
          </cell>
          <cell r="G815" t="str">
            <v>엔젤러스</v>
          </cell>
        </row>
        <row r="816">
          <cell r="A816">
            <v>72004093</v>
          </cell>
          <cell r="B816" t="str">
            <v>#093-4온즈 페인트-Brick</v>
          </cell>
          <cell r="C816">
            <v>22000</v>
          </cell>
          <cell r="E816">
            <v>27</v>
          </cell>
          <cell r="F816">
            <v>3105</v>
          </cell>
          <cell r="G816" t="str">
            <v>엔젤러스</v>
          </cell>
        </row>
        <row r="817">
          <cell r="A817">
            <v>72004101</v>
          </cell>
          <cell r="B817" t="str">
            <v>#101-4온즈 페인트-Flat Black</v>
          </cell>
          <cell r="C817">
            <v>22000</v>
          </cell>
          <cell r="E817">
            <v>27</v>
          </cell>
          <cell r="F817">
            <v>3105</v>
          </cell>
          <cell r="G817" t="str">
            <v>엔젤러스</v>
          </cell>
        </row>
        <row r="818">
          <cell r="A818">
            <v>72004105</v>
          </cell>
          <cell r="B818" t="str">
            <v>#105-4온즈 페인트-Flat White</v>
          </cell>
          <cell r="C818">
            <v>22000</v>
          </cell>
          <cell r="E818">
            <v>27</v>
          </cell>
          <cell r="F818">
            <v>3105</v>
          </cell>
          <cell r="G818" t="str">
            <v>엔젤러스</v>
          </cell>
        </row>
        <row r="819">
          <cell r="A819">
            <v>72004141</v>
          </cell>
          <cell r="B819" t="str">
            <v>#141-4온즈 페인트-Copper</v>
          </cell>
          <cell r="C819">
            <v>22000</v>
          </cell>
          <cell r="E819">
            <v>28</v>
          </cell>
          <cell r="F819">
            <v>3220</v>
          </cell>
          <cell r="G819" t="str">
            <v>엔젤러스</v>
          </cell>
        </row>
        <row r="820">
          <cell r="A820">
            <v>72004142</v>
          </cell>
          <cell r="B820" t="str">
            <v>#142-4온즈 페인트-Bronze</v>
          </cell>
          <cell r="C820">
            <v>22000</v>
          </cell>
          <cell r="E820">
            <v>28</v>
          </cell>
          <cell r="F820">
            <v>3220</v>
          </cell>
          <cell r="G820" t="str">
            <v>엔젤러스</v>
          </cell>
        </row>
        <row r="821">
          <cell r="A821">
            <v>72004143</v>
          </cell>
          <cell r="B821" t="str">
            <v>#143-4온즈 페인트-Pewter</v>
          </cell>
          <cell r="C821">
            <v>22000</v>
          </cell>
          <cell r="E821">
            <v>28</v>
          </cell>
          <cell r="F821">
            <v>3220</v>
          </cell>
          <cell r="G821" t="str">
            <v>엔젤러스</v>
          </cell>
        </row>
        <row r="822">
          <cell r="A822">
            <v>72004150</v>
          </cell>
          <cell r="B822" t="str">
            <v>#150-4온즈 페인트-SILVER</v>
          </cell>
          <cell r="C822">
            <v>22000</v>
          </cell>
          <cell r="E822">
            <v>28</v>
          </cell>
          <cell r="F822">
            <v>3220</v>
          </cell>
          <cell r="G822" t="str">
            <v>엔젤러스</v>
          </cell>
        </row>
        <row r="823">
          <cell r="A823">
            <v>72004155</v>
          </cell>
          <cell r="B823" t="str">
            <v>#155-4온즈 페인트-Bone</v>
          </cell>
          <cell r="C823">
            <v>22000</v>
          </cell>
          <cell r="E823">
            <v>27</v>
          </cell>
          <cell r="F823">
            <v>3105</v>
          </cell>
          <cell r="G823" t="str">
            <v>엔젤러스</v>
          </cell>
        </row>
        <row r="824">
          <cell r="A824">
            <v>72004156</v>
          </cell>
          <cell r="B824" t="str">
            <v>#156-4온즈 페인트-Champagne</v>
          </cell>
          <cell r="C824">
            <v>22000</v>
          </cell>
          <cell r="E824">
            <v>27</v>
          </cell>
          <cell r="F824">
            <v>3105</v>
          </cell>
          <cell r="G824" t="str">
            <v>엔젤러스</v>
          </cell>
        </row>
        <row r="825">
          <cell r="A825">
            <v>72004157</v>
          </cell>
          <cell r="B825" t="str">
            <v>#157-4온즈 페인트-DarkBone</v>
          </cell>
          <cell r="C825">
            <v>22000</v>
          </cell>
          <cell r="E825">
            <v>27</v>
          </cell>
          <cell r="F825">
            <v>3105</v>
          </cell>
          <cell r="G825" t="str">
            <v>엔젤러스</v>
          </cell>
        </row>
        <row r="826">
          <cell r="A826">
            <v>72004159</v>
          </cell>
          <cell r="B826" t="str">
            <v>#159-4온즈 페인트-Mist</v>
          </cell>
          <cell r="C826">
            <v>22000</v>
          </cell>
          <cell r="E826">
            <v>27</v>
          </cell>
          <cell r="F826">
            <v>3105</v>
          </cell>
          <cell r="G826" t="str">
            <v>엔젤러스</v>
          </cell>
        </row>
        <row r="827">
          <cell r="A827">
            <v>72004160</v>
          </cell>
          <cell r="B827" t="str">
            <v>#160-4온즈 페인트-Vanilla</v>
          </cell>
          <cell r="C827">
            <v>22000</v>
          </cell>
          <cell r="E827">
            <v>27</v>
          </cell>
          <cell r="F827">
            <v>3105</v>
          </cell>
          <cell r="G827" t="str">
            <v>엔젤러스</v>
          </cell>
        </row>
        <row r="828">
          <cell r="A828">
            <v>72004161</v>
          </cell>
          <cell r="B828" t="str">
            <v>#161-4온즈 페인트-Natural</v>
          </cell>
          <cell r="C828">
            <v>22000</v>
          </cell>
          <cell r="E828">
            <v>27</v>
          </cell>
          <cell r="F828">
            <v>3105</v>
          </cell>
          <cell r="G828" t="str">
            <v>엔젤러스</v>
          </cell>
        </row>
        <row r="829">
          <cell r="A829">
            <v>72004162</v>
          </cell>
          <cell r="B829" t="str">
            <v>#162-4온즈 페인트-Cream</v>
          </cell>
          <cell r="C829">
            <v>22000</v>
          </cell>
          <cell r="E829">
            <v>27</v>
          </cell>
          <cell r="F829">
            <v>3105</v>
          </cell>
          <cell r="G829" t="str">
            <v>엔젤러스</v>
          </cell>
        </row>
        <row r="830">
          <cell r="A830">
            <v>72004163</v>
          </cell>
          <cell r="B830" t="str">
            <v>#163-4온즈 페인트-CapazioTan</v>
          </cell>
          <cell r="C830">
            <v>22000</v>
          </cell>
          <cell r="E830">
            <v>27</v>
          </cell>
          <cell r="F830">
            <v>3105</v>
          </cell>
          <cell r="G830" t="str">
            <v>엔젤러스</v>
          </cell>
        </row>
        <row r="831">
          <cell r="A831">
            <v>72004165</v>
          </cell>
          <cell r="B831" t="str">
            <v>#165-4온즈 페인트-BeigeTaupe</v>
          </cell>
          <cell r="C831">
            <v>22000</v>
          </cell>
          <cell r="E831">
            <v>27</v>
          </cell>
          <cell r="F831">
            <v>3105</v>
          </cell>
          <cell r="G831" t="str">
            <v>엔젤러스</v>
          </cell>
        </row>
        <row r="832">
          <cell r="A832">
            <v>72004166</v>
          </cell>
          <cell r="B832" t="str">
            <v>#166-4온즈 페인트-GreyTaupe</v>
          </cell>
          <cell r="C832">
            <v>22000</v>
          </cell>
          <cell r="E832">
            <v>27</v>
          </cell>
          <cell r="F832">
            <v>3105</v>
          </cell>
          <cell r="G832" t="str">
            <v>엔젤러스</v>
          </cell>
        </row>
        <row r="833">
          <cell r="A833">
            <v>72004167</v>
          </cell>
          <cell r="B833" t="str">
            <v>#167-4온즈 페인트-Taupe</v>
          </cell>
          <cell r="C833">
            <v>22000</v>
          </cell>
          <cell r="E833">
            <v>27</v>
          </cell>
          <cell r="F833">
            <v>3105</v>
          </cell>
          <cell r="G833" t="str">
            <v>엔젤러스</v>
          </cell>
        </row>
        <row r="834">
          <cell r="A834">
            <v>72004168</v>
          </cell>
          <cell r="B834" t="str">
            <v>#168-4온즈 페인트-DarkTaupe</v>
          </cell>
          <cell r="C834">
            <v>22000</v>
          </cell>
          <cell r="E834">
            <v>27</v>
          </cell>
          <cell r="F834">
            <v>3105</v>
          </cell>
          <cell r="G834" t="str">
            <v>엔젤러스</v>
          </cell>
        </row>
        <row r="835">
          <cell r="A835">
            <v>72004169</v>
          </cell>
          <cell r="B835" t="str">
            <v>#169-4온즈 페인트-Mauve</v>
          </cell>
          <cell r="C835">
            <v>22000</v>
          </cell>
          <cell r="E835">
            <v>27</v>
          </cell>
          <cell r="F835">
            <v>3105</v>
          </cell>
          <cell r="G835" t="str">
            <v>엔젤러스</v>
          </cell>
        </row>
        <row r="836">
          <cell r="A836">
            <v>72004170</v>
          </cell>
          <cell r="B836" t="str">
            <v>#170-4온즈 페인트-Avocado</v>
          </cell>
          <cell r="C836">
            <v>22000</v>
          </cell>
          <cell r="E836">
            <v>27</v>
          </cell>
          <cell r="F836">
            <v>3105</v>
          </cell>
          <cell r="G836" t="str">
            <v>엔젤러스</v>
          </cell>
        </row>
        <row r="837">
          <cell r="A837">
            <v>72004171</v>
          </cell>
          <cell r="B837" t="str">
            <v>#171-4온즈 페인트-DarkGreen</v>
          </cell>
          <cell r="C837">
            <v>22000</v>
          </cell>
          <cell r="E837">
            <v>27</v>
          </cell>
          <cell r="F837">
            <v>3105</v>
          </cell>
          <cell r="G837" t="str">
            <v>엔젤러스</v>
          </cell>
        </row>
        <row r="838">
          <cell r="A838">
            <v>72004172</v>
          </cell>
          <cell r="B838" t="str">
            <v>#172-4온즈 페인트-Light Green</v>
          </cell>
          <cell r="C838">
            <v>22000</v>
          </cell>
          <cell r="E838">
            <v>27</v>
          </cell>
          <cell r="F838">
            <v>3105</v>
          </cell>
          <cell r="G838" t="str">
            <v>엔젤러스</v>
          </cell>
        </row>
        <row r="839">
          <cell r="A839">
            <v>72004174</v>
          </cell>
          <cell r="B839" t="str">
            <v>#174-4온즈 페인트-GiftBoxBlue</v>
          </cell>
          <cell r="C839">
            <v>22000</v>
          </cell>
          <cell r="E839">
            <v>27</v>
          </cell>
          <cell r="F839">
            <v>3105</v>
          </cell>
          <cell r="G839" t="str">
            <v>엔젤러스</v>
          </cell>
        </row>
        <row r="840">
          <cell r="A840">
            <v>72004175</v>
          </cell>
          <cell r="B840" t="str">
            <v>#175-4온즈 페인트-Lylac</v>
          </cell>
          <cell r="C840">
            <v>22000</v>
          </cell>
          <cell r="E840">
            <v>27</v>
          </cell>
          <cell r="F840">
            <v>3105</v>
          </cell>
          <cell r="G840" t="str">
            <v>엔젤러스</v>
          </cell>
        </row>
        <row r="841">
          <cell r="A841">
            <v>72004176</v>
          </cell>
          <cell r="B841" t="str">
            <v>#176-4온즈 페인트-PaleBlue</v>
          </cell>
          <cell r="C841">
            <v>22000</v>
          </cell>
          <cell r="E841">
            <v>27</v>
          </cell>
          <cell r="F841">
            <v>3105</v>
          </cell>
          <cell r="G841" t="str">
            <v>엔젤러스</v>
          </cell>
        </row>
        <row r="842">
          <cell r="A842">
            <v>72004177</v>
          </cell>
          <cell r="B842" t="str">
            <v>#177-4온즈 페인트-Sapphire</v>
          </cell>
          <cell r="C842">
            <v>22000</v>
          </cell>
          <cell r="E842">
            <v>27</v>
          </cell>
          <cell r="F842">
            <v>3105</v>
          </cell>
          <cell r="G842" t="str">
            <v>엔젤러스</v>
          </cell>
        </row>
        <row r="843">
          <cell r="A843">
            <v>72004178</v>
          </cell>
          <cell r="B843" t="str">
            <v>#178-4온즈 페인트-Violet</v>
          </cell>
          <cell r="C843">
            <v>22000</v>
          </cell>
          <cell r="E843">
            <v>27</v>
          </cell>
          <cell r="F843">
            <v>3105</v>
          </cell>
          <cell r="G843" t="str">
            <v>엔젤러스</v>
          </cell>
        </row>
        <row r="844">
          <cell r="A844">
            <v>72004179</v>
          </cell>
          <cell r="B844" t="str">
            <v>#179-4온즈 페인트-DarkBlue</v>
          </cell>
          <cell r="C844">
            <v>22000</v>
          </cell>
          <cell r="E844">
            <v>27</v>
          </cell>
          <cell r="F844">
            <v>3105</v>
          </cell>
          <cell r="G844" t="str">
            <v>엔젤러스</v>
          </cell>
        </row>
        <row r="845">
          <cell r="A845">
            <v>72004180</v>
          </cell>
          <cell r="B845" t="str">
            <v>#180-4온즈 페인트-Cognac</v>
          </cell>
          <cell r="C845">
            <v>22000</v>
          </cell>
          <cell r="E845">
            <v>27</v>
          </cell>
          <cell r="F845">
            <v>3105</v>
          </cell>
          <cell r="G845" t="str">
            <v>엔젤러스</v>
          </cell>
        </row>
        <row r="846">
          <cell r="A846">
            <v>72004181</v>
          </cell>
          <cell r="B846" t="str">
            <v>#181-4온즈 페인트-RichBrown</v>
          </cell>
          <cell r="C846">
            <v>22000</v>
          </cell>
          <cell r="E846">
            <v>27</v>
          </cell>
          <cell r="F846">
            <v>3105</v>
          </cell>
          <cell r="G846" t="str">
            <v>엔젤러스</v>
          </cell>
        </row>
        <row r="847">
          <cell r="A847">
            <v>72004182</v>
          </cell>
          <cell r="B847" t="str">
            <v>#182-4온즈 페인트-Sand</v>
          </cell>
          <cell r="C847">
            <v>22000</v>
          </cell>
          <cell r="E847">
            <v>27</v>
          </cell>
          <cell r="F847">
            <v>3105</v>
          </cell>
          <cell r="G847" t="str">
            <v>엔젤러스</v>
          </cell>
        </row>
        <row r="848">
          <cell r="A848">
            <v>72004183</v>
          </cell>
          <cell r="B848" t="str">
            <v>#183-4온즈 페인트-TerraCottaRed</v>
          </cell>
          <cell r="C848">
            <v>22000</v>
          </cell>
          <cell r="E848">
            <v>27</v>
          </cell>
          <cell r="F848">
            <v>3105</v>
          </cell>
          <cell r="G848" t="str">
            <v>엔젤러스</v>
          </cell>
        </row>
        <row r="849">
          <cell r="A849">
            <v>72004184</v>
          </cell>
          <cell r="B849" t="str">
            <v>#184-4온즈 페인트-AutumnRed</v>
          </cell>
          <cell r="C849">
            <v>22000</v>
          </cell>
          <cell r="E849">
            <v>27</v>
          </cell>
          <cell r="F849">
            <v>3105</v>
          </cell>
          <cell r="G849" t="str">
            <v>엔젤러스</v>
          </cell>
        </row>
        <row r="850">
          <cell r="A850">
            <v>72004185</v>
          </cell>
          <cell r="B850" t="str">
            <v>#185-4온즈 페인트-FireRed</v>
          </cell>
          <cell r="C850">
            <v>22000</v>
          </cell>
          <cell r="E850">
            <v>27</v>
          </cell>
          <cell r="F850">
            <v>3105</v>
          </cell>
          <cell r="G850" t="str">
            <v>엔젤러스</v>
          </cell>
        </row>
        <row r="851">
          <cell r="A851">
            <v>72004186</v>
          </cell>
          <cell r="B851" t="str">
            <v>#186-4온즈 페인트-HotPink</v>
          </cell>
          <cell r="C851">
            <v>22000</v>
          </cell>
          <cell r="E851">
            <v>27</v>
          </cell>
          <cell r="F851">
            <v>3105</v>
          </cell>
          <cell r="G851" t="str">
            <v>엔젤러스</v>
          </cell>
        </row>
        <row r="852">
          <cell r="A852">
            <v>72004187</v>
          </cell>
          <cell r="B852" t="str">
            <v>#187-4온즈 페인트-Magenta</v>
          </cell>
          <cell r="C852">
            <v>22000</v>
          </cell>
          <cell r="E852">
            <v>27</v>
          </cell>
          <cell r="F852">
            <v>3105</v>
          </cell>
          <cell r="G852" t="str">
            <v>엔젤러스</v>
          </cell>
        </row>
        <row r="853">
          <cell r="A853">
            <v>72004188</v>
          </cell>
          <cell r="B853" t="str">
            <v>#188-4온즈 페인트-Pink</v>
          </cell>
          <cell r="C853">
            <v>22000</v>
          </cell>
          <cell r="E853">
            <v>27</v>
          </cell>
          <cell r="F853">
            <v>3105</v>
          </cell>
          <cell r="G853" t="str">
            <v>엔젤러스</v>
          </cell>
        </row>
        <row r="854">
          <cell r="A854">
            <v>72004189</v>
          </cell>
          <cell r="B854" t="str">
            <v>#189-4온즈 페인트-Petal Pink</v>
          </cell>
          <cell r="C854">
            <v>22000</v>
          </cell>
          <cell r="E854">
            <v>27</v>
          </cell>
          <cell r="F854">
            <v>3105</v>
          </cell>
          <cell r="G854" t="str">
            <v>엔젤러스</v>
          </cell>
        </row>
        <row r="855">
          <cell r="A855">
            <v>72004190</v>
          </cell>
          <cell r="B855" t="str">
            <v>#190-4온즈 페인트-ScaletRed</v>
          </cell>
          <cell r="C855">
            <v>22000</v>
          </cell>
          <cell r="E855">
            <v>27</v>
          </cell>
          <cell r="F855">
            <v>3105</v>
          </cell>
          <cell r="G855" t="str">
            <v>엔젤러스</v>
          </cell>
        </row>
        <row r="856">
          <cell r="A856">
            <v>72004191</v>
          </cell>
          <cell r="B856" t="str">
            <v>#191-4온즈 페인트-Shell Pink</v>
          </cell>
          <cell r="C856">
            <v>22000</v>
          </cell>
          <cell r="E856">
            <v>27</v>
          </cell>
          <cell r="F856">
            <v>3105</v>
          </cell>
          <cell r="G856" t="str">
            <v>엔젤러스</v>
          </cell>
        </row>
        <row r="857">
          <cell r="A857">
            <v>72004194</v>
          </cell>
          <cell r="B857" t="str">
            <v>#194-4온즈 페인트-Caramel</v>
          </cell>
          <cell r="C857">
            <v>22000</v>
          </cell>
          <cell r="E857">
            <v>27</v>
          </cell>
          <cell r="F857">
            <v>3105</v>
          </cell>
          <cell r="G857" t="str">
            <v>엔젤러스</v>
          </cell>
        </row>
        <row r="858">
          <cell r="A858">
            <v>72004196</v>
          </cell>
          <cell r="B858" t="str">
            <v>#196-4온즈 페인트-Mustard</v>
          </cell>
          <cell r="C858">
            <v>22000</v>
          </cell>
          <cell r="E858">
            <v>27</v>
          </cell>
          <cell r="F858">
            <v>3105</v>
          </cell>
          <cell r="G858" t="str">
            <v>엔젤러스</v>
          </cell>
        </row>
        <row r="859">
          <cell r="A859">
            <v>72004197</v>
          </cell>
          <cell r="B859" t="str">
            <v>#197-4온즈 페인트-PaleYellow</v>
          </cell>
          <cell r="C859">
            <v>22000</v>
          </cell>
          <cell r="E859">
            <v>27</v>
          </cell>
          <cell r="F859">
            <v>3105</v>
          </cell>
          <cell r="G859" t="str">
            <v>엔젤러스</v>
          </cell>
        </row>
        <row r="860">
          <cell r="A860">
            <v>72004198</v>
          </cell>
          <cell r="B860" t="str">
            <v>#198-4온즈 페인트-Buttercup</v>
          </cell>
          <cell r="C860">
            <v>22000</v>
          </cell>
          <cell r="E860">
            <v>27</v>
          </cell>
          <cell r="F860">
            <v>3105</v>
          </cell>
          <cell r="G860" t="str">
            <v>엔젤러스</v>
          </cell>
        </row>
        <row r="861">
          <cell r="A861">
            <v>72004260</v>
          </cell>
          <cell r="B861" t="str">
            <v>#260-4온즈 페인트-Chili Red</v>
          </cell>
          <cell r="C861">
            <v>22000</v>
          </cell>
          <cell r="E861">
            <v>27</v>
          </cell>
          <cell r="F861">
            <v>3105</v>
          </cell>
          <cell r="G861" t="str">
            <v>엔젤러스</v>
          </cell>
        </row>
        <row r="862">
          <cell r="A862">
            <v>72004261</v>
          </cell>
          <cell r="B862" t="str">
            <v>#261-4온즈 페인트-South Beach</v>
          </cell>
          <cell r="C862">
            <v>22000</v>
          </cell>
          <cell r="E862">
            <v>27</v>
          </cell>
          <cell r="F862">
            <v>3105</v>
          </cell>
          <cell r="G862" t="str">
            <v>엔젤러스</v>
          </cell>
        </row>
        <row r="863">
          <cell r="A863">
            <v>72004262</v>
          </cell>
          <cell r="B863" t="str">
            <v>#262-4온즈 페인트-Play in the Sand</v>
          </cell>
          <cell r="C863">
            <v>22000</v>
          </cell>
          <cell r="E863">
            <v>27</v>
          </cell>
          <cell r="F863">
            <v>3105</v>
          </cell>
          <cell r="G863" t="str">
            <v>엔젤러스</v>
          </cell>
        </row>
        <row r="864">
          <cell r="A864">
            <v>72004263</v>
          </cell>
          <cell r="B864" t="str">
            <v>#263-4온즈 페인트-Grinch Green</v>
          </cell>
          <cell r="C864">
            <v>22000</v>
          </cell>
          <cell r="E864">
            <v>27</v>
          </cell>
          <cell r="F864">
            <v>3105</v>
          </cell>
          <cell r="G864" t="str">
            <v>엔젤러스</v>
          </cell>
        </row>
        <row r="865">
          <cell r="A865">
            <v>72004264</v>
          </cell>
          <cell r="B865" t="str">
            <v>#264-4온즈 페인트-Putty</v>
          </cell>
          <cell r="C865">
            <v>22000</v>
          </cell>
          <cell r="E865">
            <v>27</v>
          </cell>
          <cell r="F865">
            <v>3105</v>
          </cell>
          <cell r="G865" t="str">
            <v>엔젤러스</v>
          </cell>
        </row>
        <row r="866">
          <cell r="A866">
            <v>72004265</v>
          </cell>
          <cell r="B866" t="str">
            <v>#265-4온즈 페인트-Tangerine</v>
          </cell>
          <cell r="C866">
            <v>22000</v>
          </cell>
          <cell r="E866">
            <v>27</v>
          </cell>
          <cell r="F866">
            <v>3105</v>
          </cell>
          <cell r="G866" t="str">
            <v>엔젤러스</v>
          </cell>
        </row>
        <row r="867">
          <cell r="A867">
            <v>72004266</v>
          </cell>
          <cell r="B867" t="str">
            <v>#266-4온즈 페인트-Georgia Peach</v>
          </cell>
          <cell r="C867">
            <v>22000</v>
          </cell>
          <cell r="E867">
            <v>27</v>
          </cell>
          <cell r="F867">
            <v>3105</v>
          </cell>
          <cell r="G867" t="str">
            <v>엔젤러스</v>
          </cell>
        </row>
        <row r="868">
          <cell r="A868">
            <v>72004267</v>
          </cell>
          <cell r="B868" t="str">
            <v>#267-4온즈 페인트-Salmon</v>
          </cell>
          <cell r="C868">
            <v>22000</v>
          </cell>
          <cell r="E868">
            <v>27</v>
          </cell>
          <cell r="F868">
            <v>3105</v>
          </cell>
          <cell r="G868" t="str">
            <v>엔젤러스</v>
          </cell>
        </row>
        <row r="869">
          <cell r="A869">
            <v>72004268</v>
          </cell>
          <cell r="B869" t="str">
            <v>#268-4온즈 페인트-Rasberry</v>
          </cell>
          <cell r="C869">
            <v>22000</v>
          </cell>
          <cell r="E869">
            <v>27</v>
          </cell>
          <cell r="F869">
            <v>3105</v>
          </cell>
          <cell r="G869" t="str">
            <v>엔젤러스</v>
          </cell>
        </row>
        <row r="870">
          <cell r="A870">
            <v>72004269</v>
          </cell>
          <cell r="B870" t="str">
            <v>#269-4온즈 페인트-Mint</v>
          </cell>
          <cell r="C870">
            <v>22000</v>
          </cell>
          <cell r="E870">
            <v>27</v>
          </cell>
          <cell r="F870">
            <v>3105</v>
          </cell>
          <cell r="G870" t="str">
            <v>엔젤러스</v>
          </cell>
        </row>
        <row r="871">
          <cell r="A871">
            <v>72004270</v>
          </cell>
          <cell r="B871" t="str">
            <v>#270-4온즈 페인트-Vachetta</v>
          </cell>
          <cell r="C871">
            <v>22000</v>
          </cell>
          <cell r="E871">
            <v>27</v>
          </cell>
          <cell r="F871">
            <v>3105</v>
          </cell>
          <cell r="G871" t="str">
            <v>엔젤러스</v>
          </cell>
        </row>
        <row r="872">
          <cell r="A872">
            <v>72004272</v>
          </cell>
          <cell r="B872" t="str">
            <v>#272-4온즈 페인트-Olive</v>
          </cell>
          <cell r="C872">
            <v>22000</v>
          </cell>
          <cell r="E872">
            <v>27</v>
          </cell>
          <cell r="F872">
            <v>3105</v>
          </cell>
          <cell r="G872" t="str">
            <v>엔젤러스</v>
          </cell>
        </row>
        <row r="873">
          <cell r="A873" t="str">
            <v>720pt105</v>
          </cell>
          <cell r="B873" t="str">
            <v>파인트-#105-페인트-Flat White</v>
          </cell>
          <cell r="C873">
            <v>44000</v>
          </cell>
          <cell r="G873" t="str">
            <v>엔젤러스</v>
          </cell>
        </row>
        <row r="880">
          <cell r="A880">
            <v>53003014</v>
          </cell>
          <cell r="B880" t="str">
            <v xml:space="preserve">샤인다이-브라운 </v>
          </cell>
        </row>
        <row r="881">
          <cell r="A881">
            <v>53003042</v>
          </cell>
          <cell r="B881" t="str">
            <v xml:space="preserve">샤인다이-네이비 </v>
          </cell>
        </row>
        <row r="882">
          <cell r="A882">
            <v>53003017</v>
          </cell>
          <cell r="B882" t="str">
            <v xml:space="preserve">샤인다이-코도반 </v>
          </cell>
        </row>
        <row r="883">
          <cell r="A883">
            <v>53003175</v>
          </cell>
          <cell r="B883" t="str">
            <v xml:space="preserve">샤인다이-라일락 </v>
          </cell>
        </row>
        <row r="884">
          <cell r="A884">
            <v>53003064</v>
          </cell>
          <cell r="B884" t="str">
            <v xml:space="preserve">샤인다이-레드 </v>
          </cell>
        </row>
        <row r="885">
          <cell r="A885">
            <v>53003029</v>
          </cell>
          <cell r="B885" t="str">
            <v xml:space="preserve">샤인다이-탄 </v>
          </cell>
        </row>
        <row r="887">
          <cell r="G887" t="str">
            <v>수입단가</v>
          </cell>
        </row>
        <row r="888">
          <cell r="B888" t="str">
            <v>라운드 #0</v>
          </cell>
          <cell r="C888">
            <v>8000</v>
          </cell>
          <cell r="D888" t="str">
            <v>미도착</v>
          </cell>
          <cell r="I888">
            <v>5.95</v>
          </cell>
        </row>
        <row r="889">
          <cell r="A889" t="str">
            <v>799RO01</v>
          </cell>
          <cell r="B889" t="str">
            <v>라운드 #1</v>
          </cell>
          <cell r="C889">
            <v>6000</v>
          </cell>
          <cell r="D889" t="str">
            <v>라운드 #1</v>
          </cell>
          <cell r="E889">
            <v>1.42</v>
          </cell>
          <cell r="F889">
            <v>2044.8</v>
          </cell>
          <cell r="G889" t="str">
            <v>엔젤러스</v>
          </cell>
          <cell r="H889" t="str">
            <v>6-2.브러시</v>
          </cell>
          <cell r="I889">
            <v>3.95</v>
          </cell>
        </row>
        <row r="890">
          <cell r="A890" t="str">
            <v>799RO02</v>
          </cell>
          <cell r="B890" t="str">
            <v>라운드 #2</v>
          </cell>
          <cell r="C890">
            <v>6000</v>
          </cell>
          <cell r="D890" t="str">
            <v>라운드 #2</v>
          </cell>
          <cell r="E890">
            <v>1.42</v>
          </cell>
          <cell r="F890">
            <v>2044.8</v>
          </cell>
          <cell r="G890" t="str">
            <v>엔젤러스</v>
          </cell>
          <cell r="H890" t="str">
            <v>6-2.브러시</v>
          </cell>
          <cell r="I890">
            <v>3.95</v>
          </cell>
        </row>
        <row r="891">
          <cell r="A891" t="str">
            <v>799SH00</v>
          </cell>
          <cell r="B891" t="str">
            <v>쉐이더 #0</v>
          </cell>
          <cell r="C891">
            <v>8000</v>
          </cell>
          <cell r="D891" t="str">
            <v>쉐이더 #0</v>
          </cell>
          <cell r="E891">
            <v>2.14</v>
          </cell>
          <cell r="H891" t="str">
            <v>6-2.브러시</v>
          </cell>
          <cell r="I891">
            <v>5.95</v>
          </cell>
        </row>
        <row r="892">
          <cell r="A892" t="str">
            <v>799SH02</v>
          </cell>
          <cell r="B892" t="str">
            <v>쉐이더 #2</v>
          </cell>
          <cell r="C892">
            <v>6000</v>
          </cell>
          <cell r="D892" t="str">
            <v>쉐이더 #2</v>
          </cell>
          <cell r="E892">
            <v>1.42</v>
          </cell>
          <cell r="F892">
            <v>2044.8</v>
          </cell>
          <cell r="G892" t="str">
            <v>엔젤러스</v>
          </cell>
          <cell r="H892" t="str">
            <v>6-2.브러시</v>
          </cell>
          <cell r="I892">
            <v>3.95</v>
          </cell>
        </row>
        <row r="893">
          <cell r="A893" t="str">
            <v>799SH06</v>
          </cell>
          <cell r="B893" t="str">
            <v>쉐이더 #6</v>
          </cell>
          <cell r="C893">
            <v>7000</v>
          </cell>
          <cell r="D893" t="str">
            <v>쉐이더 #6</v>
          </cell>
          <cell r="E893">
            <v>1.62</v>
          </cell>
          <cell r="F893">
            <v>2332.8000000000002</v>
          </cell>
          <cell r="G893" t="str">
            <v>엔젤러스</v>
          </cell>
          <cell r="H893" t="str">
            <v>6-2.브러시</v>
          </cell>
          <cell r="I893">
            <v>4.5</v>
          </cell>
        </row>
        <row r="894">
          <cell r="A894" t="str">
            <v>799SH10</v>
          </cell>
          <cell r="B894" t="str">
            <v>쉐이더 #10</v>
          </cell>
          <cell r="C894">
            <v>7000</v>
          </cell>
          <cell r="D894" t="str">
            <v>쉐이더 #10</v>
          </cell>
          <cell r="E894">
            <v>1.62</v>
          </cell>
          <cell r="F894">
            <v>2332.8000000000002</v>
          </cell>
          <cell r="G894" t="str">
            <v>엔젤러스</v>
          </cell>
          <cell r="H894" t="str">
            <v>6-2.브러시</v>
          </cell>
          <cell r="I894">
            <v>4.5</v>
          </cell>
        </row>
        <row r="895">
          <cell r="A895" t="str">
            <v>799SP00</v>
          </cell>
          <cell r="B895" t="str">
            <v>스파터 #0</v>
          </cell>
          <cell r="C895">
            <v>8000</v>
          </cell>
          <cell r="D895" t="str">
            <v>스파터 #0</v>
          </cell>
          <cell r="E895">
            <v>2.14</v>
          </cell>
          <cell r="H895" t="str">
            <v>6-2.브러시</v>
          </cell>
          <cell r="I895">
            <v>5.95</v>
          </cell>
        </row>
        <row r="896">
          <cell r="A896" t="str">
            <v>799SP50</v>
          </cell>
          <cell r="B896" t="str">
            <v>스파터 5/0</v>
          </cell>
          <cell r="C896">
            <v>8000</v>
          </cell>
          <cell r="D896" t="str">
            <v>스파터 5/0</v>
          </cell>
          <cell r="E896">
            <v>2.14</v>
          </cell>
          <cell r="F896">
            <v>3081.6</v>
          </cell>
          <cell r="G896" t="str">
            <v>엔젤러스</v>
          </cell>
          <cell r="H896" t="str">
            <v>6-2.브러시</v>
          </cell>
        </row>
        <row r="897">
          <cell r="A897" t="str">
            <v>799AN14</v>
          </cell>
          <cell r="B897" t="str">
            <v>앵귤러 #1/4"</v>
          </cell>
          <cell r="C897">
            <v>6000</v>
          </cell>
          <cell r="D897" t="str">
            <v>앵귤러 #1/4"</v>
          </cell>
          <cell r="E897">
            <v>1.42</v>
          </cell>
          <cell r="F897">
            <v>2044.8</v>
          </cell>
          <cell r="G897" t="str">
            <v>엔젤러스</v>
          </cell>
          <cell r="H897" t="str">
            <v>6-2.브러시</v>
          </cell>
          <cell r="I897">
            <v>3.95</v>
          </cell>
        </row>
        <row r="898">
          <cell r="A898" t="str">
            <v>799AN02</v>
          </cell>
          <cell r="B898" t="str">
            <v>앵귤러 #2</v>
          </cell>
          <cell r="C898">
            <v>6000</v>
          </cell>
          <cell r="D898" t="str">
            <v>미도착</v>
          </cell>
          <cell r="E898">
            <v>1.42</v>
          </cell>
          <cell r="F898">
            <v>2044.8</v>
          </cell>
          <cell r="G898" t="str">
            <v>엔젤러스</v>
          </cell>
          <cell r="H898" t="str">
            <v>6-2.브러시</v>
          </cell>
          <cell r="I898">
            <v>3.95</v>
          </cell>
        </row>
        <row r="899">
          <cell r="A899" t="str">
            <v>799AN00</v>
          </cell>
          <cell r="B899" t="str">
            <v>앵귤러쉐이더 #0</v>
          </cell>
          <cell r="C899">
            <v>8000</v>
          </cell>
          <cell r="D899" t="str">
            <v>앵귤러쉐이더 #0</v>
          </cell>
          <cell r="E899">
            <v>2.14</v>
          </cell>
          <cell r="H899" t="str">
            <v>6-2.브러시</v>
          </cell>
          <cell r="I899">
            <v>4.5</v>
          </cell>
        </row>
        <row r="900">
          <cell r="A900" t="str">
            <v>799AS01</v>
          </cell>
          <cell r="B900" t="str">
            <v>앵귤러쉐이더 #1</v>
          </cell>
          <cell r="C900">
            <v>6000</v>
          </cell>
          <cell r="D900" t="str">
            <v>앵귤러쉐이더 #1</v>
          </cell>
          <cell r="E900">
            <v>1.42</v>
          </cell>
          <cell r="F900">
            <v>2044.8</v>
          </cell>
          <cell r="G900" t="str">
            <v>엔젤러스</v>
          </cell>
          <cell r="H900" t="str">
            <v>6-2.브러시</v>
          </cell>
          <cell r="I900">
            <v>3.95</v>
          </cell>
        </row>
        <row r="901">
          <cell r="A901" t="str">
            <v>799AS12</v>
          </cell>
          <cell r="B901" t="str">
            <v>앵귤러쉐이더 #1/2"</v>
          </cell>
          <cell r="C901">
            <v>6000</v>
          </cell>
          <cell r="D901" t="str">
            <v>앵귤러쉐이더 #1/2"</v>
          </cell>
          <cell r="E901">
            <v>1.42</v>
          </cell>
          <cell r="F901">
            <v>2044.8</v>
          </cell>
          <cell r="G901" t="str">
            <v>엔젤러스</v>
          </cell>
          <cell r="H901" t="str">
            <v>6-2.브러시</v>
          </cell>
          <cell r="I901">
            <v>3.95</v>
          </cell>
        </row>
        <row r="902">
          <cell r="A902" t="str">
            <v>799AS38</v>
          </cell>
          <cell r="B902" t="str">
            <v>앵귤러쉐이더 #3/8"</v>
          </cell>
          <cell r="C902">
            <v>6000</v>
          </cell>
          <cell r="D902" t="str">
            <v>앵귤러쉐이더 #3/8"</v>
          </cell>
          <cell r="E902">
            <v>1.42</v>
          </cell>
          <cell r="F902">
            <v>2044.8</v>
          </cell>
          <cell r="G902" t="str">
            <v>엔젤러스</v>
          </cell>
          <cell r="H902" t="str">
            <v>6-2.브러시</v>
          </cell>
          <cell r="I902">
            <v>3.95</v>
          </cell>
        </row>
        <row r="903">
          <cell r="A903" t="str">
            <v>799FL00</v>
          </cell>
          <cell r="B903" t="str">
            <v>필버트 #0</v>
          </cell>
          <cell r="C903">
            <v>8000</v>
          </cell>
          <cell r="D903" t="str">
            <v>필버트 #0</v>
          </cell>
          <cell r="E903">
            <v>2.14</v>
          </cell>
          <cell r="H903" t="str">
            <v>6-2.브러시</v>
          </cell>
          <cell r="I903">
            <v>5.95</v>
          </cell>
        </row>
        <row r="904">
          <cell r="A904" t="str">
            <v>799FL02</v>
          </cell>
          <cell r="B904" t="str">
            <v>필버트 #2</v>
          </cell>
          <cell r="C904">
            <v>7000</v>
          </cell>
          <cell r="D904" t="str">
            <v>필버트 #2</v>
          </cell>
          <cell r="E904">
            <v>1.53</v>
          </cell>
          <cell r="F904">
            <v>2203.1999999999998</v>
          </cell>
          <cell r="G904" t="str">
            <v>엔젤러스</v>
          </cell>
          <cell r="H904" t="str">
            <v>6-2.브러시</v>
          </cell>
          <cell r="I904">
            <v>4.25</v>
          </cell>
        </row>
        <row r="905">
          <cell r="A905" t="str">
            <v>6Filbert</v>
          </cell>
          <cell r="B905" t="str">
            <v>필버트 #6</v>
          </cell>
          <cell r="C905">
            <v>7000</v>
          </cell>
          <cell r="D905" t="str">
            <v>필버트 #6</v>
          </cell>
          <cell r="E905">
            <v>1.53</v>
          </cell>
          <cell r="F905">
            <v>2203.1999999999998</v>
          </cell>
          <cell r="H905" t="str">
            <v>6-2.브러시</v>
          </cell>
        </row>
        <row r="908">
          <cell r="A908" t="str">
            <v>992E00KNIFE</v>
          </cell>
          <cell r="B908" t="str">
            <v>엔젤러스 디테일 나이프</v>
          </cell>
          <cell r="C908">
            <v>10000</v>
          </cell>
          <cell r="E908">
            <v>2.5</v>
          </cell>
          <cell r="F908">
            <v>3600</v>
          </cell>
          <cell r="G908" t="str">
            <v>엔젤러스</v>
          </cell>
          <cell r="H908" t="str">
            <v>6-1.기타</v>
          </cell>
          <cell r="I908">
            <v>5.95</v>
          </cell>
        </row>
        <row r="909">
          <cell r="A909" t="str">
            <v>Blade</v>
          </cell>
          <cell r="B909" t="str">
            <v>엔젤러스 교체용 나이프날</v>
          </cell>
          <cell r="C909">
            <v>3500</v>
          </cell>
          <cell r="E909">
            <v>0.88</v>
          </cell>
          <cell r="F909">
            <v>1267.2</v>
          </cell>
          <cell r="G909" t="str">
            <v>엔젤러스</v>
          </cell>
          <cell r="H909" t="str">
            <v>6-1.기타</v>
          </cell>
        </row>
        <row r="910">
          <cell r="A910" t="str">
            <v>992E912MAT</v>
          </cell>
          <cell r="B910" t="str">
            <v>커팅 매트(소) 9"x12"</v>
          </cell>
          <cell r="C910">
            <v>10000</v>
          </cell>
          <cell r="E910">
            <v>2.5</v>
          </cell>
          <cell r="F910">
            <v>3600</v>
          </cell>
          <cell r="G910" t="str">
            <v>엔젤러스</v>
          </cell>
          <cell r="H910" t="str">
            <v>6-1.기타</v>
          </cell>
        </row>
        <row r="911">
          <cell r="A911" t="str">
            <v>992E1218MAT</v>
          </cell>
          <cell r="B911" t="str">
            <v>커팅 매트(중) 12"x18"</v>
          </cell>
          <cell r="C911">
            <v>16000</v>
          </cell>
          <cell r="E911">
            <v>4</v>
          </cell>
          <cell r="F911">
            <v>5760</v>
          </cell>
          <cell r="G911" t="str">
            <v>엔젤러스</v>
          </cell>
          <cell r="H911" t="str">
            <v>6-1.기타</v>
          </cell>
        </row>
        <row r="912">
          <cell r="A912" t="str">
            <v>992E1824MAT</v>
          </cell>
          <cell r="B912" t="str">
            <v>커팅 매트(대) 18"x24"</v>
          </cell>
          <cell r="C912">
            <v>25000</v>
          </cell>
          <cell r="E912">
            <v>6</v>
          </cell>
          <cell r="F912">
            <v>8640</v>
          </cell>
          <cell r="G912" t="str">
            <v>엔젤러스</v>
          </cell>
          <cell r="H912" t="str">
            <v>6-1.기타</v>
          </cell>
        </row>
        <row r="913">
          <cell r="A913" t="str">
            <v>브러시클리너</v>
          </cell>
          <cell r="B913" t="str">
            <v>브러시클리너</v>
          </cell>
          <cell r="C913">
            <v>10000</v>
          </cell>
        </row>
        <row r="914">
          <cell r="A914" t="str">
            <v>페인트컵</v>
          </cell>
          <cell r="B914" t="str">
            <v>페인트컵</v>
          </cell>
          <cell r="C914">
            <v>2000</v>
          </cell>
        </row>
        <row r="915">
          <cell r="A915" t="str">
            <v>페인트세트</v>
          </cell>
          <cell r="B915" t="str">
            <v>가죽페인트세트 10세트</v>
          </cell>
          <cell r="C915">
            <v>479996</v>
          </cell>
          <cell r="E915">
            <v>0</v>
          </cell>
          <cell r="F915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Series / Part #</v>
          </cell>
          <cell r="B1" t="str">
            <v>Product Name / Available Sizes</v>
          </cell>
          <cell r="C1" t="str">
            <v>Retail</v>
          </cell>
          <cell r="D1" t="str">
            <v>MAP</v>
          </cell>
          <cell r="E1" t="str">
            <v>Jobber Price</v>
          </cell>
        </row>
        <row r="2">
          <cell r="A2" t="str">
            <v>JOBBER PRICE LIST 2021</v>
          </cell>
          <cell r="B2"/>
          <cell r="C2"/>
          <cell r="D2"/>
          <cell r="E2"/>
        </row>
        <row r="3">
          <cell r="A3"/>
          <cell r="B3"/>
          <cell r="C3"/>
          <cell r="D3"/>
          <cell r="E3"/>
        </row>
        <row r="4">
          <cell r="A4"/>
          <cell r="B4"/>
          <cell r="C4" t="str">
            <v>Address: 12060 Florence Ave.
Santa Fe Springs, CA 90670</v>
          </cell>
          <cell r="D4"/>
          <cell r="E4"/>
        </row>
        <row r="5">
          <cell r="A5"/>
          <cell r="B5"/>
          <cell r="C5" t="str">
            <v>Phone: 562-941-4242 // Fax: 562-944-7705</v>
          </cell>
          <cell r="D5"/>
          <cell r="E5"/>
        </row>
        <row r="6">
          <cell r="A6"/>
          <cell r="B6"/>
          <cell r="C6" t="str">
            <v>Website: www.AngelusShoePolish.com</v>
          </cell>
          <cell r="D6"/>
          <cell r="E6"/>
        </row>
        <row r="7">
          <cell r="A7"/>
          <cell r="B7"/>
          <cell r="C7" t="str">
            <v>E-Mail: info@AngelusShoePolish.com</v>
          </cell>
          <cell r="D7"/>
          <cell r="E7"/>
        </row>
        <row r="8">
          <cell r="A8"/>
          <cell r="B8"/>
          <cell r="C8" t="str">
            <v>Effective: March 20, 2021</v>
          </cell>
          <cell r="D8"/>
          <cell r="E8"/>
        </row>
        <row r="9">
          <cell r="A9"/>
          <cell r="B9"/>
          <cell r="C9" t="str">
            <v>### = Color Number</v>
          </cell>
          <cell r="D9"/>
          <cell r="E9"/>
        </row>
        <row r="10">
          <cell r="A10" t="str">
            <v>Series / Part #</v>
          </cell>
          <cell r="B10" t="str">
            <v>Product Name / Available Sizes</v>
          </cell>
          <cell r="C10" t="str">
            <v>Retail</v>
          </cell>
          <cell r="D10" t="str">
            <v>MAP</v>
          </cell>
          <cell r="E10" t="str">
            <v>Jobber</v>
          </cell>
        </row>
        <row r="11">
          <cell r="A11">
            <v>100</v>
          </cell>
          <cell r="B11" t="str">
            <v>Angelus Neatsfoot Oil Compound</v>
          </cell>
          <cell r="C11"/>
          <cell r="D11"/>
          <cell r="E11"/>
        </row>
        <row r="12">
          <cell r="A12" t="str">
            <v>100E08000</v>
          </cell>
          <cell r="B12" t="str">
            <v>8 oz. Each</v>
          </cell>
          <cell r="C12">
            <v>4.46</v>
          </cell>
          <cell r="D12">
            <v>3.79</v>
          </cell>
          <cell r="E12">
            <v>1.98</v>
          </cell>
        </row>
        <row r="13">
          <cell r="A13">
            <v>10008000</v>
          </cell>
          <cell r="B13" t="str">
            <v>8 oz. Dozen</v>
          </cell>
          <cell r="C13">
            <v>48.6</v>
          </cell>
          <cell r="D13">
            <v>41.31</v>
          </cell>
          <cell r="E13">
            <v>21.6</v>
          </cell>
        </row>
        <row r="14">
          <cell r="A14" t="str">
            <v>100PT000</v>
          </cell>
          <cell r="B14" t="str">
            <v>Pint</v>
          </cell>
          <cell r="C14">
            <v>6.98</v>
          </cell>
          <cell r="D14">
            <v>5.93</v>
          </cell>
          <cell r="E14">
            <v>3.1</v>
          </cell>
        </row>
        <row r="15">
          <cell r="A15" t="str">
            <v>100QT000</v>
          </cell>
          <cell r="B15" t="str">
            <v>Quart</v>
          </cell>
          <cell r="C15">
            <v>9.4499999999999993</v>
          </cell>
          <cell r="D15">
            <v>8.0299999999999994</v>
          </cell>
          <cell r="E15">
            <v>4.2</v>
          </cell>
        </row>
        <row r="16">
          <cell r="A16" t="str">
            <v>100GL000</v>
          </cell>
          <cell r="B16" t="str">
            <v>Gallon</v>
          </cell>
          <cell r="C16">
            <v>27</v>
          </cell>
          <cell r="D16">
            <v>22.95</v>
          </cell>
          <cell r="E16">
            <v>12</v>
          </cell>
        </row>
        <row r="17">
          <cell r="A17">
            <v>101</v>
          </cell>
          <cell r="B17" t="str">
            <v>Angelus Leather Oil</v>
          </cell>
          <cell r="C17"/>
          <cell r="D17"/>
          <cell r="E17"/>
        </row>
        <row r="18">
          <cell r="A18" t="str">
            <v>101PT000</v>
          </cell>
          <cell r="B18" t="str">
            <v>Pint</v>
          </cell>
          <cell r="C18">
            <v>6.75</v>
          </cell>
          <cell r="D18">
            <v>5.74</v>
          </cell>
          <cell r="E18">
            <v>3</v>
          </cell>
        </row>
        <row r="19">
          <cell r="A19" t="str">
            <v>101QT000</v>
          </cell>
          <cell r="B19" t="str">
            <v>Quart</v>
          </cell>
          <cell r="C19">
            <v>9</v>
          </cell>
          <cell r="D19">
            <v>7.65</v>
          </cell>
          <cell r="E19">
            <v>4</v>
          </cell>
        </row>
        <row r="20">
          <cell r="A20" t="str">
            <v>101GL000</v>
          </cell>
          <cell r="B20" t="str">
            <v>Gallon</v>
          </cell>
          <cell r="C20">
            <v>26.33</v>
          </cell>
          <cell r="D20">
            <v>22.38</v>
          </cell>
          <cell r="E20">
            <v>11.7</v>
          </cell>
        </row>
        <row r="21">
          <cell r="A21">
            <v>102</v>
          </cell>
          <cell r="B21" t="str">
            <v>Angelus Leather Oil</v>
          </cell>
          <cell r="C21"/>
          <cell r="D21"/>
          <cell r="E21"/>
        </row>
        <row r="22">
          <cell r="A22" t="str">
            <v>102PT000</v>
          </cell>
          <cell r="B22" t="str">
            <v>Pint</v>
          </cell>
          <cell r="C22">
            <v>6.75</v>
          </cell>
          <cell r="D22">
            <v>5.74</v>
          </cell>
          <cell r="E22">
            <v>3</v>
          </cell>
        </row>
        <row r="23">
          <cell r="A23" t="str">
            <v>102QT000</v>
          </cell>
          <cell r="B23" t="str">
            <v>Quart</v>
          </cell>
          <cell r="C23">
            <v>9</v>
          </cell>
          <cell r="D23">
            <v>7.65</v>
          </cell>
          <cell r="E23">
            <v>4</v>
          </cell>
        </row>
        <row r="24">
          <cell r="A24" t="str">
            <v>102GL000</v>
          </cell>
          <cell r="B24" t="str">
            <v>Gallon</v>
          </cell>
          <cell r="C24">
            <v>26.33</v>
          </cell>
          <cell r="D24">
            <v>22.38</v>
          </cell>
          <cell r="E24">
            <v>11.7</v>
          </cell>
        </row>
        <row r="25">
          <cell r="A25">
            <v>103</v>
          </cell>
          <cell r="B25" t="str">
            <v>Angelus Darkening Oil</v>
          </cell>
          <cell r="C25"/>
          <cell r="D25"/>
          <cell r="E25"/>
        </row>
        <row r="26">
          <cell r="A26" t="str">
            <v>103PT000</v>
          </cell>
          <cell r="B26" t="str">
            <v>Pint</v>
          </cell>
          <cell r="C26">
            <v>6.75</v>
          </cell>
          <cell r="D26">
            <v>5.74</v>
          </cell>
          <cell r="E26">
            <v>3</v>
          </cell>
        </row>
        <row r="27">
          <cell r="A27" t="str">
            <v>103QT000</v>
          </cell>
          <cell r="B27" t="str">
            <v>Quart</v>
          </cell>
          <cell r="C27">
            <v>9</v>
          </cell>
          <cell r="D27">
            <v>7.65</v>
          </cell>
          <cell r="E27">
            <v>4</v>
          </cell>
        </row>
        <row r="28">
          <cell r="A28" t="str">
            <v>103GL000</v>
          </cell>
          <cell r="B28" t="str">
            <v>Gallon</v>
          </cell>
          <cell r="C28">
            <v>26.33</v>
          </cell>
          <cell r="D28">
            <v>22.38</v>
          </cell>
          <cell r="E28">
            <v>11.7</v>
          </cell>
        </row>
        <row r="29">
          <cell r="A29">
            <v>105</v>
          </cell>
          <cell r="B29" t="str">
            <v>Angelus 100% Pure Neatsfoot Oil</v>
          </cell>
          <cell r="C29"/>
          <cell r="D29"/>
          <cell r="E29"/>
        </row>
        <row r="30">
          <cell r="A30" t="str">
            <v>105E08000</v>
          </cell>
          <cell r="B30" t="str">
            <v>8 oz. Each</v>
          </cell>
          <cell r="C30">
            <v>6.19</v>
          </cell>
          <cell r="D30">
            <v>5.26</v>
          </cell>
          <cell r="E30">
            <v>2.75</v>
          </cell>
        </row>
        <row r="31">
          <cell r="A31">
            <v>10508000</v>
          </cell>
          <cell r="B31" t="str">
            <v>8 oz. Dozen</v>
          </cell>
          <cell r="C31">
            <v>67.5</v>
          </cell>
          <cell r="D31">
            <v>57.38</v>
          </cell>
          <cell r="E31">
            <v>30</v>
          </cell>
        </row>
        <row r="32">
          <cell r="A32" t="str">
            <v>105PT000</v>
          </cell>
          <cell r="B32" t="str">
            <v>Pint</v>
          </cell>
          <cell r="C32">
            <v>9.4499999999999993</v>
          </cell>
          <cell r="D32">
            <v>8.0299999999999994</v>
          </cell>
          <cell r="E32">
            <v>4.2</v>
          </cell>
        </row>
        <row r="33">
          <cell r="A33" t="str">
            <v>105QT000</v>
          </cell>
          <cell r="B33" t="str">
            <v>Quart</v>
          </cell>
          <cell r="C33">
            <v>13.5</v>
          </cell>
          <cell r="D33">
            <v>11.48</v>
          </cell>
          <cell r="E33">
            <v>6</v>
          </cell>
        </row>
        <row r="34">
          <cell r="A34" t="str">
            <v>105GL000</v>
          </cell>
          <cell r="B34" t="str">
            <v>Gallon</v>
          </cell>
          <cell r="C34">
            <v>40.5</v>
          </cell>
          <cell r="D34">
            <v>34.43</v>
          </cell>
          <cell r="E34">
            <v>18</v>
          </cell>
        </row>
        <row r="35">
          <cell r="A35">
            <v>200</v>
          </cell>
          <cell r="B35" t="str">
            <v>Angelus Lustre Cream</v>
          </cell>
          <cell r="C35"/>
          <cell r="D35"/>
          <cell r="E35"/>
        </row>
        <row r="36">
          <cell r="A36" t="str">
            <v>200E03###</v>
          </cell>
          <cell r="B36" t="str">
            <v>3 oz. Each</v>
          </cell>
          <cell r="C36">
            <v>4.95</v>
          </cell>
          <cell r="D36">
            <v>4.21</v>
          </cell>
          <cell r="E36">
            <v>2.2000000000000002</v>
          </cell>
        </row>
        <row r="37">
          <cell r="A37" t="str">
            <v>20003###</v>
          </cell>
          <cell r="B37" t="str">
            <v>3 oz. Dozen</v>
          </cell>
          <cell r="C37">
            <v>54</v>
          </cell>
          <cell r="D37">
            <v>45.9</v>
          </cell>
          <cell r="E37">
            <v>24</v>
          </cell>
        </row>
        <row r="38">
          <cell r="A38" t="str">
            <v>200PT###</v>
          </cell>
          <cell r="B38" t="str">
            <v>Pint</v>
          </cell>
          <cell r="C38">
            <v>14.4</v>
          </cell>
          <cell r="D38">
            <v>12.24</v>
          </cell>
          <cell r="E38">
            <v>6.4</v>
          </cell>
        </row>
        <row r="39">
          <cell r="A39" t="str">
            <v>200QT###</v>
          </cell>
          <cell r="B39" t="str">
            <v>Quart</v>
          </cell>
          <cell r="C39">
            <v>20.25</v>
          </cell>
          <cell r="D39">
            <v>17.21</v>
          </cell>
          <cell r="E39">
            <v>9</v>
          </cell>
        </row>
        <row r="40">
          <cell r="A40" t="str">
            <v>200GL###</v>
          </cell>
          <cell r="B40" t="str">
            <v>Gallon</v>
          </cell>
          <cell r="C40">
            <v>60.75</v>
          </cell>
          <cell r="D40">
            <v>51.64</v>
          </cell>
          <cell r="E40">
            <v>27</v>
          </cell>
        </row>
        <row r="41">
          <cell r="A41">
            <v>201</v>
          </cell>
          <cell r="B41" t="str">
            <v>Angelus Leather Cream Cleaner Neutral</v>
          </cell>
          <cell r="C41"/>
          <cell r="D41"/>
          <cell r="E41"/>
        </row>
        <row r="42">
          <cell r="A42" t="str">
            <v>201QT000</v>
          </cell>
          <cell r="B42" t="str">
            <v>Quart</v>
          </cell>
          <cell r="C42">
            <v>20.25</v>
          </cell>
          <cell r="D42">
            <v>17.21</v>
          </cell>
          <cell r="E42">
            <v>9</v>
          </cell>
        </row>
        <row r="43">
          <cell r="A43" t="str">
            <v>201GL000</v>
          </cell>
          <cell r="B43" t="str">
            <v>Gallon</v>
          </cell>
          <cell r="C43">
            <v>60.75</v>
          </cell>
          <cell r="D43">
            <v>51.64</v>
          </cell>
          <cell r="E43">
            <v>27</v>
          </cell>
        </row>
        <row r="44">
          <cell r="A44">
            <v>210</v>
          </cell>
          <cell r="B44" t="str">
            <v>Angelus Leather Balm</v>
          </cell>
          <cell r="C44"/>
          <cell r="D44"/>
          <cell r="E44"/>
        </row>
        <row r="45">
          <cell r="A45" t="str">
            <v>210E04000</v>
          </cell>
          <cell r="B45" t="str">
            <v>4 oz. Each</v>
          </cell>
          <cell r="C45">
            <v>4.95</v>
          </cell>
          <cell r="D45">
            <v>4.21</v>
          </cell>
          <cell r="E45">
            <v>2.2000000000000002</v>
          </cell>
        </row>
        <row r="46">
          <cell r="A46">
            <v>21004000</v>
          </cell>
          <cell r="B46" t="str">
            <v>4 oz. Dozen</v>
          </cell>
          <cell r="C46">
            <v>54</v>
          </cell>
          <cell r="D46">
            <v>45.9</v>
          </cell>
          <cell r="E46">
            <v>24</v>
          </cell>
        </row>
        <row r="47">
          <cell r="A47" t="str">
            <v>210PT000</v>
          </cell>
          <cell r="B47" t="str">
            <v>Pint</v>
          </cell>
          <cell r="C47">
            <v>14.4</v>
          </cell>
          <cell r="D47">
            <v>12.24</v>
          </cell>
          <cell r="E47">
            <v>6.4</v>
          </cell>
        </row>
        <row r="48">
          <cell r="A48" t="str">
            <v>210QT000</v>
          </cell>
          <cell r="B48" t="str">
            <v>Quart</v>
          </cell>
          <cell r="C48">
            <v>20.25</v>
          </cell>
          <cell r="D48">
            <v>17.21</v>
          </cell>
          <cell r="E48">
            <v>9</v>
          </cell>
        </row>
        <row r="49">
          <cell r="A49" t="str">
            <v>210GL000</v>
          </cell>
          <cell r="B49" t="str">
            <v>Gallon</v>
          </cell>
          <cell r="C49">
            <v>60.75</v>
          </cell>
          <cell r="D49">
            <v>51.64</v>
          </cell>
          <cell r="E49">
            <v>27</v>
          </cell>
        </row>
        <row r="50">
          <cell r="A50">
            <v>212</v>
          </cell>
          <cell r="B50" t="str">
            <v>Angelus Leather Conditioning Exotic Skin Cream</v>
          </cell>
          <cell r="C50"/>
          <cell r="D50"/>
          <cell r="E50"/>
        </row>
        <row r="51">
          <cell r="A51" t="str">
            <v>212E04000</v>
          </cell>
          <cell r="B51" t="str">
            <v>4 oz. Each</v>
          </cell>
          <cell r="C51">
            <v>3.96</v>
          </cell>
          <cell r="D51">
            <v>3.37</v>
          </cell>
          <cell r="E51">
            <v>1.76</v>
          </cell>
        </row>
        <row r="52">
          <cell r="A52">
            <v>21204000</v>
          </cell>
          <cell r="B52" t="str">
            <v>4 oz. Dozen</v>
          </cell>
          <cell r="C52">
            <v>43.2</v>
          </cell>
          <cell r="D52">
            <v>36.72</v>
          </cell>
          <cell r="E52">
            <v>19.2</v>
          </cell>
        </row>
        <row r="53">
          <cell r="A53" t="str">
            <v>212E08000</v>
          </cell>
          <cell r="B53" t="str">
            <v>8 oz. Each</v>
          </cell>
          <cell r="C53">
            <v>4.95</v>
          </cell>
          <cell r="D53">
            <v>4.21</v>
          </cell>
          <cell r="E53">
            <v>2.2000000000000002</v>
          </cell>
        </row>
        <row r="54">
          <cell r="A54">
            <v>21208000</v>
          </cell>
          <cell r="B54" t="str">
            <v>8 oz. Dozen</v>
          </cell>
          <cell r="C54">
            <v>54</v>
          </cell>
          <cell r="D54">
            <v>45.9</v>
          </cell>
          <cell r="E54">
            <v>24</v>
          </cell>
        </row>
        <row r="55">
          <cell r="A55" t="str">
            <v>212PT000</v>
          </cell>
          <cell r="B55" t="str">
            <v>Pint</v>
          </cell>
          <cell r="C55">
            <v>14.4</v>
          </cell>
          <cell r="D55">
            <v>12.24</v>
          </cell>
          <cell r="E55">
            <v>6.4</v>
          </cell>
        </row>
        <row r="56">
          <cell r="A56" t="str">
            <v>212QT000</v>
          </cell>
          <cell r="B56" t="str">
            <v>Quart</v>
          </cell>
          <cell r="C56">
            <v>20.25</v>
          </cell>
          <cell r="D56">
            <v>17.21</v>
          </cell>
          <cell r="E56">
            <v>9</v>
          </cell>
        </row>
        <row r="57">
          <cell r="A57" t="str">
            <v>212GL000</v>
          </cell>
          <cell r="B57" t="str">
            <v>Gallon</v>
          </cell>
          <cell r="C57">
            <v>60.75</v>
          </cell>
          <cell r="D57">
            <v>51.64</v>
          </cell>
          <cell r="E57">
            <v>27</v>
          </cell>
        </row>
        <row r="58">
          <cell r="A58">
            <v>215</v>
          </cell>
          <cell r="B58" t="str">
            <v>Angelus Leather Conditioner &amp; Lotion</v>
          </cell>
          <cell r="C58"/>
          <cell r="D58"/>
          <cell r="E58"/>
        </row>
        <row r="59">
          <cell r="A59" t="str">
            <v>215E08000</v>
          </cell>
          <cell r="B59" t="str">
            <v>8 oz. Each</v>
          </cell>
          <cell r="C59">
            <v>4.95</v>
          </cell>
          <cell r="D59">
            <v>4.21</v>
          </cell>
          <cell r="E59">
            <v>2.2000000000000002</v>
          </cell>
        </row>
        <row r="60">
          <cell r="A60">
            <v>21508000</v>
          </cell>
          <cell r="B60" t="str">
            <v>8 oz. Dozen</v>
          </cell>
          <cell r="C60">
            <v>54</v>
          </cell>
          <cell r="D60">
            <v>45.9</v>
          </cell>
          <cell r="E60">
            <v>24</v>
          </cell>
        </row>
        <row r="61">
          <cell r="A61" t="str">
            <v>215PT000</v>
          </cell>
          <cell r="B61" t="str">
            <v>Pint</v>
          </cell>
          <cell r="C61">
            <v>14.4</v>
          </cell>
          <cell r="D61">
            <v>12.24</v>
          </cell>
          <cell r="E61">
            <v>6.4</v>
          </cell>
        </row>
        <row r="62">
          <cell r="A62" t="str">
            <v>215QT000</v>
          </cell>
          <cell r="B62" t="str">
            <v>Quart</v>
          </cell>
          <cell r="C62">
            <v>20.25</v>
          </cell>
          <cell r="D62">
            <v>17.21</v>
          </cell>
          <cell r="E62">
            <v>9</v>
          </cell>
        </row>
        <row r="63">
          <cell r="A63" t="str">
            <v>215GL000</v>
          </cell>
          <cell r="B63" t="str">
            <v>Gallon</v>
          </cell>
          <cell r="C63">
            <v>60.75</v>
          </cell>
          <cell r="D63">
            <v>51.64</v>
          </cell>
          <cell r="E63">
            <v>27</v>
          </cell>
        </row>
        <row r="64">
          <cell r="A64">
            <v>216</v>
          </cell>
          <cell r="B64" t="str">
            <v>Angelus Reptile &amp; Exotic Skin Cleaner &amp; Conditioner</v>
          </cell>
          <cell r="C64"/>
          <cell r="D64"/>
          <cell r="E64"/>
        </row>
        <row r="65">
          <cell r="A65" t="str">
            <v>216E08000</v>
          </cell>
          <cell r="B65" t="str">
            <v>8 oz. Each - Pump Spray</v>
          </cell>
          <cell r="C65">
            <v>4.95</v>
          </cell>
          <cell r="D65">
            <v>4.21</v>
          </cell>
          <cell r="E65">
            <v>2.2000000000000002</v>
          </cell>
        </row>
        <row r="66">
          <cell r="A66">
            <v>21608000</v>
          </cell>
          <cell r="B66" t="str">
            <v>8 oz. Dozen - Pump Spray</v>
          </cell>
          <cell r="C66">
            <v>54</v>
          </cell>
          <cell r="D66">
            <v>45.9</v>
          </cell>
          <cell r="E66">
            <v>24</v>
          </cell>
        </row>
        <row r="67">
          <cell r="A67" t="str">
            <v>216QT000</v>
          </cell>
          <cell r="B67" t="str">
            <v>Quart</v>
          </cell>
          <cell r="C67">
            <v>20.25</v>
          </cell>
          <cell r="D67">
            <v>17.21</v>
          </cell>
          <cell r="E67">
            <v>9</v>
          </cell>
        </row>
        <row r="68">
          <cell r="A68" t="str">
            <v>216GL000</v>
          </cell>
          <cell r="B68" t="str">
            <v>Gallon</v>
          </cell>
          <cell r="C68">
            <v>56.25</v>
          </cell>
          <cell r="D68">
            <v>47.81</v>
          </cell>
          <cell r="E68">
            <v>27</v>
          </cell>
        </row>
        <row r="69">
          <cell r="A69">
            <v>220</v>
          </cell>
          <cell r="B69" t="str">
            <v>Angelus Professional Saddle Soap Paste</v>
          </cell>
          <cell r="C69"/>
          <cell r="D69"/>
          <cell r="E69"/>
        </row>
        <row r="70">
          <cell r="A70" t="str">
            <v>220E03029</v>
          </cell>
          <cell r="B70" t="str">
            <v>3 oz. Each - Tub</v>
          </cell>
          <cell r="C70">
            <v>3.31</v>
          </cell>
          <cell r="D70">
            <v>2.81</v>
          </cell>
          <cell r="E70">
            <v>1.47</v>
          </cell>
        </row>
        <row r="71">
          <cell r="A71">
            <v>22003029</v>
          </cell>
          <cell r="B71" t="str">
            <v>3 oz. Dozen - Tub</v>
          </cell>
          <cell r="C71">
            <v>36</v>
          </cell>
          <cell r="D71">
            <v>30.6</v>
          </cell>
          <cell r="E71">
            <v>16</v>
          </cell>
        </row>
        <row r="72">
          <cell r="A72" t="str">
            <v>220E08029</v>
          </cell>
          <cell r="B72" t="str">
            <v>8 oz. Each - Tub</v>
          </cell>
          <cell r="C72">
            <v>5.36</v>
          </cell>
          <cell r="D72">
            <v>4.55</v>
          </cell>
          <cell r="E72">
            <v>2.39</v>
          </cell>
        </row>
        <row r="73">
          <cell r="A73">
            <v>22008029</v>
          </cell>
          <cell r="B73" t="str">
            <v>8 oz. Dozen - Tub</v>
          </cell>
          <cell r="C73">
            <v>58.5</v>
          </cell>
          <cell r="D73">
            <v>49.73</v>
          </cell>
          <cell r="E73">
            <v>26</v>
          </cell>
        </row>
        <row r="74">
          <cell r="A74" t="str">
            <v>220E16029</v>
          </cell>
          <cell r="B74" t="str">
            <v>16 oz. Each - Tub</v>
          </cell>
          <cell r="C74">
            <v>6.82</v>
          </cell>
          <cell r="D74">
            <v>5.79</v>
          </cell>
          <cell r="E74">
            <v>3.03</v>
          </cell>
        </row>
        <row r="75">
          <cell r="A75">
            <v>22016029</v>
          </cell>
          <cell r="B75" t="str">
            <v>16 oz. Dozen - Tub</v>
          </cell>
          <cell r="C75">
            <v>74.25</v>
          </cell>
          <cell r="D75">
            <v>63.11</v>
          </cell>
          <cell r="E75">
            <v>33</v>
          </cell>
        </row>
        <row r="76">
          <cell r="A76">
            <v>221</v>
          </cell>
          <cell r="B76" t="str">
            <v>Angelus Liquid Saddle Soap Spray</v>
          </cell>
          <cell r="C76"/>
          <cell r="D76"/>
          <cell r="E76"/>
        </row>
        <row r="77">
          <cell r="A77" t="str">
            <v>221E08000</v>
          </cell>
          <cell r="B77" t="str">
            <v>8 oz. Each - Pump</v>
          </cell>
          <cell r="C77">
            <v>4.95</v>
          </cell>
          <cell r="D77">
            <v>4.21</v>
          </cell>
          <cell r="E77">
            <v>2.2000000000000002</v>
          </cell>
        </row>
        <row r="78">
          <cell r="A78">
            <v>22108000</v>
          </cell>
          <cell r="B78" t="str">
            <v>8 oz. Dozen - Pump</v>
          </cell>
          <cell r="C78">
            <v>54</v>
          </cell>
          <cell r="D78">
            <v>45.9</v>
          </cell>
          <cell r="E78">
            <v>24</v>
          </cell>
        </row>
        <row r="79">
          <cell r="A79" t="str">
            <v>221QT000</v>
          </cell>
          <cell r="B79" t="str">
            <v>Quart</v>
          </cell>
          <cell r="C79">
            <v>20.25</v>
          </cell>
          <cell r="D79">
            <v>17.21</v>
          </cell>
          <cell r="E79">
            <v>9</v>
          </cell>
        </row>
        <row r="80">
          <cell r="A80" t="str">
            <v>221GL000</v>
          </cell>
          <cell r="B80" t="str">
            <v>Gallon</v>
          </cell>
          <cell r="C80">
            <v>56.25</v>
          </cell>
          <cell r="D80">
            <v>47.81</v>
          </cell>
          <cell r="E80">
            <v>27</v>
          </cell>
        </row>
        <row r="81">
          <cell r="A81">
            <v>302</v>
          </cell>
          <cell r="B81" t="str">
            <v>Angelus White Ace Supreme Applicator Top</v>
          </cell>
          <cell r="C81"/>
          <cell r="D81"/>
          <cell r="E81"/>
        </row>
        <row r="82">
          <cell r="A82" t="str">
            <v>302E03005</v>
          </cell>
          <cell r="B82" t="str">
            <v>3 oz. Each</v>
          </cell>
          <cell r="C82">
            <v>3.71</v>
          </cell>
          <cell r="D82">
            <v>3.16</v>
          </cell>
          <cell r="E82">
            <v>1.65</v>
          </cell>
        </row>
        <row r="83">
          <cell r="A83">
            <v>30203005</v>
          </cell>
          <cell r="B83" t="str">
            <v>3 oz. Dozen</v>
          </cell>
          <cell r="C83">
            <v>40.5</v>
          </cell>
          <cell r="D83">
            <v>34.43</v>
          </cell>
          <cell r="E83">
            <v>18</v>
          </cell>
        </row>
        <row r="84">
          <cell r="A84" t="str">
            <v>302PT005</v>
          </cell>
          <cell r="B84" t="str">
            <v>Pint</v>
          </cell>
          <cell r="C84">
            <v>16.2</v>
          </cell>
          <cell r="D84">
            <v>13.77</v>
          </cell>
          <cell r="E84">
            <v>7.2</v>
          </cell>
        </row>
        <row r="85">
          <cell r="A85" t="str">
            <v>302QT005</v>
          </cell>
          <cell r="B85" t="str">
            <v>Quart</v>
          </cell>
          <cell r="C85">
            <v>21.6</v>
          </cell>
          <cell r="D85">
            <v>18.36</v>
          </cell>
          <cell r="E85">
            <v>9.6</v>
          </cell>
        </row>
        <row r="86">
          <cell r="A86" t="str">
            <v>302GL005</v>
          </cell>
          <cell r="B86" t="str">
            <v>Gallon</v>
          </cell>
          <cell r="C86">
            <v>65.25</v>
          </cell>
          <cell r="D86">
            <v>55.46</v>
          </cell>
          <cell r="E86">
            <v>29</v>
          </cell>
        </row>
        <row r="87">
          <cell r="A87">
            <v>310</v>
          </cell>
          <cell r="B87" t="str">
            <v>Angelus Instant Shine with Applicator Top</v>
          </cell>
          <cell r="C87"/>
          <cell r="D87"/>
          <cell r="E87"/>
        </row>
        <row r="88">
          <cell r="A88" t="str">
            <v>310E03###</v>
          </cell>
          <cell r="B88" t="str">
            <v>3 oz. Each</v>
          </cell>
          <cell r="C88">
            <v>3.71</v>
          </cell>
          <cell r="D88">
            <v>3.16</v>
          </cell>
          <cell r="E88">
            <v>1.65</v>
          </cell>
        </row>
        <row r="89">
          <cell r="A89" t="str">
            <v>31003###</v>
          </cell>
          <cell r="B89" t="str">
            <v>3 oz. Dozen</v>
          </cell>
          <cell r="C89">
            <v>40.5</v>
          </cell>
          <cell r="D89">
            <v>34.43</v>
          </cell>
          <cell r="E89">
            <v>18</v>
          </cell>
        </row>
        <row r="90">
          <cell r="A90" t="str">
            <v>310PT###</v>
          </cell>
          <cell r="B90" t="str">
            <v>Pint</v>
          </cell>
          <cell r="C90">
            <v>16.2</v>
          </cell>
          <cell r="D90">
            <v>13.77</v>
          </cell>
          <cell r="E90">
            <v>7.2</v>
          </cell>
        </row>
        <row r="91">
          <cell r="A91" t="str">
            <v>310QT###</v>
          </cell>
          <cell r="B91" t="str">
            <v>Quart</v>
          </cell>
          <cell r="C91">
            <v>21.6</v>
          </cell>
          <cell r="D91">
            <v>18.36</v>
          </cell>
          <cell r="E91">
            <v>9.6</v>
          </cell>
        </row>
        <row r="92">
          <cell r="A92" t="str">
            <v>310GL###</v>
          </cell>
          <cell r="B92" t="str">
            <v>Gallon</v>
          </cell>
          <cell r="C92">
            <v>65.25</v>
          </cell>
          <cell r="D92">
            <v>55.46</v>
          </cell>
          <cell r="E92">
            <v>29</v>
          </cell>
        </row>
        <row r="93">
          <cell r="A93">
            <v>400</v>
          </cell>
          <cell r="B93" t="str">
            <v>Angelus Perfect Stain Shoe Wax</v>
          </cell>
          <cell r="C93"/>
          <cell r="D93"/>
          <cell r="E93"/>
        </row>
        <row r="94">
          <cell r="A94" t="str">
            <v>400E03###</v>
          </cell>
          <cell r="B94" t="str">
            <v>3 oz. Each</v>
          </cell>
          <cell r="C94">
            <v>5.85</v>
          </cell>
          <cell r="D94">
            <v>4.95</v>
          </cell>
          <cell r="E94">
            <v>1.98</v>
          </cell>
        </row>
        <row r="95">
          <cell r="A95" t="str">
            <v>40003###</v>
          </cell>
          <cell r="B95" t="str">
            <v>3 oz. Dozen</v>
          </cell>
          <cell r="C95">
            <v>48.6</v>
          </cell>
          <cell r="D95">
            <v>41.31</v>
          </cell>
          <cell r="E95">
            <v>21.6</v>
          </cell>
        </row>
        <row r="96">
          <cell r="A96" t="str">
            <v>4001K###</v>
          </cell>
          <cell r="B96" t="str">
            <v>1 Kilogram</v>
          </cell>
          <cell r="C96">
            <v>31.05</v>
          </cell>
          <cell r="D96">
            <v>26.39</v>
          </cell>
          <cell r="E96">
            <v>13.8</v>
          </cell>
        </row>
        <row r="97">
          <cell r="A97">
            <v>410</v>
          </cell>
          <cell r="B97" t="str">
            <v>Angelus Perfect Stain Shoe Wax - Screw On Lid</v>
          </cell>
          <cell r="C97"/>
          <cell r="D97"/>
          <cell r="E97"/>
        </row>
        <row r="98">
          <cell r="A98" t="str">
            <v>410E02###</v>
          </cell>
          <cell r="B98" t="str">
            <v>50 Gram/60 ml</v>
          </cell>
          <cell r="C98">
            <v>3.71</v>
          </cell>
          <cell r="D98">
            <v>3.16</v>
          </cell>
          <cell r="E98">
            <v>1.65</v>
          </cell>
        </row>
        <row r="99">
          <cell r="A99" t="str">
            <v>41002###</v>
          </cell>
          <cell r="B99" t="str">
            <v>50 Gram/60 ml Dozen</v>
          </cell>
          <cell r="C99">
            <v>40.5</v>
          </cell>
          <cell r="D99">
            <v>34.43</v>
          </cell>
          <cell r="E99">
            <v>18</v>
          </cell>
        </row>
        <row r="100">
          <cell r="A100">
            <v>411</v>
          </cell>
          <cell r="B100" t="str">
            <v>Angelus Shoe Shine Travel Kit</v>
          </cell>
          <cell r="C100"/>
          <cell r="D100"/>
          <cell r="E100"/>
        </row>
        <row r="101">
          <cell r="A101" t="str">
            <v>41102###</v>
          </cell>
          <cell r="B101" t="str">
            <v>Shoe Shine Travel Kit</v>
          </cell>
          <cell r="C101">
            <v>22.5</v>
          </cell>
          <cell r="D101">
            <v>19.13</v>
          </cell>
          <cell r="E101">
            <v>10</v>
          </cell>
        </row>
        <row r="102">
          <cell r="A102">
            <v>455</v>
          </cell>
          <cell r="B102" t="str">
            <v>Angelus Perfect Stain Shoe Wax - Plastic Jar</v>
          </cell>
          <cell r="C102"/>
          <cell r="D102"/>
          <cell r="E102"/>
        </row>
        <row r="103">
          <cell r="A103" t="str">
            <v>455E50###</v>
          </cell>
          <cell r="B103" t="str">
            <v>50 Gram Each - Plastic Jar</v>
          </cell>
          <cell r="C103">
            <v>3.42</v>
          </cell>
          <cell r="D103">
            <v>2.91</v>
          </cell>
          <cell r="E103">
            <v>1.52</v>
          </cell>
        </row>
        <row r="104">
          <cell r="A104" t="str">
            <v>45550###</v>
          </cell>
          <cell r="B104" t="str">
            <v>50 Gram Dozen - Plastic Jar</v>
          </cell>
          <cell r="C104">
            <v>37.26</v>
          </cell>
          <cell r="D104">
            <v>31.67</v>
          </cell>
          <cell r="E104">
            <v>16.559999999999999</v>
          </cell>
        </row>
        <row r="105">
          <cell r="A105" t="str">
            <v>455E75###</v>
          </cell>
          <cell r="B105" t="str">
            <v>75 Gram Each - Plastic Jar</v>
          </cell>
          <cell r="C105">
            <v>3.96</v>
          </cell>
          <cell r="D105">
            <v>3.37</v>
          </cell>
          <cell r="E105">
            <v>1.76</v>
          </cell>
        </row>
        <row r="106">
          <cell r="A106" t="str">
            <v>45575###</v>
          </cell>
          <cell r="B106" t="str">
            <v>75 Gram Dozen - Plastic Jar</v>
          </cell>
          <cell r="C106">
            <v>43.2</v>
          </cell>
          <cell r="D106">
            <v>36.72</v>
          </cell>
          <cell r="E106">
            <v>19.2</v>
          </cell>
        </row>
        <row r="107">
          <cell r="A107">
            <v>455</v>
          </cell>
          <cell r="B107" t="str">
            <v>Angelus Roll Call Wax</v>
          </cell>
          <cell r="C107"/>
          <cell r="D107"/>
          <cell r="E107"/>
        </row>
        <row r="108">
          <cell r="A108" t="str">
            <v>455RCE02001</v>
          </cell>
          <cell r="B108" t="str">
            <v>50 Gram Each - Plastic Jar</v>
          </cell>
          <cell r="C108">
            <v>3.42</v>
          </cell>
          <cell r="D108">
            <v>2.91</v>
          </cell>
          <cell r="E108">
            <v>1.52</v>
          </cell>
        </row>
        <row r="109">
          <cell r="A109" t="str">
            <v>455RC02001</v>
          </cell>
          <cell r="B109" t="str">
            <v>50 Gram Dozen - Plastic Jar</v>
          </cell>
          <cell r="C109">
            <v>37.26</v>
          </cell>
          <cell r="D109">
            <v>31.67</v>
          </cell>
          <cell r="E109">
            <v>16.559999999999999</v>
          </cell>
        </row>
        <row r="110">
          <cell r="A110">
            <v>490</v>
          </cell>
          <cell r="B110" t="str">
            <v>Angelus Wax Emulsion Liquid Wax</v>
          </cell>
          <cell r="C110"/>
          <cell r="D110"/>
          <cell r="E110"/>
        </row>
        <row r="111">
          <cell r="A111" t="str">
            <v>490E08000</v>
          </cell>
          <cell r="B111" t="str">
            <v>8 oz. Each</v>
          </cell>
          <cell r="C111">
            <v>4.34</v>
          </cell>
          <cell r="D111">
            <v>3.69</v>
          </cell>
          <cell r="E111">
            <v>1.93</v>
          </cell>
        </row>
        <row r="112">
          <cell r="A112">
            <v>49008000</v>
          </cell>
          <cell r="B112" t="str">
            <v>8 oz. Dozen</v>
          </cell>
          <cell r="C112">
            <v>47.25</v>
          </cell>
          <cell r="D112">
            <v>40.159999999999997</v>
          </cell>
          <cell r="E112">
            <v>21.33</v>
          </cell>
        </row>
        <row r="113">
          <cell r="A113" t="str">
            <v>490PT000</v>
          </cell>
          <cell r="B113" t="str">
            <v>Pint</v>
          </cell>
          <cell r="C113">
            <v>15.75</v>
          </cell>
          <cell r="D113">
            <v>13.39</v>
          </cell>
          <cell r="E113">
            <v>7</v>
          </cell>
        </row>
        <row r="114">
          <cell r="A114" t="str">
            <v>490QT000</v>
          </cell>
          <cell r="B114" t="str">
            <v>Quart</v>
          </cell>
          <cell r="C114">
            <v>22.5</v>
          </cell>
          <cell r="D114">
            <v>17.21</v>
          </cell>
          <cell r="E114">
            <v>10</v>
          </cell>
        </row>
        <row r="115">
          <cell r="A115" t="str">
            <v>490GL000</v>
          </cell>
          <cell r="B115" t="str">
            <v>Gallon</v>
          </cell>
          <cell r="C115">
            <v>60.75</v>
          </cell>
          <cell r="D115">
            <v>51.64</v>
          </cell>
          <cell r="E115">
            <v>27</v>
          </cell>
        </row>
        <row r="116">
          <cell r="A116">
            <v>500</v>
          </cell>
          <cell r="B116" t="str">
            <v>Angelus Leather Dye</v>
          </cell>
          <cell r="C116"/>
          <cell r="D116"/>
          <cell r="E116"/>
        </row>
        <row r="117">
          <cell r="A117" t="str">
            <v>500E03###</v>
          </cell>
          <cell r="B117" t="str">
            <v>3 oz. Each</v>
          </cell>
          <cell r="C117">
            <v>4.95</v>
          </cell>
          <cell r="D117">
            <v>4.21</v>
          </cell>
          <cell r="E117">
            <v>2.2000000000000002</v>
          </cell>
        </row>
        <row r="118">
          <cell r="A118" t="str">
            <v>50003###</v>
          </cell>
          <cell r="B118" t="str">
            <v>3 oz. Dozen</v>
          </cell>
          <cell r="C118">
            <v>54</v>
          </cell>
          <cell r="D118">
            <v>45.9</v>
          </cell>
          <cell r="E118">
            <v>24</v>
          </cell>
        </row>
        <row r="119">
          <cell r="A119" t="str">
            <v>500PT###</v>
          </cell>
          <cell r="B119" t="str">
            <v>Pint</v>
          </cell>
          <cell r="C119">
            <v>14.4</v>
          </cell>
          <cell r="D119">
            <v>12.24</v>
          </cell>
          <cell r="E119">
            <v>6.4</v>
          </cell>
        </row>
        <row r="120">
          <cell r="A120" t="str">
            <v>500QT###</v>
          </cell>
          <cell r="B120" t="str">
            <v>Quart</v>
          </cell>
          <cell r="C120">
            <v>20.25</v>
          </cell>
          <cell r="D120">
            <v>17.21</v>
          </cell>
          <cell r="E120">
            <v>9</v>
          </cell>
        </row>
        <row r="121">
          <cell r="A121" t="str">
            <v>500GL###</v>
          </cell>
          <cell r="B121" t="str">
            <v>Gallon</v>
          </cell>
          <cell r="C121">
            <v>60.75</v>
          </cell>
          <cell r="D121">
            <v>51.64</v>
          </cell>
          <cell r="E121">
            <v>27</v>
          </cell>
        </row>
        <row r="122">
          <cell r="A122">
            <v>505</v>
          </cell>
          <cell r="B122" t="str">
            <v>Angelus Pro Series Leather Dye</v>
          </cell>
          <cell r="C122"/>
          <cell r="D122"/>
          <cell r="E122"/>
        </row>
        <row r="123">
          <cell r="A123" t="str">
            <v>505E03###</v>
          </cell>
          <cell r="B123" t="str">
            <v>3 oz. Each</v>
          </cell>
          <cell r="C123">
            <v>4.95</v>
          </cell>
          <cell r="D123">
            <v>4.21</v>
          </cell>
          <cell r="E123">
            <v>2.2000000000000002</v>
          </cell>
        </row>
        <row r="124">
          <cell r="A124" t="str">
            <v>50503###</v>
          </cell>
          <cell r="B124" t="str">
            <v>3 oz. Dozen</v>
          </cell>
          <cell r="C124">
            <v>54</v>
          </cell>
          <cell r="D124">
            <v>45.9</v>
          </cell>
          <cell r="E124">
            <v>24</v>
          </cell>
        </row>
        <row r="125">
          <cell r="A125" t="str">
            <v>505PT###</v>
          </cell>
          <cell r="B125" t="str">
            <v>Pint</v>
          </cell>
          <cell r="C125">
            <v>14.4</v>
          </cell>
          <cell r="D125">
            <v>12.24</v>
          </cell>
          <cell r="E125">
            <v>6.4</v>
          </cell>
        </row>
        <row r="126">
          <cell r="A126" t="str">
            <v>505QT###</v>
          </cell>
          <cell r="B126" t="str">
            <v>Quart</v>
          </cell>
          <cell r="C126">
            <v>20.25</v>
          </cell>
          <cell r="D126">
            <v>17.21</v>
          </cell>
          <cell r="E126">
            <v>9</v>
          </cell>
        </row>
        <row r="127">
          <cell r="A127" t="str">
            <v>505GL###</v>
          </cell>
          <cell r="B127" t="str">
            <v>Gallon</v>
          </cell>
          <cell r="C127">
            <v>60.75</v>
          </cell>
          <cell r="D127">
            <v>51.64</v>
          </cell>
          <cell r="E127">
            <v>27</v>
          </cell>
        </row>
        <row r="128">
          <cell r="A128">
            <v>507</v>
          </cell>
          <cell r="B128" t="str">
            <v>Angelus Leather Dye Special Black</v>
          </cell>
          <cell r="C128"/>
          <cell r="D128"/>
          <cell r="E128"/>
        </row>
        <row r="129">
          <cell r="A129" t="str">
            <v>507E03###</v>
          </cell>
          <cell r="B129" t="str">
            <v>3 oz. Each</v>
          </cell>
          <cell r="C129">
            <v>4.95</v>
          </cell>
          <cell r="D129">
            <v>4.21</v>
          </cell>
          <cell r="E129">
            <v>2.2000000000000002</v>
          </cell>
        </row>
        <row r="130">
          <cell r="A130" t="str">
            <v>50703###</v>
          </cell>
          <cell r="B130" t="str">
            <v>3 oz. Dozen</v>
          </cell>
          <cell r="C130">
            <v>54</v>
          </cell>
          <cell r="D130">
            <v>45.9</v>
          </cell>
          <cell r="E130">
            <v>24</v>
          </cell>
        </row>
        <row r="131">
          <cell r="A131" t="str">
            <v>507PT###</v>
          </cell>
          <cell r="B131" t="str">
            <v>Pint</v>
          </cell>
          <cell r="C131">
            <v>14.4</v>
          </cell>
          <cell r="D131">
            <v>12.24</v>
          </cell>
          <cell r="E131">
            <v>6.4</v>
          </cell>
        </row>
        <row r="132">
          <cell r="A132" t="str">
            <v>507QT###</v>
          </cell>
          <cell r="B132" t="str">
            <v>Quart</v>
          </cell>
          <cell r="C132">
            <v>20.25</v>
          </cell>
          <cell r="D132">
            <v>17.21</v>
          </cell>
          <cell r="E132">
            <v>9</v>
          </cell>
        </row>
        <row r="133">
          <cell r="A133" t="str">
            <v>507GL###</v>
          </cell>
          <cell r="B133" t="str">
            <v>Gallon</v>
          </cell>
          <cell r="C133">
            <v>60.75</v>
          </cell>
          <cell r="D133">
            <v>51.64</v>
          </cell>
          <cell r="E133">
            <v>27</v>
          </cell>
        </row>
        <row r="134">
          <cell r="A134">
            <v>520</v>
          </cell>
          <cell r="B134" t="str">
            <v>Angelus Suede Dye</v>
          </cell>
          <cell r="C134"/>
          <cell r="D134"/>
          <cell r="E134"/>
        </row>
        <row r="135">
          <cell r="A135" t="str">
            <v>520E03###</v>
          </cell>
          <cell r="B135" t="str">
            <v>3 oz. Each</v>
          </cell>
          <cell r="C135">
            <v>4.95</v>
          </cell>
          <cell r="D135">
            <v>4.21</v>
          </cell>
          <cell r="E135">
            <v>2.2000000000000002</v>
          </cell>
        </row>
        <row r="136">
          <cell r="A136" t="str">
            <v>52003###</v>
          </cell>
          <cell r="B136" t="str">
            <v>3 oz. Dozen</v>
          </cell>
          <cell r="C136">
            <v>54</v>
          </cell>
          <cell r="D136">
            <v>45.9</v>
          </cell>
          <cell r="E136">
            <v>24</v>
          </cell>
        </row>
        <row r="137">
          <cell r="A137" t="str">
            <v>520PT###</v>
          </cell>
          <cell r="B137" t="str">
            <v>Pint</v>
          </cell>
          <cell r="C137">
            <v>14.4</v>
          </cell>
          <cell r="D137">
            <v>12.24</v>
          </cell>
          <cell r="E137">
            <v>6.4</v>
          </cell>
        </row>
        <row r="138">
          <cell r="A138" t="str">
            <v>520QT###</v>
          </cell>
          <cell r="B138" t="str">
            <v>Quart</v>
          </cell>
          <cell r="C138">
            <v>20.25</v>
          </cell>
          <cell r="D138">
            <v>17.21</v>
          </cell>
          <cell r="E138">
            <v>9</v>
          </cell>
        </row>
        <row r="139">
          <cell r="A139" t="str">
            <v>520GL###</v>
          </cell>
          <cell r="B139" t="str">
            <v>Gallon</v>
          </cell>
          <cell r="C139">
            <v>60.75</v>
          </cell>
          <cell r="D139">
            <v>51.64</v>
          </cell>
          <cell r="E139">
            <v>27</v>
          </cell>
        </row>
        <row r="140">
          <cell r="A140">
            <v>530</v>
          </cell>
          <cell r="B140" t="str">
            <v>Angelus Shine &amp; Dye (Liquid Wax Stain)</v>
          </cell>
          <cell r="C140"/>
          <cell r="D140"/>
          <cell r="E140"/>
        </row>
        <row r="141">
          <cell r="A141" t="str">
            <v>530E03###</v>
          </cell>
          <cell r="B141" t="str">
            <v>3 oz. Each</v>
          </cell>
          <cell r="C141">
            <v>4.95</v>
          </cell>
          <cell r="D141">
            <v>4.21</v>
          </cell>
          <cell r="E141">
            <v>2.2000000000000002</v>
          </cell>
        </row>
        <row r="142">
          <cell r="A142" t="str">
            <v>53003###</v>
          </cell>
          <cell r="B142" t="str">
            <v>3 oz. Dozen</v>
          </cell>
          <cell r="C142">
            <v>54</v>
          </cell>
          <cell r="D142">
            <v>45.9</v>
          </cell>
          <cell r="E142">
            <v>24</v>
          </cell>
        </row>
        <row r="143">
          <cell r="A143" t="str">
            <v>530PT###</v>
          </cell>
          <cell r="B143" t="str">
            <v>Pint</v>
          </cell>
          <cell r="C143">
            <v>14.4</v>
          </cell>
          <cell r="D143">
            <v>12.24</v>
          </cell>
          <cell r="E143">
            <v>6.4</v>
          </cell>
        </row>
        <row r="144">
          <cell r="A144" t="str">
            <v>530QT###</v>
          </cell>
          <cell r="B144" t="str">
            <v>Quart</v>
          </cell>
          <cell r="C144">
            <v>20.25</v>
          </cell>
          <cell r="D144">
            <v>17.21</v>
          </cell>
          <cell r="E144">
            <v>9</v>
          </cell>
        </row>
        <row r="145">
          <cell r="A145" t="str">
            <v>530GL###</v>
          </cell>
          <cell r="B145" t="str">
            <v>Gallon</v>
          </cell>
          <cell r="C145">
            <v>60.75</v>
          </cell>
          <cell r="D145">
            <v>51.64</v>
          </cell>
          <cell r="E145">
            <v>27</v>
          </cell>
        </row>
        <row r="146">
          <cell r="A146">
            <v>540</v>
          </cell>
          <cell r="B146" t="str">
            <v>Angelus Sole &amp; Heel Dressing</v>
          </cell>
          <cell r="C146"/>
          <cell r="D146"/>
          <cell r="E146"/>
        </row>
        <row r="147">
          <cell r="A147" t="str">
            <v>540E03###</v>
          </cell>
          <cell r="B147" t="str">
            <v>3 oz. Each</v>
          </cell>
          <cell r="C147">
            <v>3.71</v>
          </cell>
          <cell r="D147">
            <v>3.16</v>
          </cell>
          <cell r="E147">
            <v>1.65</v>
          </cell>
        </row>
        <row r="148">
          <cell r="A148" t="str">
            <v>54003###</v>
          </cell>
          <cell r="B148" t="str">
            <v>3 oz. Dozen</v>
          </cell>
          <cell r="C148">
            <v>40.5</v>
          </cell>
          <cell r="D148">
            <v>34.43</v>
          </cell>
          <cell r="E148">
            <v>18</v>
          </cell>
        </row>
        <row r="149">
          <cell r="A149" t="str">
            <v>540PT###</v>
          </cell>
          <cell r="B149" t="str">
            <v>Pint</v>
          </cell>
          <cell r="C149">
            <v>10.8</v>
          </cell>
          <cell r="D149">
            <v>9.18</v>
          </cell>
          <cell r="E149">
            <v>4.8</v>
          </cell>
        </row>
        <row r="150">
          <cell r="A150" t="str">
            <v>540QT###</v>
          </cell>
          <cell r="B150" t="str">
            <v>Quart</v>
          </cell>
          <cell r="C150">
            <v>14.85</v>
          </cell>
          <cell r="D150">
            <v>12.62</v>
          </cell>
          <cell r="E150">
            <v>6.6</v>
          </cell>
        </row>
        <row r="151">
          <cell r="A151" t="str">
            <v>540GL###</v>
          </cell>
          <cell r="B151" t="str">
            <v>Gallon</v>
          </cell>
          <cell r="C151">
            <v>40.5</v>
          </cell>
          <cell r="D151">
            <v>34.43</v>
          </cell>
          <cell r="E151">
            <v>18</v>
          </cell>
        </row>
        <row r="152">
          <cell r="A152">
            <v>541</v>
          </cell>
          <cell r="B152" t="str">
            <v>Angelus Roll Call Military Edge Dressing</v>
          </cell>
          <cell r="C152"/>
          <cell r="D152"/>
          <cell r="E152"/>
        </row>
        <row r="153">
          <cell r="A153" t="str">
            <v>541E04000</v>
          </cell>
          <cell r="B153" t="str">
            <v>3.6 fl oz 107 ml Each</v>
          </cell>
          <cell r="C153">
            <v>5.58</v>
          </cell>
          <cell r="D153">
            <v>4.74</v>
          </cell>
          <cell r="E153">
            <v>2.4700000000000002</v>
          </cell>
        </row>
        <row r="154">
          <cell r="A154">
            <v>54104000</v>
          </cell>
          <cell r="B154" t="str">
            <v>3.6 fl oz 107 ml Dozen</v>
          </cell>
          <cell r="C154">
            <v>60.75</v>
          </cell>
          <cell r="D154">
            <v>51.64</v>
          </cell>
          <cell r="E154">
            <v>27</v>
          </cell>
        </row>
        <row r="155">
          <cell r="A155" t="str">
            <v>541PT000</v>
          </cell>
          <cell r="B155" t="str">
            <v>Pint</v>
          </cell>
          <cell r="C155">
            <v>18</v>
          </cell>
          <cell r="D155">
            <v>15.3</v>
          </cell>
          <cell r="E155">
            <v>8</v>
          </cell>
        </row>
        <row r="156">
          <cell r="A156" t="str">
            <v>541QT000</v>
          </cell>
          <cell r="B156" t="str">
            <v>Quart</v>
          </cell>
          <cell r="C156">
            <v>25.2</v>
          </cell>
          <cell r="D156">
            <v>21.42</v>
          </cell>
          <cell r="E156">
            <v>11.2</v>
          </cell>
        </row>
        <row r="157">
          <cell r="A157" t="str">
            <v>541GL000</v>
          </cell>
          <cell r="B157" t="str">
            <v>Gallon</v>
          </cell>
          <cell r="C157">
            <v>72</v>
          </cell>
          <cell r="D157">
            <v>61.2</v>
          </cell>
          <cell r="E157">
            <v>32</v>
          </cell>
        </row>
        <row r="158">
          <cell r="A158">
            <v>544</v>
          </cell>
          <cell r="B158" t="str">
            <v>Angelus Sole &amp; Heel Enamel</v>
          </cell>
          <cell r="C158"/>
          <cell r="D158"/>
          <cell r="E158"/>
        </row>
        <row r="159">
          <cell r="A159" t="str">
            <v>544E03###</v>
          </cell>
          <cell r="B159" t="str">
            <v>3 oz. Each</v>
          </cell>
          <cell r="C159">
            <v>5.2</v>
          </cell>
          <cell r="D159">
            <v>4.42</v>
          </cell>
          <cell r="E159">
            <v>2.31</v>
          </cell>
        </row>
        <row r="160">
          <cell r="A160" t="str">
            <v>54403###</v>
          </cell>
          <cell r="B160" t="str">
            <v>3 oz. Dozen</v>
          </cell>
          <cell r="C160">
            <v>56.7</v>
          </cell>
          <cell r="D160">
            <v>48.2</v>
          </cell>
          <cell r="E160">
            <v>25.2</v>
          </cell>
        </row>
        <row r="161">
          <cell r="A161" t="str">
            <v>544PT###</v>
          </cell>
          <cell r="B161" t="str">
            <v>Pint</v>
          </cell>
          <cell r="C161">
            <v>18</v>
          </cell>
          <cell r="D161">
            <v>15.3</v>
          </cell>
          <cell r="E161">
            <v>8</v>
          </cell>
        </row>
        <row r="162">
          <cell r="A162" t="str">
            <v>544QT###</v>
          </cell>
          <cell r="B162" t="str">
            <v>Quart</v>
          </cell>
          <cell r="C162">
            <v>25.2</v>
          </cell>
          <cell r="D162">
            <v>21.42</v>
          </cell>
          <cell r="E162">
            <v>11.2</v>
          </cell>
        </row>
        <row r="163">
          <cell r="A163" t="str">
            <v>544GL###</v>
          </cell>
          <cell r="B163" t="str">
            <v>Gallon</v>
          </cell>
          <cell r="C163">
            <v>72</v>
          </cell>
          <cell r="D163">
            <v>61.2</v>
          </cell>
          <cell r="E163">
            <v>32</v>
          </cell>
        </row>
        <row r="164">
          <cell r="A164">
            <v>599</v>
          </cell>
          <cell r="B164" t="str">
            <v>Angelus Dyeliner Refillable Dye Pen</v>
          </cell>
          <cell r="C164"/>
          <cell r="D164"/>
          <cell r="E164"/>
        </row>
        <row r="165">
          <cell r="A165" t="str">
            <v>599FT000</v>
          </cell>
          <cell r="B165" t="str">
            <v>Fine Tip Each</v>
          </cell>
          <cell r="C165">
            <v>4.05</v>
          </cell>
          <cell r="D165">
            <v>3.44</v>
          </cell>
          <cell r="E165">
            <v>1.8</v>
          </cell>
        </row>
        <row r="166">
          <cell r="A166" t="str">
            <v>599BT000</v>
          </cell>
          <cell r="B166" t="str">
            <v>Broad Tip Each</v>
          </cell>
          <cell r="C166">
            <v>4.5</v>
          </cell>
          <cell r="D166">
            <v>3.83</v>
          </cell>
          <cell r="E166">
            <v>2</v>
          </cell>
        </row>
        <row r="167">
          <cell r="A167">
            <v>600</v>
          </cell>
          <cell r="B167" t="str">
            <v>Angelus Acrylic Finisher</v>
          </cell>
          <cell r="C167"/>
          <cell r="D167"/>
          <cell r="E167"/>
        </row>
        <row r="168">
          <cell r="A168" t="str">
            <v>600E01000</v>
          </cell>
          <cell r="B168" t="str">
            <v>1 oz. Each</v>
          </cell>
          <cell r="C168">
            <v>2.97</v>
          </cell>
          <cell r="D168">
            <v>2.52</v>
          </cell>
          <cell r="E168">
            <v>1.32</v>
          </cell>
        </row>
        <row r="169">
          <cell r="A169">
            <v>60001000</v>
          </cell>
          <cell r="B169" t="str">
            <v>1 oz. Dozen</v>
          </cell>
          <cell r="C169">
            <v>32.4</v>
          </cell>
          <cell r="D169">
            <v>27.54</v>
          </cell>
          <cell r="E169">
            <v>14.4</v>
          </cell>
        </row>
        <row r="170">
          <cell r="A170" t="str">
            <v>600E04000</v>
          </cell>
          <cell r="B170" t="str">
            <v>4 oz. Each</v>
          </cell>
          <cell r="C170">
            <v>4.95</v>
          </cell>
          <cell r="D170">
            <v>4.21</v>
          </cell>
          <cell r="E170">
            <v>2.2000000000000002</v>
          </cell>
        </row>
        <row r="171">
          <cell r="A171">
            <v>60004000</v>
          </cell>
          <cell r="B171" t="str">
            <v>4 oz. Dozen</v>
          </cell>
          <cell r="C171">
            <v>54</v>
          </cell>
          <cell r="D171">
            <v>45.9</v>
          </cell>
          <cell r="E171">
            <v>24</v>
          </cell>
        </row>
        <row r="172">
          <cell r="A172" t="str">
            <v>600PT000</v>
          </cell>
          <cell r="B172" t="str">
            <v>Pint</v>
          </cell>
          <cell r="C172">
            <v>16.649999999999999</v>
          </cell>
          <cell r="D172">
            <v>14.15</v>
          </cell>
          <cell r="E172">
            <v>7.4</v>
          </cell>
        </row>
        <row r="173">
          <cell r="A173" t="str">
            <v>600QT000</v>
          </cell>
          <cell r="B173" t="str">
            <v>Quart</v>
          </cell>
          <cell r="C173">
            <v>22.05</v>
          </cell>
          <cell r="D173">
            <v>18.739999999999998</v>
          </cell>
          <cell r="E173">
            <v>9.8000000000000007</v>
          </cell>
        </row>
        <row r="174">
          <cell r="A174" t="str">
            <v>600GL000</v>
          </cell>
          <cell r="B174" t="str">
            <v>Gallon</v>
          </cell>
          <cell r="C174">
            <v>64.8</v>
          </cell>
          <cell r="D174">
            <v>55.08</v>
          </cell>
          <cell r="E174">
            <v>28.8</v>
          </cell>
        </row>
        <row r="175">
          <cell r="A175">
            <v>605</v>
          </cell>
          <cell r="B175" t="str">
            <v>Angelus Acrylic Finisher - Satin</v>
          </cell>
          <cell r="C175"/>
          <cell r="D175"/>
          <cell r="E175"/>
        </row>
        <row r="176">
          <cell r="A176" t="str">
            <v>605E01000</v>
          </cell>
          <cell r="B176" t="str">
            <v>1 oz. Each</v>
          </cell>
          <cell r="C176">
            <v>2.97</v>
          </cell>
          <cell r="D176">
            <v>2.52</v>
          </cell>
          <cell r="E176">
            <v>1.32</v>
          </cell>
        </row>
        <row r="177">
          <cell r="A177">
            <v>60501000</v>
          </cell>
          <cell r="B177" t="str">
            <v>1 oz. Dozen</v>
          </cell>
          <cell r="C177">
            <v>32.4</v>
          </cell>
          <cell r="D177">
            <v>27.54</v>
          </cell>
          <cell r="E177">
            <v>14.4</v>
          </cell>
        </row>
        <row r="178">
          <cell r="A178" t="str">
            <v>605E04000</v>
          </cell>
          <cell r="B178" t="str">
            <v>4 oz. Each</v>
          </cell>
          <cell r="C178">
            <v>4.95</v>
          </cell>
          <cell r="D178">
            <v>4.21</v>
          </cell>
          <cell r="E178">
            <v>2.2000000000000002</v>
          </cell>
        </row>
        <row r="179">
          <cell r="A179">
            <v>60504000</v>
          </cell>
          <cell r="B179" t="str">
            <v>4 oz. Dozen</v>
          </cell>
          <cell r="C179">
            <v>54</v>
          </cell>
          <cell r="D179">
            <v>45.9</v>
          </cell>
          <cell r="E179">
            <v>24</v>
          </cell>
        </row>
        <row r="180">
          <cell r="A180" t="str">
            <v>605PT000</v>
          </cell>
          <cell r="B180" t="str">
            <v>Pint</v>
          </cell>
          <cell r="C180">
            <v>16.649999999999999</v>
          </cell>
          <cell r="D180">
            <v>14.15</v>
          </cell>
          <cell r="E180">
            <v>7.4</v>
          </cell>
        </row>
        <row r="181">
          <cell r="A181" t="str">
            <v>605QT000</v>
          </cell>
          <cell r="B181" t="str">
            <v>Quart</v>
          </cell>
          <cell r="C181">
            <v>22.05</v>
          </cell>
          <cell r="D181">
            <v>18.739999999999998</v>
          </cell>
          <cell r="E181">
            <v>9.8000000000000007</v>
          </cell>
        </row>
        <row r="182">
          <cell r="A182" t="str">
            <v>605GL000</v>
          </cell>
          <cell r="B182" t="str">
            <v>Gallon</v>
          </cell>
          <cell r="C182">
            <v>64.8</v>
          </cell>
          <cell r="D182">
            <v>55.08</v>
          </cell>
          <cell r="E182">
            <v>28.8</v>
          </cell>
        </row>
        <row r="183">
          <cell r="A183">
            <v>610</v>
          </cell>
          <cell r="B183" t="str">
            <v>Angelus Acrylic Finisher - High Gloss</v>
          </cell>
          <cell r="C183"/>
          <cell r="D183"/>
          <cell r="E183"/>
        </row>
        <row r="184">
          <cell r="A184" t="str">
            <v>610E01000</v>
          </cell>
          <cell r="B184" t="str">
            <v>1 oz. Each</v>
          </cell>
          <cell r="C184">
            <v>2.97</v>
          </cell>
          <cell r="D184">
            <v>2.52</v>
          </cell>
          <cell r="E184">
            <v>1.32</v>
          </cell>
        </row>
        <row r="185">
          <cell r="A185">
            <v>61001000</v>
          </cell>
          <cell r="B185" t="str">
            <v>1 oz. Dozen</v>
          </cell>
          <cell r="C185">
            <v>32.4</v>
          </cell>
          <cell r="D185">
            <v>27.54</v>
          </cell>
          <cell r="E185">
            <v>14.4</v>
          </cell>
        </row>
        <row r="186">
          <cell r="A186" t="str">
            <v>610E04000</v>
          </cell>
          <cell r="B186" t="str">
            <v>4 oz. Each</v>
          </cell>
          <cell r="C186">
            <v>4.95</v>
          </cell>
          <cell r="D186">
            <v>4.21</v>
          </cell>
          <cell r="E186">
            <v>2.2000000000000002</v>
          </cell>
        </row>
        <row r="187">
          <cell r="A187">
            <v>61004000</v>
          </cell>
          <cell r="B187" t="str">
            <v>4 oz. Dozen</v>
          </cell>
          <cell r="C187">
            <v>54</v>
          </cell>
          <cell r="D187">
            <v>45.9</v>
          </cell>
          <cell r="E187">
            <v>24</v>
          </cell>
        </row>
        <row r="188">
          <cell r="A188" t="str">
            <v>610PT000</v>
          </cell>
          <cell r="B188" t="str">
            <v>Pint</v>
          </cell>
          <cell r="C188">
            <v>16.649999999999999</v>
          </cell>
          <cell r="D188">
            <v>14.15</v>
          </cell>
          <cell r="E188">
            <v>7.4</v>
          </cell>
        </row>
        <row r="189">
          <cell r="A189" t="str">
            <v>610QT000</v>
          </cell>
          <cell r="B189" t="str">
            <v>Quart</v>
          </cell>
          <cell r="C189">
            <v>22.05</v>
          </cell>
          <cell r="D189">
            <v>18.739999999999998</v>
          </cell>
          <cell r="E189">
            <v>9.8000000000000007</v>
          </cell>
        </row>
        <row r="190">
          <cell r="A190" t="str">
            <v>610GL000</v>
          </cell>
          <cell r="B190" t="str">
            <v>Gallon</v>
          </cell>
          <cell r="C190">
            <v>64.8</v>
          </cell>
          <cell r="D190">
            <v>55.08</v>
          </cell>
          <cell r="E190">
            <v>28.8</v>
          </cell>
        </row>
        <row r="191">
          <cell r="A191">
            <v>615</v>
          </cell>
          <cell r="B191" t="str">
            <v>Angelus Acrylic Finisher - Satin High Gloss</v>
          </cell>
          <cell r="C191"/>
          <cell r="D191"/>
          <cell r="E191"/>
        </row>
        <row r="192">
          <cell r="A192" t="str">
            <v>615E01000</v>
          </cell>
          <cell r="B192" t="str">
            <v>1 oz. Each</v>
          </cell>
          <cell r="C192">
            <v>2.97</v>
          </cell>
          <cell r="D192">
            <v>2.52</v>
          </cell>
          <cell r="E192">
            <v>1.32</v>
          </cell>
        </row>
        <row r="193">
          <cell r="A193">
            <v>61501000</v>
          </cell>
          <cell r="B193" t="str">
            <v>1 oz. Dozen</v>
          </cell>
          <cell r="C193">
            <v>32.4</v>
          </cell>
          <cell r="D193">
            <v>27.54</v>
          </cell>
          <cell r="E193">
            <v>14.4</v>
          </cell>
        </row>
        <row r="194">
          <cell r="A194" t="str">
            <v>615E04000</v>
          </cell>
          <cell r="B194" t="str">
            <v>4 oz. Each</v>
          </cell>
          <cell r="C194">
            <v>4.95</v>
          </cell>
          <cell r="D194">
            <v>4.21</v>
          </cell>
          <cell r="E194">
            <v>2.2000000000000002</v>
          </cell>
        </row>
        <row r="195">
          <cell r="A195">
            <v>61504000</v>
          </cell>
          <cell r="B195" t="str">
            <v>4 oz. Dozen</v>
          </cell>
          <cell r="C195">
            <v>54</v>
          </cell>
          <cell r="D195">
            <v>45.9</v>
          </cell>
          <cell r="E195">
            <v>24</v>
          </cell>
        </row>
        <row r="196">
          <cell r="A196" t="str">
            <v>615PT000</v>
          </cell>
          <cell r="B196" t="str">
            <v>Pint</v>
          </cell>
          <cell r="C196">
            <v>16.649999999999999</v>
          </cell>
          <cell r="D196">
            <v>14.15</v>
          </cell>
          <cell r="E196">
            <v>7.4</v>
          </cell>
        </row>
        <row r="197">
          <cell r="A197" t="str">
            <v>615QT000</v>
          </cell>
          <cell r="B197" t="str">
            <v>Quart</v>
          </cell>
          <cell r="C197">
            <v>22.05</v>
          </cell>
          <cell r="D197">
            <v>18.739999999999998</v>
          </cell>
          <cell r="E197">
            <v>9.8000000000000007</v>
          </cell>
        </row>
        <row r="198">
          <cell r="A198" t="str">
            <v>615GL000</v>
          </cell>
          <cell r="B198" t="str">
            <v>Gallon</v>
          </cell>
          <cell r="C198">
            <v>64.8</v>
          </cell>
          <cell r="D198">
            <v>55.08</v>
          </cell>
          <cell r="E198">
            <v>28.8</v>
          </cell>
        </row>
        <row r="199">
          <cell r="A199">
            <v>620</v>
          </cell>
          <cell r="B199" t="str">
            <v>Angelus Acrylic Finisher - Matte</v>
          </cell>
          <cell r="C199"/>
          <cell r="D199"/>
          <cell r="E199"/>
        </row>
        <row r="200">
          <cell r="A200" t="str">
            <v>620E01000</v>
          </cell>
          <cell r="B200" t="str">
            <v>1 oz. Each</v>
          </cell>
          <cell r="C200">
            <v>2.97</v>
          </cell>
          <cell r="D200">
            <v>2.52</v>
          </cell>
          <cell r="E200">
            <v>1.32</v>
          </cell>
        </row>
        <row r="201">
          <cell r="A201">
            <v>62001000</v>
          </cell>
          <cell r="B201" t="str">
            <v>1 oz. Dozen</v>
          </cell>
          <cell r="C201">
            <v>32.4</v>
          </cell>
          <cell r="D201">
            <v>27.54</v>
          </cell>
          <cell r="E201">
            <v>14.4</v>
          </cell>
        </row>
        <row r="202">
          <cell r="A202" t="str">
            <v>620E04000</v>
          </cell>
          <cell r="B202" t="str">
            <v>4 oz. Each</v>
          </cell>
          <cell r="C202">
            <v>4.95</v>
          </cell>
          <cell r="D202">
            <v>4.21</v>
          </cell>
          <cell r="E202">
            <v>2.2000000000000002</v>
          </cell>
        </row>
        <row r="203">
          <cell r="A203">
            <v>62004000</v>
          </cell>
          <cell r="B203" t="str">
            <v>4 oz. Dozen</v>
          </cell>
          <cell r="C203">
            <v>54</v>
          </cell>
          <cell r="D203">
            <v>45.9</v>
          </cell>
          <cell r="E203">
            <v>24</v>
          </cell>
        </row>
        <row r="204">
          <cell r="A204" t="str">
            <v>620PT000</v>
          </cell>
          <cell r="B204" t="str">
            <v>Pint</v>
          </cell>
          <cell r="C204">
            <v>16.649999999999999</v>
          </cell>
          <cell r="D204">
            <v>14.15</v>
          </cell>
          <cell r="E204">
            <v>7.4</v>
          </cell>
        </row>
        <row r="205">
          <cell r="A205" t="str">
            <v>620QT000</v>
          </cell>
          <cell r="B205" t="str">
            <v>Quart</v>
          </cell>
          <cell r="C205">
            <v>22.05</v>
          </cell>
          <cell r="D205">
            <v>18.739999999999998</v>
          </cell>
          <cell r="E205">
            <v>9.8000000000000007</v>
          </cell>
        </row>
        <row r="206">
          <cell r="A206" t="str">
            <v>620GL000</v>
          </cell>
          <cell r="B206" t="str">
            <v>Gallon</v>
          </cell>
          <cell r="C206">
            <v>64.8</v>
          </cell>
          <cell r="D206">
            <v>55.08</v>
          </cell>
          <cell r="E206">
            <v>28.8</v>
          </cell>
        </row>
        <row r="207">
          <cell r="A207">
            <v>650</v>
          </cell>
          <cell r="B207" t="str">
            <v>Angelus Leather Finish</v>
          </cell>
          <cell r="C207"/>
          <cell r="D207"/>
          <cell r="E207"/>
        </row>
        <row r="208">
          <cell r="A208" t="str">
            <v>650E04###</v>
          </cell>
          <cell r="B208" t="str">
            <v>4 oz. Each</v>
          </cell>
          <cell r="C208">
            <v>5.36</v>
          </cell>
          <cell r="D208">
            <v>4.55</v>
          </cell>
          <cell r="E208">
            <v>2.38</v>
          </cell>
        </row>
        <row r="209">
          <cell r="A209" t="str">
            <v>65004###</v>
          </cell>
          <cell r="B209" t="str">
            <v>4 oz. Dozen</v>
          </cell>
          <cell r="C209">
            <v>58.5</v>
          </cell>
          <cell r="D209">
            <v>49.73</v>
          </cell>
          <cell r="E209">
            <v>26</v>
          </cell>
        </row>
        <row r="210">
          <cell r="A210" t="str">
            <v>650PT###</v>
          </cell>
          <cell r="B210" t="str">
            <v>Pint</v>
          </cell>
          <cell r="C210">
            <v>18</v>
          </cell>
          <cell r="D210">
            <v>15.3</v>
          </cell>
          <cell r="E210">
            <v>8</v>
          </cell>
        </row>
        <row r="211">
          <cell r="A211" t="str">
            <v>650QT###</v>
          </cell>
          <cell r="B211" t="str">
            <v>Quart</v>
          </cell>
          <cell r="C211">
            <v>25.2</v>
          </cell>
          <cell r="D211">
            <v>21.42</v>
          </cell>
          <cell r="E211">
            <v>11.2</v>
          </cell>
        </row>
        <row r="212">
          <cell r="A212" t="str">
            <v>650GL###</v>
          </cell>
          <cell r="B212" t="str">
            <v>Gallon</v>
          </cell>
          <cell r="C212">
            <v>69.75</v>
          </cell>
          <cell r="D212">
            <v>59.29</v>
          </cell>
          <cell r="E212">
            <v>31</v>
          </cell>
        </row>
        <row r="213">
          <cell r="A213">
            <v>655</v>
          </cell>
          <cell r="B213" t="str">
            <v>Angelus Leather Finish High Gloss</v>
          </cell>
          <cell r="C213"/>
          <cell r="D213"/>
          <cell r="E213"/>
        </row>
        <row r="214">
          <cell r="A214" t="str">
            <v>655E04###</v>
          </cell>
          <cell r="B214" t="str">
            <v>4 oz. Each</v>
          </cell>
          <cell r="C214">
            <v>5.36</v>
          </cell>
          <cell r="D214">
            <v>4.55</v>
          </cell>
          <cell r="E214">
            <v>2.38</v>
          </cell>
        </row>
        <row r="215">
          <cell r="A215" t="str">
            <v>65504###</v>
          </cell>
          <cell r="B215" t="str">
            <v>4 oz. Dozen</v>
          </cell>
          <cell r="C215">
            <v>58.5</v>
          </cell>
          <cell r="D215">
            <v>49.73</v>
          </cell>
          <cell r="E215">
            <v>26</v>
          </cell>
        </row>
        <row r="216">
          <cell r="A216" t="str">
            <v>655PT###</v>
          </cell>
          <cell r="B216" t="str">
            <v>Pint</v>
          </cell>
          <cell r="C216">
            <v>18</v>
          </cell>
          <cell r="D216">
            <v>15.3</v>
          </cell>
          <cell r="E216">
            <v>8</v>
          </cell>
        </row>
        <row r="217">
          <cell r="A217" t="str">
            <v>655QT###</v>
          </cell>
          <cell r="B217" t="str">
            <v>Quart</v>
          </cell>
          <cell r="C217">
            <v>25.2</v>
          </cell>
          <cell r="D217">
            <v>21.42</v>
          </cell>
          <cell r="E217">
            <v>11.2</v>
          </cell>
        </row>
        <row r="218">
          <cell r="A218" t="str">
            <v>655GL###</v>
          </cell>
          <cell r="B218" t="str">
            <v>Gallon</v>
          </cell>
          <cell r="C218">
            <v>69.75</v>
          </cell>
          <cell r="D218">
            <v>59.29</v>
          </cell>
          <cell r="E218">
            <v>31</v>
          </cell>
        </row>
        <row r="219">
          <cell r="A219">
            <v>660</v>
          </cell>
          <cell r="B219" t="str">
            <v>Angelus Edge Leather Finish</v>
          </cell>
          <cell r="C219"/>
          <cell r="D219"/>
          <cell r="E219"/>
        </row>
        <row r="220">
          <cell r="A220" t="str">
            <v>660E04###</v>
          </cell>
          <cell r="B220" t="str">
            <v>4 oz. Each</v>
          </cell>
          <cell r="C220">
            <v>6.19</v>
          </cell>
          <cell r="D220">
            <v>5.26</v>
          </cell>
          <cell r="E220">
            <v>2.75</v>
          </cell>
        </row>
        <row r="221">
          <cell r="A221" t="str">
            <v>66004###</v>
          </cell>
          <cell r="B221" t="str">
            <v>4 oz. Dozen</v>
          </cell>
          <cell r="C221">
            <v>67.5</v>
          </cell>
          <cell r="D221">
            <v>57.38</v>
          </cell>
          <cell r="E221">
            <v>30</v>
          </cell>
        </row>
        <row r="222">
          <cell r="A222" t="str">
            <v>660PT###</v>
          </cell>
          <cell r="B222" t="str">
            <v>Pint</v>
          </cell>
          <cell r="C222">
            <v>18.899999999999999</v>
          </cell>
          <cell r="D222">
            <v>16.07</v>
          </cell>
          <cell r="E222">
            <v>8.4</v>
          </cell>
        </row>
        <row r="223">
          <cell r="A223" t="str">
            <v>660QT###</v>
          </cell>
          <cell r="B223" t="str">
            <v>Quart</v>
          </cell>
          <cell r="C223">
            <v>25.88</v>
          </cell>
          <cell r="D223">
            <v>21.99</v>
          </cell>
          <cell r="E223">
            <v>11.5</v>
          </cell>
        </row>
        <row r="224">
          <cell r="A224" t="str">
            <v>660GL###</v>
          </cell>
          <cell r="B224" t="str">
            <v>Gallon</v>
          </cell>
          <cell r="C224">
            <v>74.25</v>
          </cell>
          <cell r="D224">
            <v>63.11</v>
          </cell>
          <cell r="E224">
            <v>33</v>
          </cell>
        </row>
        <row r="225">
          <cell r="A225">
            <v>665</v>
          </cell>
          <cell r="B225" t="str">
            <v>Angelus Edge Leather Finish - High Gloss</v>
          </cell>
          <cell r="C225"/>
          <cell r="D225"/>
          <cell r="E225"/>
        </row>
        <row r="226">
          <cell r="A226" t="str">
            <v>665E04###</v>
          </cell>
          <cell r="B226" t="str">
            <v>4 oz. Each</v>
          </cell>
          <cell r="C226">
            <v>6.19</v>
          </cell>
          <cell r="D226">
            <v>5.26</v>
          </cell>
          <cell r="E226">
            <v>2.75</v>
          </cell>
        </row>
        <row r="227">
          <cell r="A227" t="str">
            <v>66504###</v>
          </cell>
          <cell r="B227" t="str">
            <v>4 oz. Dozen</v>
          </cell>
          <cell r="C227">
            <v>67.5</v>
          </cell>
          <cell r="D227">
            <v>57.38</v>
          </cell>
          <cell r="E227">
            <v>30</v>
          </cell>
        </row>
        <row r="228">
          <cell r="A228" t="str">
            <v>665PT###</v>
          </cell>
          <cell r="B228" t="str">
            <v>Pint</v>
          </cell>
          <cell r="C228">
            <v>18.899999999999999</v>
          </cell>
          <cell r="D228">
            <v>16.07</v>
          </cell>
          <cell r="E228">
            <v>8.4</v>
          </cell>
        </row>
        <row r="229">
          <cell r="A229" t="str">
            <v>665QT###</v>
          </cell>
          <cell r="B229" t="str">
            <v>Quart</v>
          </cell>
          <cell r="C229">
            <v>25.88</v>
          </cell>
          <cell r="D229">
            <v>21.99</v>
          </cell>
          <cell r="E229">
            <v>11.5</v>
          </cell>
        </row>
        <row r="230">
          <cell r="A230" t="str">
            <v>665GL###</v>
          </cell>
          <cell r="B230" t="str">
            <v>Gallon</v>
          </cell>
          <cell r="C230">
            <v>74.25</v>
          </cell>
          <cell r="D230">
            <v>63.11</v>
          </cell>
          <cell r="E230">
            <v>33</v>
          </cell>
        </row>
        <row r="231">
          <cell r="A231">
            <v>700</v>
          </cell>
          <cell r="B231" t="str">
            <v>Angelus Acrylic Antique Finish</v>
          </cell>
          <cell r="C231"/>
          <cell r="D231"/>
          <cell r="E231"/>
        </row>
        <row r="232">
          <cell r="A232" t="str">
            <v>700E04###</v>
          </cell>
          <cell r="B232" t="str">
            <v>4 oz. Each</v>
          </cell>
          <cell r="C232">
            <v>6.19</v>
          </cell>
          <cell r="D232">
            <v>5.26</v>
          </cell>
          <cell r="E232">
            <v>2.75</v>
          </cell>
        </row>
        <row r="233">
          <cell r="A233" t="str">
            <v>70004###</v>
          </cell>
          <cell r="B233" t="str">
            <v>4 oz. Dozen</v>
          </cell>
          <cell r="C233">
            <v>67.5</v>
          </cell>
          <cell r="D233">
            <v>57.38</v>
          </cell>
          <cell r="E233">
            <v>30</v>
          </cell>
        </row>
        <row r="234">
          <cell r="A234" t="str">
            <v>700PT###</v>
          </cell>
          <cell r="B234" t="str">
            <v>Pint</v>
          </cell>
          <cell r="C234">
            <v>18.899999999999999</v>
          </cell>
          <cell r="D234">
            <v>16.07</v>
          </cell>
          <cell r="E234">
            <v>8.4</v>
          </cell>
        </row>
        <row r="235">
          <cell r="A235" t="str">
            <v>700QT###</v>
          </cell>
          <cell r="B235" t="str">
            <v>Quart</v>
          </cell>
          <cell r="C235">
            <v>25.88</v>
          </cell>
          <cell r="D235">
            <v>21.99</v>
          </cell>
          <cell r="E235">
            <v>11.5</v>
          </cell>
        </row>
        <row r="236">
          <cell r="A236" t="str">
            <v>700GL###</v>
          </cell>
          <cell r="B236" t="str">
            <v>Gallon</v>
          </cell>
          <cell r="C236">
            <v>74.25</v>
          </cell>
          <cell r="D236">
            <v>63.11</v>
          </cell>
          <cell r="E236">
            <v>33</v>
          </cell>
        </row>
        <row r="237">
          <cell r="A237">
            <v>720</v>
          </cell>
          <cell r="B237" t="str">
            <v>Angelus Acrylic Leather Paint</v>
          </cell>
          <cell r="C237"/>
          <cell r="D237"/>
          <cell r="E237"/>
        </row>
        <row r="238">
          <cell r="A238" t="str">
            <v>720E01###</v>
          </cell>
          <cell r="B238" t="str">
            <v>1 oz. Each</v>
          </cell>
          <cell r="C238">
            <v>3.3</v>
          </cell>
          <cell r="D238">
            <v>2.97</v>
          </cell>
          <cell r="E238">
            <v>1.65</v>
          </cell>
        </row>
        <row r="239">
          <cell r="A239" t="str">
            <v>72001###</v>
          </cell>
          <cell r="B239" t="str">
            <v>1 oz. Dozen</v>
          </cell>
          <cell r="C239">
            <v>40.5</v>
          </cell>
          <cell r="D239">
            <v>34.43</v>
          </cell>
          <cell r="E239">
            <v>18</v>
          </cell>
        </row>
        <row r="240">
          <cell r="A240" t="str">
            <v>720E04###</v>
          </cell>
          <cell r="B240" t="str">
            <v>4 oz. Each</v>
          </cell>
          <cell r="C240">
            <v>6.5</v>
          </cell>
          <cell r="D240">
            <v>5.85</v>
          </cell>
          <cell r="E240">
            <v>2.64</v>
          </cell>
        </row>
        <row r="241">
          <cell r="A241" t="str">
            <v>72004###</v>
          </cell>
          <cell r="B241" t="str">
            <v>4 oz. Dozen</v>
          </cell>
          <cell r="C241">
            <v>64.8</v>
          </cell>
          <cell r="D241">
            <v>55.08</v>
          </cell>
          <cell r="E241">
            <v>28.8</v>
          </cell>
        </row>
        <row r="242">
          <cell r="A242" t="str">
            <v>720PT###</v>
          </cell>
          <cell r="B242" t="str">
            <v>Pint</v>
          </cell>
          <cell r="C242">
            <v>20.25</v>
          </cell>
          <cell r="D242">
            <v>17.21</v>
          </cell>
          <cell r="E242">
            <v>9</v>
          </cell>
        </row>
        <row r="243">
          <cell r="A243" t="str">
            <v>720QT###</v>
          </cell>
          <cell r="B243" t="str">
            <v>Quart</v>
          </cell>
          <cell r="C243">
            <v>31.5</v>
          </cell>
          <cell r="D243">
            <v>26.78</v>
          </cell>
          <cell r="E243">
            <v>14</v>
          </cell>
        </row>
        <row r="244">
          <cell r="A244" t="str">
            <v>720GL###</v>
          </cell>
          <cell r="B244" t="str">
            <v>Gallon</v>
          </cell>
          <cell r="C244">
            <v>94.5</v>
          </cell>
          <cell r="D244">
            <v>80.33</v>
          </cell>
          <cell r="E244">
            <v>42</v>
          </cell>
        </row>
        <row r="245">
          <cell r="A245">
            <v>720</v>
          </cell>
          <cell r="B245" t="str">
            <v>Angelus Acrylic Sole Coat - Walk On Paint</v>
          </cell>
          <cell r="C245"/>
          <cell r="D245"/>
          <cell r="E245"/>
        </row>
        <row r="246">
          <cell r="A246" t="str">
            <v>720E02###</v>
          </cell>
          <cell r="B246" t="str">
            <v>2 oz. Each</v>
          </cell>
          <cell r="C246">
            <v>5.58</v>
          </cell>
          <cell r="D246">
            <v>4.74</v>
          </cell>
          <cell r="E246">
            <v>2.4700000000000002</v>
          </cell>
        </row>
        <row r="247">
          <cell r="A247" t="str">
            <v>72002###</v>
          </cell>
          <cell r="B247" t="str">
            <v>2 oz. Dozen</v>
          </cell>
          <cell r="C247">
            <v>60.75</v>
          </cell>
          <cell r="D247">
            <v>51.64</v>
          </cell>
          <cell r="E247">
            <v>27</v>
          </cell>
        </row>
        <row r="248">
          <cell r="A248" t="str">
            <v>722 Duller</v>
          </cell>
          <cell r="B248" t="str">
            <v>Angelus Duller For Acrylic Leather Paint</v>
          </cell>
          <cell r="C248"/>
          <cell r="D248"/>
          <cell r="E248"/>
        </row>
        <row r="249">
          <cell r="A249" t="str">
            <v>722E01000</v>
          </cell>
          <cell r="B249" t="str">
            <v>1 oz. Each</v>
          </cell>
          <cell r="C249">
            <v>4.75</v>
          </cell>
          <cell r="D249">
            <v>4.04</v>
          </cell>
          <cell r="E249">
            <v>2.11</v>
          </cell>
        </row>
        <row r="250">
          <cell r="A250">
            <v>72201000</v>
          </cell>
          <cell r="B250" t="str">
            <v>1 oz. Dozen</v>
          </cell>
          <cell r="C250">
            <v>51.75</v>
          </cell>
          <cell r="D250">
            <v>43.99</v>
          </cell>
          <cell r="E250">
            <v>23</v>
          </cell>
        </row>
        <row r="251">
          <cell r="A251" t="str">
            <v>722E04000</v>
          </cell>
          <cell r="B251" t="str">
            <v>4 oz. Each</v>
          </cell>
          <cell r="C251">
            <v>10.69</v>
          </cell>
          <cell r="D251">
            <v>9.08</v>
          </cell>
          <cell r="E251">
            <v>4.75</v>
          </cell>
        </row>
        <row r="252">
          <cell r="A252">
            <v>72204000</v>
          </cell>
          <cell r="B252" t="str">
            <v>4 oz. Dozen</v>
          </cell>
          <cell r="C252">
            <v>116.64</v>
          </cell>
          <cell r="D252">
            <v>99.14</v>
          </cell>
          <cell r="E252">
            <v>51.84</v>
          </cell>
        </row>
        <row r="253">
          <cell r="A253" t="str">
            <v>722PT000</v>
          </cell>
          <cell r="B253" t="str">
            <v>Pint</v>
          </cell>
          <cell r="C253">
            <v>36.9</v>
          </cell>
          <cell r="D253">
            <v>31.37</v>
          </cell>
          <cell r="E253">
            <v>16.399999999999999</v>
          </cell>
        </row>
        <row r="254">
          <cell r="A254" t="str">
            <v>722QT000</v>
          </cell>
          <cell r="B254" t="str">
            <v>Quart</v>
          </cell>
          <cell r="C254">
            <v>55.8</v>
          </cell>
          <cell r="D254">
            <v>47.43</v>
          </cell>
          <cell r="E254">
            <v>24.8</v>
          </cell>
        </row>
        <row r="255">
          <cell r="A255" t="str">
            <v>722GL000</v>
          </cell>
          <cell r="B255" t="str">
            <v>Gallon</v>
          </cell>
          <cell r="C255">
            <v>168.75</v>
          </cell>
          <cell r="D255">
            <v>143.44</v>
          </cell>
          <cell r="E255">
            <v>75</v>
          </cell>
        </row>
        <row r="256">
          <cell r="A256" t="str">
            <v>722 2Soft</v>
          </cell>
          <cell r="B256" t="str">
            <v>Angelus 2-Soft (Fabric Medium Additive)</v>
          </cell>
          <cell r="C256"/>
          <cell r="D256"/>
          <cell r="E256"/>
        </row>
        <row r="257">
          <cell r="A257" t="str">
            <v>722E01000SOFT</v>
          </cell>
          <cell r="B257" t="str">
            <v>1 oz. Each</v>
          </cell>
          <cell r="C257">
            <v>4.21</v>
          </cell>
          <cell r="D257">
            <v>3.58</v>
          </cell>
          <cell r="E257">
            <v>1.87</v>
          </cell>
        </row>
        <row r="258">
          <cell r="A258" t="str">
            <v>72201000SOFT</v>
          </cell>
          <cell r="B258" t="str">
            <v>1 oz. Dozen</v>
          </cell>
          <cell r="C258">
            <v>45.9</v>
          </cell>
          <cell r="D258">
            <v>39.020000000000003</v>
          </cell>
          <cell r="E258">
            <v>20.399999999999999</v>
          </cell>
        </row>
        <row r="259">
          <cell r="A259" t="str">
            <v>722E04000SOFT</v>
          </cell>
          <cell r="B259" t="str">
            <v>4 oz. Each</v>
          </cell>
          <cell r="C259">
            <v>8.42</v>
          </cell>
          <cell r="D259">
            <v>7.15</v>
          </cell>
          <cell r="E259">
            <v>3.74</v>
          </cell>
        </row>
        <row r="260">
          <cell r="A260" t="str">
            <v>72204000SOFT</v>
          </cell>
          <cell r="B260" t="str">
            <v>4 oz. Dozen</v>
          </cell>
          <cell r="C260">
            <v>91.8</v>
          </cell>
          <cell r="D260">
            <v>78.03</v>
          </cell>
          <cell r="E260">
            <v>40.799999999999997</v>
          </cell>
        </row>
        <row r="261">
          <cell r="A261" t="str">
            <v>722 2Hard</v>
          </cell>
          <cell r="B261" t="str">
            <v>Angelus 2-Hard (Plastic Adhesion Promoter/Film Hardener)</v>
          </cell>
          <cell r="C261"/>
          <cell r="D261"/>
          <cell r="E261"/>
        </row>
        <row r="262">
          <cell r="A262" t="str">
            <v>722E01000HARD</v>
          </cell>
          <cell r="B262" t="str">
            <v>1 oz. Each</v>
          </cell>
          <cell r="C262">
            <v>4.21</v>
          </cell>
          <cell r="D262">
            <v>3.58</v>
          </cell>
          <cell r="E262">
            <v>1.87</v>
          </cell>
        </row>
        <row r="263">
          <cell r="A263" t="str">
            <v>72201000HARD</v>
          </cell>
          <cell r="B263" t="str">
            <v>1 oz. Dozen</v>
          </cell>
          <cell r="C263">
            <v>45.9</v>
          </cell>
          <cell r="D263">
            <v>39.020000000000003</v>
          </cell>
          <cell r="E263">
            <v>20.399999999999999</v>
          </cell>
        </row>
        <row r="264">
          <cell r="A264" t="str">
            <v>722E04000HARD</v>
          </cell>
          <cell r="B264" t="str">
            <v>4 oz. Each</v>
          </cell>
          <cell r="C264">
            <v>8.42</v>
          </cell>
          <cell r="D264">
            <v>7.15</v>
          </cell>
          <cell r="E264">
            <v>3.74</v>
          </cell>
        </row>
        <row r="265">
          <cell r="A265" t="str">
            <v>72204000HARD</v>
          </cell>
          <cell r="B265" t="str">
            <v>4 oz. Dozen</v>
          </cell>
          <cell r="C265">
            <v>91.8</v>
          </cell>
          <cell r="D265">
            <v>78.03</v>
          </cell>
          <cell r="E265">
            <v>40.799999999999997</v>
          </cell>
        </row>
        <row r="266">
          <cell r="A266">
            <v>725</v>
          </cell>
          <cell r="B266" t="str">
            <v>Angelus Neon Acrylic Leather Paint</v>
          </cell>
          <cell r="C266"/>
          <cell r="D266"/>
          <cell r="E266"/>
        </row>
        <row r="267">
          <cell r="A267" t="str">
            <v>725E01###</v>
          </cell>
          <cell r="B267" t="str">
            <v>1 oz. Each</v>
          </cell>
          <cell r="C267">
            <v>3.92</v>
          </cell>
          <cell r="D267">
            <v>3.33</v>
          </cell>
          <cell r="E267">
            <v>1.74</v>
          </cell>
        </row>
        <row r="268">
          <cell r="A268" t="str">
            <v>72501###</v>
          </cell>
          <cell r="B268" t="str">
            <v>1 oz. Dozen</v>
          </cell>
          <cell r="C268">
            <v>42.75</v>
          </cell>
          <cell r="D268">
            <v>36.340000000000003</v>
          </cell>
          <cell r="E268">
            <v>19</v>
          </cell>
        </row>
        <row r="269">
          <cell r="A269" t="str">
            <v>725E04###</v>
          </cell>
          <cell r="B269" t="str">
            <v>4 oz. Each</v>
          </cell>
          <cell r="C269">
            <v>6.62</v>
          </cell>
          <cell r="D269">
            <v>5.62</v>
          </cell>
          <cell r="E269">
            <v>2.94</v>
          </cell>
        </row>
        <row r="270">
          <cell r="A270" t="str">
            <v>72504###</v>
          </cell>
          <cell r="B270" t="str">
            <v>4 oz. Dozen</v>
          </cell>
          <cell r="C270">
            <v>72</v>
          </cell>
          <cell r="D270">
            <v>61.2</v>
          </cell>
          <cell r="E270">
            <v>32</v>
          </cell>
        </row>
        <row r="271">
          <cell r="A271" t="str">
            <v>725PT###</v>
          </cell>
          <cell r="B271" t="str">
            <v>Pint</v>
          </cell>
          <cell r="C271">
            <v>21.38</v>
          </cell>
          <cell r="D271">
            <v>18.170000000000002</v>
          </cell>
          <cell r="E271">
            <v>9.5</v>
          </cell>
        </row>
        <row r="272">
          <cell r="A272" t="str">
            <v>725QT###</v>
          </cell>
          <cell r="B272" t="str">
            <v>Quart</v>
          </cell>
          <cell r="C272">
            <v>32.630000000000003</v>
          </cell>
          <cell r="D272">
            <v>27.73</v>
          </cell>
          <cell r="E272">
            <v>14.5</v>
          </cell>
        </row>
        <row r="273">
          <cell r="A273" t="str">
            <v>725GL###</v>
          </cell>
          <cell r="B273" t="str">
            <v>Gallon</v>
          </cell>
          <cell r="C273">
            <v>99</v>
          </cell>
          <cell r="D273">
            <v>84.15</v>
          </cell>
          <cell r="E273">
            <v>44</v>
          </cell>
        </row>
        <row r="274">
          <cell r="A274">
            <v>727</v>
          </cell>
          <cell r="B274" t="str">
            <v>Angelus Collector Edition Acrylic Leather Paint</v>
          </cell>
          <cell r="C274"/>
          <cell r="D274"/>
          <cell r="E274"/>
        </row>
        <row r="275">
          <cell r="A275" t="str">
            <v>72E701###</v>
          </cell>
          <cell r="B275" t="str">
            <v>1 oz. Each</v>
          </cell>
          <cell r="C275">
            <v>5.95</v>
          </cell>
          <cell r="D275">
            <v>5.36</v>
          </cell>
          <cell r="E275">
            <v>1.87</v>
          </cell>
        </row>
        <row r="276">
          <cell r="A276" t="str">
            <v>72701###</v>
          </cell>
          <cell r="B276" t="str">
            <v>1 oz. Dozen</v>
          </cell>
          <cell r="C276">
            <v>45.9</v>
          </cell>
          <cell r="D276">
            <v>39.020000000000003</v>
          </cell>
          <cell r="E276">
            <v>20.399999999999999</v>
          </cell>
        </row>
        <row r="277">
          <cell r="A277">
            <v>730</v>
          </cell>
          <cell r="B277" t="str">
            <v>Angelus Glitterlites Leather Paint</v>
          </cell>
          <cell r="C277"/>
          <cell r="D277"/>
          <cell r="E277"/>
        </row>
        <row r="278">
          <cell r="A278" t="str">
            <v>730E01###</v>
          </cell>
          <cell r="B278" t="str">
            <v>1 oz. Each</v>
          </cell>
          <cell r="C278">
            <v>4.4000000000000004</v>
          </cell>
          <cell r="D278">
            <v>3.95</v>
          </cell>
          <cell r="E278">
            <v>2.2000000000000002</v>
          </cell>
        </row>
        <row r="279">
          <cell r="A279" t="str">
            <v>73001###</v>
          </cell>
          <cell r="B279" t="str">
            <v>1 oz. Dozen</v>
          </cell>
          <cell r="C279">
            <v>52.8</v>
          </cell>
          <cell r="D279">
            <v>44.88</v>
          </cell>
          <cell r="E279">
            <v>24</v>
          </cell>
        </row>
        <row r="280">
          <cell r="A280">
            <v>732</v>
          </cell>
          <cell r="B280" t="str">
            <v>Angelus Metallic Acrylic Leather Paint</v>
          </cell>
          <cell r="C280"/>
          <cell r="D280"/>
          <cell r="E280"/>
        </row>
        <row r="281">
          <cell r="A281" t="str">
            <v>732E01###</v>
          </cell>
          <cell r="B281" t="str">
            <v>1 oz. Each</v>
          </cell>
          <cell r="C281">
            <v>3.92</v>
          </cell>
          <cell r="D281">
            <v>3.33</v>
          </cell>
          <cell r="E281">
            <v>1.74</v>
          </cell>
        </row>
        <row r="282">
          <cell r="A282" t="str">
            <v>73201###</v>
          </cell>
          <cell r="B282" t="str">
            <v>1 oz. Dozen</v>
          </cell>
          <cell r="C282">
            <v>42.75</v>
          </cell>
          <cell r="D282">
            <v>36.340000000000003</v>
          </cell>
          <cell r="E282">
            <v>19</v>
          </cell>
        </row>
        <row r="283">
          <cell r="A283" t="str">
            <v>732E04###</v>
          </cell>
          <cell r="B283" t="str">
            <v>4 oz. Each</v>
          </cell>
          <cell r="C283">
            <v>6.62</v>
          </cell>
          <cell r="D283">
            <v>5.62</v>
          </cell>
          <cell r="E283">
            <v>2.94</v>
          </cell>
        </row>
        <row r="284">
          <cell r="A284" t="str">
            <v>73204###</v>
          </cell>
          <cell r="B284" t="str">
            <v>4 oz. Dozen</v>
          </cell>
          <cell r="C284">
            <v>72</v>
          </cell>
          <cell r="D284">
            <v>61.2</v>
          </cell>
          <cell r="E284">
            <v>32</v>
          </cell>
        </row>
        <row r="285">
          <cell r="A285" t="str">
            <v>732PT###</v>
          </cell>
          <cell r="B285" t="str">
            <v>Pint</v>
          </cell>
          <cell r="C285">
            <v>21.38</v>
          </cell>
          <cell r="D285">
            <v>18.170000000000002</v>
          </cell>
          <cell r="E285">
            <v>9.5</v>
          </cell>
        </row>
        <row r="286">
          <cell r="A286" t="str">
            <v>732QT###</v>
          </cell>
          <cell r="B286" t="str">
            <v>Quart</v>
          </cell>
          <cell r="C286">
            <v>32.630000000000003</v>
          </cell>
          <cell r="D286">
            <v>27.73</v>
          </cell>
          <cell r="E286">
            <v>14.5</v>
          </cell>
        </row>
        <row r="287">
          <cell r="A287" t="str">
            <v>732GL###</v>
          </cell>
          <cell r="B287" t="str">
            <v>Gallon</v>
          </cell>
          <cell r="C287">
            <v>99</v>
          </cell>
          <cell r="D287">
            <v>84.15</v>
          </cell>
          <cell r="E287">
            <v>44</v>
          </cell>
        </row>
        <row r="288">
          <cell r="A288">
            <v>733</v>
          </cell>
          <cell r="B288" t="str">
            <v>Angelus Pearlescent Acrylic Leather Paint</v>
          </cell>
          <cell r="C288"/>
          <cell r="D288"/>
          <cell r="E288"/>
        </row>
        <row r="289">
          <cell r="A289" t="str">
            <v>733E01###</v>
          </cell>
          <cell r="B289" t="str">
            <v>1 oz. Each</v>
          </cell>
          <cell r="C289">
            <v>3.92</v>
          </cell>
          <cell r="D289">
            <v>3.33</v>
          </cell>
          <cell r="E289">
            <v>1.74</v>
          </cell>
        </row>
        <row r="290">
          <cell r="A290" t="str">
            <v>73301###</v>
          </cell>
          <cell r="B290" t="str">
            <v>1 oz. Dozen</v>
          </cell>
          <cell r="C290">
            <v>42.75</v>
          </cell>
          <cell r="D290">
            <v>36.340000000000003</v>
          </cell>
          <cell r="E290">
            <v>19</v>
          </cell>
        </row>
        <row r="291">
          <cell r="A291" t="str">
            <v>733E04###</v>
          </cell>
          <cell r="B291" t="str">
            <v>4 oz. Each</v>
          </cell>
          <cell r="C291">
            <v>6.62</v>
          </cell>
          <cell r="D291">
            <v>5.62</v>
          </cell>
          <cell r="E291">
            <v>2.94</v>
          </cell>
        </row>
        <row r="292">
          <cell r="A292" t="str">
            <v>73304###</v>
          </cell>
          <cell r="B292" t="str">
            <v>4 oz. Dozen</v>
          </cell>
          <cell r="C292">
            <v>72</v>
          </cell>
          <cell r="D292">
            <v>61.2</v>
          </cell>
          <cell r="E292">
            <v>32</v>
          </cell>
        </row>
        <row r="293">
          <cell r="A293">
            <v>750</v>
          </cell>
          <cell r="B293" t="str">
            <v>Angelus Leather Finish (Coming Soon)</v>
          </cell>
          <cell r="C293"/>
          <cell r="D293"/>
          <cell r="E293"/>
        </row>
        <row r="294">
          <cell r="A294" t="str">
            <v>750E04###</v>
          </cell>
          <cell r="B294" t="str">
            <v>4 oz. Each</v>
          </cell>
          <cell r="C294"/>
          <cell r="D294"/>
          <cell r="E294">
            <v>0</v>
          </cell>
        </row>
        <row r="295">
          <cell r="A295" t="str">
            <v>75004###</v>
          </cell>
          <cell r="B295" t="str">
            <v>4 oz. Dozen</v>
          </cell>
          <cell r="C295"/>
          <cell r="D295"/>
          <cell r="E295">
            <v>0</v>
          </cell>
        </row>
        <row r="296">
          <cell r="A296">
            <v>799</v>
          </cell>
          <cell r="B296" t="str">
            <v>Angelus Accessories</v>
          </cell>
          <cell r="C296"/>
          <cell r="D296"/>
          <cell r="E296"/>
        </row>
        <row r="297">
          <cell r="A297" t="str">
            <v>79972012BestSellersKit</v>
          </cell>
          <cell r="B297" t="str">
            <v>Acrylic Leather Paint Best Sellers Kit</v>
          </cell>
          <cell r="C297"/>
          <cell r="D297"/>
          <cell r="E297">
            <v>18</v>
          </cell>
        </row>
        <row r="298">
          <cell r="A298" t="str">
            <v>79972512NeonKit</v>
          </cell>
          <cell r="B298" t="str">
            <v>Neon Acrylic Leather Paint Kit</v>
          </cell>
          <cell r="C298"/>
          <cell r="D298"/>
          <cell r="E298">
            <v>19</v>
          </cell>
        </row>
        <row r="299">
          <cell r="A299" t="str">
            <v>79973212Metallic+Pearl</v>
          </cell>
          <cell r="B299" t="str">
            <v>Metallic &amp; Pearlescent Acrylic Leather Paint Kit</v>
          </cell>
          <cell r="C299"/>
          <cell r="D299"/>
          <cell r="E299">
            <v>19</v>
          </cell>
        </row>
        <row r="300">
          <cell r="A300" t="str">
            <v>7993MIND</v>
          </cell>
          <cell r="B300" t="str">
            <v>Paint Marker - 3mm</v>
          </cell>
          <cell r="C300">
            <v>3.95</v>
          </cell>
          <cell r="D300">
            <v>3.95</v>
          </cell>
          <cell r="E300">
            <v>1.4</v>
          </cell>
        </row>
        <row r="301">
          <cell r="A301" t="str">
            <v>7993M2PK</v>
          </cell>
          <cell r="B301" t="str">
            <v>Paint Marker - 3mm - 14 pc set</v>
          </cell>
          <cell r="C301">
            <v>9.9499999999999993</v>
          </cell>
          <cell r="D301">
            <v>9.9499999999999993</v>
          </cell>
          <cell r="E301">
            <v>3.5</v>
          </cell>
        </row>
        <row r="302">
          <cell r="A302" t="str">
            <v>7995MIND</v>
          </cell>
          <cell r="B302" t="str">
            <v>Paint Marker - 5mm</v>
          </cell>
          <cell r="C302">
            <v>3.95</v>
          </cell>
          <cell r="D302">
            <v>3.95</v>
          </cell>
          <cell r="E302">
            <v>1.5</v>
          </cell>
        </row>
        <row r="303">
          <cell r="A303" t="str">
            <v>7995M2PK</v>
          </cell>
          <cell r="B303" t="str">
            <v>Paint Marker - 5mm - 14 pc set</v>
          </cell>
          <cell r="C303">
            <v>9.9499999999999993</v>
          </cell>
          <cell r="D303">
            <v>9.9499999999999993</v>
          </cell>
          <cell r="E303">
            <v>3.7</v>
          </cell>
        </row>
        <row r="304">
          <cell r="A304" t="str">
            <v>79910MIND</v>
          </cell>
          <cell r="B304" t="str">
            <v>Paint Marker - 10mm</v>
          </cell>
          <cell r="C304">
            <v>3.95</v>
          </cell>
          <cell r="D304">
            <v>3.95</v>
          </cell>
          <cell r="E304">
            <v>1.4</v>
          </cell>
        </row>
        <row r="305">
          <cell r="A305">
            <v>7995100</v>
          </cell>
          <cell r="B305" t="str">
            <v>Paint Brushes - 5 pc set</v>
          </cell>
          <cell r="C305">
            <v>8.9499999999999993</v>
          </cell>
          <cell r="D305">
            <v>8.9499999999999993</v>
          </cell>
          <cell r="E305">
            <v>3.5</v>
          </cell>
        </row>
        <row r="306">
          <cell r="A306">
            <v>7995101</v>
          </cell>
          <cell r="B306" t="str">
            <v>Micro Detaill Paint Brush Set - 5 pc set</v>
          </cell>
          <cell r="C306">
            <v>14.95</v>
          </cell>
          <cell r="D306">
            <v>14.95</v>
          </cell>
          <cell r="E306">
            <v>7.5</v>
          </cell>
        </row>
        <row r="307">
          <cell r="A307" t="str">
            <v>79901BASICSKITBAG</v>
          </cell>
          <cell r="B307" t="str">
            <v>Basics Kit Each</v>
          </cell>
          <cell r="C307">
            <v>24.95</v>
          </cell>
          <cell r="D307">
            <v>24.95</v>
          </cell>
          <cell r="E307">
            <v>13.3</v>
          </cell>
        </row>
        <row r="308">
          <cell r="A308" t="str">
            <v>79912PKBASICSKITBAG</v>
          </cell>
          <cell r="B308" t="str">
            <v>Basics Kit - dozen</v>
          </cell>
          <cell r="C308">
            <v>272.18</v>
          </cell>
          <cell r="D308">
            <v>272.18</v>
          </cell>
          <cell r="E308">
            <v>145.19999999999999</v>
          </cell>
        </row>
        <row r="309">
          <cell r="A309" t="str">
            <v>79901BASICSKITBOX</v>
          </cell>
          <cell r="B309" t="str">
            <v>Basics Kit Each</v>
          </cell>
          <cell r="C309">
            <v>24.95</v>
          </cell>
          <cell r="D309">
            <v>24.95</v>
          </cell>
          <cell r="E309">
            <v>13.3</v>
          </cell>
        </row>
        <row r="310">
          <cell r="A310" t="str">
            <v>79912PKBASICSKITBOX</v>
          </cell>
          <cell r="B310" t="str">
            <v>Basics Kit - dozen</v>
          </cell>
          <cell r="C310">
            <v>272.18</v>
          </cell>
          <cell r="D310">
            <v>272.18</v>
          </cell>
          <cell r="E310">
            <v>145.19999999999999</v>
          </cell>
        </row>
        <row r="311">
          <cell r="A311" t="str">
            <v>799BT100</v>
          </cell>
          <cell r="B311" t="str">
            <v>Blue Painter's Masking Tape</v>
          </cell>
          <cell r="C311">
            <v>5.95</v>
          </cell>
          <cell r="D311">
            <v>5.0599999999999996</v>
          </cell>
          <cell r="E311">
            <v>5</v>
          </cell>
        </row>
        <row r="312">
          <cell r="A312" t="str">
            <v>799RT100</v>
          </cell>
          <cell r="B312" t="str">
            <v>Red Vinyl Tape - 1"</v>
          </cell>
          <cell r="C312">
            <v>8.9499999999999993</v>
          </cell>
          <cell r="D312">
            <v>7.61</v>
          </cell>
          <cell r="E312">
            <v>4.8</v>
          </cell>
        </row>
        <row r="313">
          <cell r="A313" t="str">
            <v>799RT050</v>
          </cell>
          <cell r="B313" t="str">
            <v>Red Vinyl Tape - 1/2"</v>
          </cell>
          <cell r="C313">
            <v>7.95</v>
          </cell>
          <cell r="D313">
            <v>6.76</v>
          </cell>
          <cell r="E313">
            <v>3.99</v>
          </cell>
        </row>
        <row r="314">
          <cell r="A314" t="str">
            <v>799PT100</v>
          </cell>
          <cell r="B314" t="str">
            <v>Premium Masking Tape</v>
          </cell>
          <cell r="C314">
            <v>5.95</v>
          </cell>
          <cell r="D314">
            <v>5.0599999999999996</v>
          </cell>
          <cell r="E314">
            <v>5</v>
          </cell>
        </row>
        <row r="315">
          <cell r="A315" t="str">
            <v>79904STRAINER</v>
          </cell>
          <cell r="B315" t="str">
            <v>Reusable Mesh STrainer</v>
          </cell>
          <cell r="C315">
            <v>8.9499999999999993</v>
          </cell>
          <cell r="D315">
            <v>7.61</v>
          </cell>
          <cell r="E315">
            <v>4.4800000000000004</v>
          </cell>
        </row>
        <row r="316">
          <cell r="A316">
            <v>800</v>
          </cell>
          <cell r="B316" t="str">
            <v>Angelus Dry Cleaner &amp; Spot Remover</v>
          </cell>
          <cell r="C316"/>
          <cell r="D316"/>
          <cell r="E316"/>
        </row>
        <row r="317">
          <cell r="A317" t="str">
            <v>800E03000</v>
          </cell>
          <cell r="B317" t="str">
            <v>3 oz. Each - DISCONTINUED. See New Item #802</v>
          </cell>
          <cell r="C317">
            <v>0</v>
          </cell>
          <cell r="D317">
            <v>0</v>
          </cell>
          <cell r="E317">
            <v>0</v>
          </cell>
        </row>
        <row r="318">
          <cell r="A318">
            <v>80003000</v>
          </cell>
          <cell r="B318" t="str">
            <v>3 oz. Dozen - DISCONTINUED. See New Item #802</v>
          </cell>
          <cell r="C318">
            <v>0</v>
          </cell>
          <cell r="D318">
            <v>0</v>
          </cell>
          <cell r="E318">
            <v>0</v>
          </cell>
        </row>
        <row r="319">
          <cell r="A319" t="str">
            <v>800PT000</v>
          </cell>
          <cell r="B319" t="str">
            <v>Pint - DISCONTINUED. See New Item #802</v>
          </cell>
          <cell r="C319">
            <v>0</v>
          </cell>
          <cell r="D319">
            <v>0</v>
          </cell>
          <cell r="E319">
            <v>0</v>
          </cell>
        </row>
        <row r="320">
          <cell r="A320" t="str">
            <v>800QT000</v>
          </cell>
          <cell r="B320" t="str">
            <v>Quart - DISCONTINUED. See New Item #802</v>
          </cell>
          <cell r="C320">
            <v>0</v>
          </cell>
          <cell r="D320">
            <v>0</v>
          </cell>
          <cell r="E320">
            <v>0</v>
          </cell>
        </row>
        <row r="321">
          <cell r="A321" t="str">
            <v>800GL000</v>
          </cell>
          <cell r="B321" t="str">
            <v>Gallon - DISCONTINUED. See New Item #802</v>
          </cell>
          <cell r="C321">
            <v>0</v>
          </cell>
          <cell r="D321">
            <v>0</v>
          </cell>
          <cell r="E321">
            <v>0</v>
          </cell>
        </row>
        <row r="322">
          <cell r="A322">
            <v>802</v>
          </cell>
          <cell r="B322" t="str">
            <v>Angelus #2 Dry Cleaner</v>
          </cell>
          <cell r="C322"/>
          <cell r="D322"/>
          <cell r="E322"/>
        </row>
        <row r="323">
          <cell r="A323" t="str">
            <v>802E04000</v>
          </cell>
          <cell r="B323" t="str">
            <v>4 oz. Each</v>
          </cell>
          <cell r="C323">
            <v>3.47</v>
          </cell>
          <cell r="D323">
            <v>2.95</v>
          </cell>
          <cell r="E323">
            <v>1.54</v>
          </cell>
        </row>
        <row r="324">
          <cell r="A324">
            <v>80204000</v>
          </cell>
          <cell r="B324" t="str">
            <v>4 oz. Dozen</v>
          </cell>
          <cell r="C324">
            <v>37.799999999999997</v>
          </cell>
          <cell r="D324">
            <v>32.130000000000003</v>
          </cell>
          <cell r="E324">
            <v>16.8</v>
          </cell>
        </row>
        <row r="325">
          <cell r="A325" t="str">
            <v>802PT000</v>
          </cell>
          <cell r="B325" t="str">
            <v>Pint</v>
          </cell>
          <cell r="C325">
            <v>11.25</v>
          </cell>
          <cell r="D325">
            <v>9.56</v>
          </cell>
          <cell r="E325">
            <v>5</v>
          </cell>
        </row>
        <row r="326">
          <cell r="A326" t="str">
            <v>802QT000</v>
          </cell>
          <cell r="B326" t="str">
            <v>Quart</v>
          </cell>
          <cell r="C326">
            <v>16.649999999999999</v>
          </cell>
          <cell r="D326">
            <v>14.15</v>
          </cell>
          <cell r="E326">
            <v>7.4</v>
          </cell>
        </row>
        <row r="327">
          <cell r="A327" t="str">
            <v>802GL000</v>
          </cell>
          <cell r="B327" t="str">
            <v>Gallon</v>
          </cell>
          <cell r="C327">
            <v>44.55</v>
          </cell>
          <cell r="D327">
            <v>37.869999999999997</v>
          </cell>
          <cell r="E327">
            <v>19.8</v>
          </cell>
        </row>
        <row r="328">
          <cell r="A328">
            <v>810</v>
          </cell>
          <cell r="B328" t="str">
            <v>Angelus Shoe &amp; Handbag Shampoo</v>
          </cell>
          <cell r="C328"/>
          <cell r="D328"/>
          <cell r="E328"/>
        </row>
        <row r="329">
          <cell r="A329" t="str">
            <v>810E03000</v>
          </cell>
          <cell r="B329" t="str">
            <v>3 oz. Each</v>
          </cell>
          <cell r="C329" t="str">
            <v>n/a at present time</v>
          </cell>
          <cell r="D329" t="str">
            <v>n/a at present time</v>
          </cell>
          <cell r="E329" t="str">
            <v>n/a at present time</v>
          </cell>
        </row>
        <row r="330">
          <cell r="A330">
            <v>81003000</v>
          </cell>
          <cell r="B330" t="str">
            <v>3 oz. Dozen</v>
          </cell>
          <cell r="C330" t="str">
            <v>n/a at present time</v>
          </cell>
          <cell r="D330" t="str">
            <v>n/a at present time</v>
          </cell>
          <cell r="E330" t="str">
            <v>n/a at present time</v>
          </cell>
        </row>
        <row r="331">
          <cell r="A331" t="str">
            <v>810QT000</v>
          </cell>
          <cell r="B331" t="str">
            <v>Quart</v>
          </cell>
          <cell r="C331" t="str">
            <v>n/a at present time</v>
          </cell>
          <cell r="D331" t="str">
            <v>n/a at present time</v>
          </cell>
          <cell r="E331" t="str">
            <v>n/a at present time</v>
          </cell>
        </row>
        <row r="332">
          <cell r="A332" t="str">
            <v>810GL000</v>
          </cell>
          <cell r="B332" t="str">
            <v>Gallon</v>
          </cell>
          <cell r="C332" t="str">
            <v>n/a at present time</v>
          </cell>
          <cell r="D332" t="str">
            <v>n/a at present time</v>
          </cell>
          <cell r="E332" t="str">
            <v>n/a at present time</v>
          </cell>
        </row>
        <row r="333">
          <cell r="A333">
            <v>811</v>
          </cell>
          <cell r="B333" t="str">
            <v>Angelus Easy Gel Cleaner</v>
          </cell>
          <cell r="C333"/>
          <cell r="D333"/>
          <cell r="E333"/>
        </row>
        <row r="334">
          <cell r="A334" t="str">
            <v>811E03000</v>
          </cell>
          <cell r="B334" t="str">
            <v>3 oz. Each</v>
          </cell>
          <cell r="C334">
            <v>3.71</v>
          </cell>
          <cell r="D334">
            <v>3.16</v>
          </cell>
          <cell r="E334">
            <v>1.65</v>
          </cell>
        </row>
        <row r="335">
          <cell r="A335">
            <v>81103000</v>
          </cell>
          <cell r="B335" t="str">
            <v>3 oz. Dozen</v>
          </cell>
          <cell r="C335">
            <v>40.5</v>
          </cell>
          <cell r="D335">
            <v>34.43</v>
          </cell>
          <cell r="E335">
            <v>18</v>
          </cell>
        </row>
        <row r="336">
          <cell r="A336" t="str">
            <v>811QT000</v>
          </cell>
          <cell r="B336" t="str">
            <v>Quart</v>
          </cell>
          <cell r="C336">
            <v>18</v>
          </cell>
          <cell r="D336">
            <v>15.3</v>
          </cell>
          <cell r="E336">
            <v>8</v>
          </cell>
        </row>
        <row r="337">
          <cell r="A337" t="str">
            <v>811GL000</v>
          </cell>
          <cell r="B337" t="str">
            <v>Gallon</v>
          </cell>
          <cell r="C337">
            <v>49.5</v>
          </cell>
          <cell r="D337">
            <v>42.08</v>
          </cell>
          <cell r="E337">
            <v>22</v>
          </cell>
        </row>
        <row r="338">
          <cell r="A338">
            <v>815</v>
          </cell>
          <cell r="B338" t="str">
            <v>Angelus Blue Foam Cleaner</v>
          </cell>
          <cell r="C338"/>
          <cell r="D338"/>
          <cell r="E338"/>
        </row>
        <row r="339">
          <cell r="A339" t="str">
            <v>815E08000</v>
          </cell>
          <cell r="B339" t="str">
            <v>8 oz. Each</v>
          </cell>
          <cell r="C339">
            <v>2.86</v>
          </cell>
          <cell r="D339">
            <v>2.4300000000000002</v>
          </cell>
          <cell r="E339">
            <v>1.27</v>
          </cell>
        </row>
        <row r="340">
          <cell r="A340">
            <v>81508000</v>
          </cell>
          <cell r="B340" t="str">
            <v>8 oz. Dozen</v>
          </cell>
          <cell r="C340">
            <v>31.05</v>
          </cell>
          <cell r="D340">
            <v>26.39</v>
          </cell>
          <cell r="E340">
            <v>13.8</v>
          </cell>
        </row>
        <row r="341">
          <cell r="A341" t="str">
            <v>815QT000</v>
          </cell>
          <cell r="B341" t="str">
            <v>Quart</v>
          </cell>
          <cell r="C341">
            <v>13.5</v>
          </cell>
          <cell r="D341">
            <v>11.48</v>
          </cell>
          <cell r="E341">
            <v>6</v>
          </cell>
        </row>
        <row r="342">
          <cell r="A342" t="str">
            <v>815GL000</v>
          </cell>
          <cell r="B342" t="str">
            <v>Gallon</v>
          </cell>
          <cell r="C342">
            <v>31.5</v>
          </cell>
          <cell r="D342">
            <v>26.78</v>
          </cell>
          <cell r="E342">
            <v>14</v>
          </cell>
        </row>
        <row r="343">
          <cell r="A343">
            <v>816</v>
          </cell>
          <cell r="B343" t="str">
            <v>Angelus All Purpose Cleaner</v>
          </cell>
          <cell r="C343"/>
          <cell r="D343"/>
          <cell r="E343"/>
        </row>
        <row r="344">
          <cell r="A344" t="str">
            <v>816E04000</v>
          </cell>
          <cell r="B344" t="str">
            <v>4 oz. Each</v>
          </cell>
          <cell r="C344" t="str">
            <v>n/a at present time</v>
          </cell>
          <cell r="D344" t="str">
            <v>n/a at present time</v>
          </cell>
          <cell r="E344" t="str">
            <v>n/a at present time</v>
          </cell>
        </row>
        <row r="345">
          <cell r="A345">
            <v>81604000</v>
          </cell>
          <cell r="B345" t="str">
            <v>4 oz. Dozen</v>
          </cell>
          <cell r="C345" t="str">
            <v>n/a at present time</v>
          </cell>
          <cell r="D345" t="str">
            <v>n/a at present time</v>
          </cell>
          <cell r="E345" t="str">
            <v>n/a at present time</v>
          </cell>
        </row>
        <row r="346">
          <cell r="A346" t="str">
            <v>816E08000</v>
          </cell>
          <cell r="B346" t="str">
            <v>8 oz. Each</v>
          </cell>
          <cell r="C346" t="str">
            <v>n/a at present time</v>
          </cell>
          <cell r="D346" t="str">
            <v>n/a at present time</v>
          </cell>
          <cell r="E346" t="str">
            <v>n/a at present time</v>
          </cell>
        </row>
        <row r="347">
          <cell r="A347">
            <v>81608000</v>
          </cell>
          <cell r="B347" t="str">
            <v>8 oz. Dozen</v>
          </cell>
          <cell r="C347" t="str">
            <v>n/a at present time</v>
          </cell>
          <cell r="D347" t="str">
            <v>n/a at present time</v>
          </cell>
          <cell r="E347" t="str">
            <v>n/a at present time</v>
          </cell>
        </row>
        <row r="348">
          <cell r="A348" t="str">
            <v>816QT000</v>
          </cell>
          <cell r="B348" t="str">
            <v>Quart</v>
          </cell>
          <cell r="C348" t="str">
            <v>n/a at present time</v>
          </cell>
          <cell r="D348" t="str">
            <v>n/a at present time</v>
          </cell>
          <cell r="E348" t="str">
            <v>n/a at present time</v>
          </cell>
        </row>
        <row r="349">
          <cell r="A349" t="str">
            <v>816QTGL</v>
          </cell>
          <cell r="B349" t="str">
            <v>Gallon</v>
          </cell>
          <cell r="C349" t="str">
            <v>n/a at present time</v>
          </cell>
          <cell r="D349" t="str">
            <v>n/a at present time</v>
          </cell>
          <cell r="E349" t="str">
            <v>n/a at present time</v>
          </cell>
        </row>
        <row r="350">
          <cell r="A350">
            <v>817</v>
          </cell>
          <cell r="B350" t="str">
            <v>Angelus Foam Powder Concentrate</v>
          </cell>
          <cell r="C350"/>
          <cell r="D350"/>
          <cell r="E350"/>
        </row>
        <row r="351">
          <cell r="A351" t="str">
            <v>817E06000</v>
          </cell>
          <cell r="B351" t="str">
            <v>6 oz. Each</v>
          </cell>
          <cell r="C351">
            <v>6.82</v>
          </cell>
          <cell r="D351">
            <v>5.79</v>
          </cell>
          <cell r="E351">
            <v>3.03</v>
          </cell>
        </row>
        <row r="352">
          <cell r="A352">
            <v>81706000</v>
          </cell>
          <cell r="B352" t="str">
            <v>6 oz. Dozen</v>
          </cell>
          <cell r="C352">
            <v>74.25</v>
          </cell>
          <cell r="D352">
            <v>63.11</v>
          </cell>
          <cell r="E352">
            <v>33</v>
          </cell>
        </row>
        <row r="353">
          <cell r="A353">
            <v>820</v>
          </cell>
          <cell r="B353" t="str">
            <v>Angelus Leather Preparer &amp; Deglazer</v>
          </cell>
          <cell r="C353"/>
          <cell r="D353"/>
          <cell r="E353"/>
        </row>
        <row r="354">
          <cell r="A354" t="str">
            <v>820E01000</v>
          </cell>
          <cell r="B354" t="str">
            <v>1 oz. Each</v>
          </cell>
          <cell r="C354">
            <v>2.12</v>
          </cell>
          <cell r="D354">
            <v>1.8</v>
          </cell>
          <cell r="E354">
            <v>0.93</v>
          </cell>
        </row>
        <row r="355">
          <cell r="A355">
            <v>82001000</v>
          </cell>
          <cell r="B355" t="str">
            <v>1 oz. Dozen</v>
          </cell>
          <cell r="C355">
            <v>22.95</v>
          </cell>
          <cell r="D355">
            <v>19.510000000000002</v>
          </cell>
          <cell r="E355">
            <v>10.199999999999999</v>
          </cell>
        </row>
        <row r="356">
          <cell r="A356" t="str">
            <v>820E04000</v>
          </cell>
          <cell r="B356" t="str">
            <v>4 oz. NOW 5floz/147ml</v>
          </cell>
          <cell r="C356">
            <v>4.12</v>
          </cell>
          <cell r="D356">
            <v>3.5</v>
          </cell>
          <cell r="E356">
            <v>1.83</v>
          </cell>
        </row>
        <row r="357">
          <cell r="A357">
            <v>82004000</v>
          </cell>
          <cell r="B357" t="str">
            <v>4 oz. - Dozen NOW 5floz/147ml</v>
          </cell>
          <cell r="C357">
            <v>45</v>
          </cell>
          <cell r="D357">
            <v>38.25</v>
          </cell>
          <cell r="E357">
            <v>20</v>
          </cell>
        </row>
        <row r="358">
          <cell r="A358" t="str">
            <v>820PT000</v>
          </cell>
          <cell r="B358" t="str">
            <v>Pint</v>
          </cell>
          <cell r="C358">
            <v>13.05</v>
          </cell>
          <cell r="D358">
            <v>11.09</v>
          </cell>
          <cell r="E358">
            <v>5.8</v>
          </cell>
        </row>
        <row r="359">
          <cell r="A359" t="str">
            <v>820QT000</v>
          </cell>
          <cell r="B359" t="str">
            <v>Quart</v>
          </cell>
          <cell r="C359">
            <v>18</v>
          </cell>
          <cell r="D359">
            <v>15.3</v>
          </cell>
          <cell r="E359">
            <v>8</v>
          </cell>
        </row>
        <row r="360">
          <cell r="A360" t="str">
            <v>820GL000</v>
          </cell>
          <cell r="B360" t="str">
            <v>Gallon</v>
          </cell>
          <cell r="C360">
            <v>43.65</v>
          </cell>
          <cell r="D360">
            <v>37.1</v>
          </cell>
          <cell r="E360">
            <v>19.399999999999999</v>
          </cell>
        </row>
        <row r="361">
          <cell r="A361">
            <v>822</v>
          </cell>
          <cell r="B361" t="str">
            <v>Angelus #2 Deglazer</v>
          </cell>
          <cell r="C361"/>
          <cell r="D361"/>
          <cell r="E361"/>
        </row>
        <row r="362">
          <cell r="A362" t="str">
            <v>822QT000</v>
          </cell>
          <cell r="B362" t="str">
            <v>Quart</v>
          </cell>
          <cell r="C362">
            <v>13.5</v>
          </cell>
          <cell r="D362">
            <v>11.48</v>
          </cell>
          <cell r="E362">
            <v>6</v>
          </cell>
        </row>
        <row r="363">
          <cell r="A363" t="str">
            <v>822GL000</v>
          </cell>
          <cell r="B363" t="str">
            <v>Gallon</v>
          </cell>
          <cell r="C363">
            <v>37.799999999999997</v>
          </cell>
          <cell r="D363">
            <v>32.130000000000003</v>
          </cell>
          <cell r="E363">
            <v>16.8</v>
          </cell>
        </row>
        <row r="364">
          <cell r="A364">
            <v>840</v>
          </cell>
          <cell r="B364" t="str">
            <v>Angelus Easy Cleaner</v>
          </cell>
          <cell r="C364"/>
          <cell r="D364"/>
          <cell r="E364"/>
        </row>
        <row r="365">
          <cell r="A365" t="str">
            <v>840E08000</v>
          </cell>
          <cell r="B365" t="str">
            <v>8 oz. Each</v>
          </cell>
          <cell r="C365">
            <v>4.12</v>
          </cell>
          <cell r="D365">
            <v>3.5</v>
          </cell>
          <cell r="E365">
            <v>1.83</v>
          </cell>
        </row>
        <row r="366">
          <cell r="A366">
            <v>84008000</v>
          </cell>
          <cell r="B366" t="str">
            <v>8 oz. Dozen</v>
          </cell>
          <cell r="C366">
            <v>45</v>
          </cell>
          <cell r="D366">
            <v>38.25</v>
          </cell>
          <cell r="E366">
            <v>20</v>
          </cell>
        </row>
        <row r="367">
          <cell r="A367" t="str">
            <v>840QT000</v>
          </cell>
          <cell r="B367" t="str">
            <v>Quart</v>
          </cell>
          <cell r="C367">
            <v>16.88</v>
          </cell>
          <cell r="D367">
            <v>14.34</v>
          </cell>
          <cell r="E367">
            <v>7.5</v>
          </cell>
        </row>
        <row r="368">
          <cell r="A368" t="str">
            <v>840GL000</v>
          </cell>
          <cell r="B368" t="str">
            <v>Gallon</v>
          </cell>
          <cell r="C368">
            <v>40.5</v>
          </cell>
          <cell r="D368">
            <v>34.43</v>
          </cell>
          <cell r="E368">
            <v>18</v>
          </cell>
        </row>
        <row r="369">
          <cell r="A369" t="str">
            <v>84008KIT</v>
          </cell>
          <cell r="B369" t="str">
            <v>Easy Cleaner Kit - 3 pc set</v>
          </cell>
          <cell r="C369">
            <v>12.15</v>
          </cell>
          <cell r="D369">
            <v>10.33</v>
          </cell>
          <cell r="E369">
            <v>5.4</v>
          </cell>
        </row>
        <row r="370">
          <cell r="A370">
            <v>841</v>
          </cell>
          <cell r="B370" t="str">
            <v>Angelus Instant Clean w/ Scrubber Top Bottle</v>
          </cell>
          <cell r="C370"/>
          <cell r="D370"/>
          <cell r="E370"/>
        </row>
        <row r="371">
          <cell r="A371" t="str">
            <v>841E03000</v>
          </cell>
          <cell r="B371" t="str">
            <v>3 oz. Each</v>
          </cell>
          <cell r="C371">
            <v>3.47</v>
          </cell>
          <cell r="D371">
            <v>2.95</v>
          </cell>
          <cell r="E371">
            <v>1.54</v>
          </cell>
        </row>
        <row r="372">
          <cell r="A372">
            <v>84103000</v>
          </cell>
          <cell r="B372" t="str">
            <v>3 oz. Dozen</v>
          </cell>
          <cell r="C372">
            <v>37.799999999999997</v>
          </cell>
          <cell r="D372">
            <v>32.130000000000003</v>
          </cell>
          <cell r="E372">
            <v>16.8</v>
          </cell>
        </row>
        <row r="373">
          <cell r="A373">
            <v>842</v>
          </cell>
          <cell r="B373" t="str">
            <v>Angelus Foam-Tex Gentle Foaming Cleaner</v>
          </cell>
          <cell r="C373"/>
          <cell r="D373"/>
          <cell r="E373"/>
        </row>
        <row r="374">
          <cell r="A374" t="str">
            <v>842E05000</v>
          </cell>
          <cell r="B374" t="str">
            <v>5.7 oz. Each</v>
          </cell>
          <cell r="C374">
            <v>3.47</v>
          </cell>
          <cell r="D374">
            <v>2.95</v>
          </cell>
          <cell r="E374">
            <v>1.54</v>
          </cell>
        </row>
        <row r="375">
          <cell r="A375">
            <v>84205000</v>
          </cell>
          <cell r="B375" t="str">
            <v>5.7 oz. Dozen</v>
          </cell>
          <cell r="C375">
            <v>37.799999999999997</v>
          </cell>
          <cell r="D375">
            <v>32.130000000000003</v>
          </cell>
          <cell r="E375">
            <v>16.8</v>
          </cell>
        </row>
        <row r="376">
          <cell r="A376" t="str">
            <v>842E08000</v>
          </cell>
          <cell r="B376" t="str">
            <v>8 oz. Each</v>
          </cell>
          <cell r="C376"/>
          <cell r="D376"/>
          <cell r="E376">
            <v>0</v>
          </cell>
        </row>
        <row r="377">
          <cell r="A377">
            <v>84208000</v>
          </cell>
          <cell r="B377" t="str">
            <v>8 oz Dozen</v>
          </cell>
          <cell r="C377"/>
          <cell r="D377"/>
          <cell r="E377">
            <v>0</v>
          </cell>
        </row>
        <row r="378">
          <cell r="A378" t="str">
            <v>852QT000</v>
          </cell>
          <cell r="B378" t="str">
            <v>Quart</v>
          </cell>
          <cell r="C378"/>
          <cell r="D378"/>
          <cell r="E378">
            <v>7.2</v>
          </cell>
        </row>
        <row r="379">
          <cell r="A379" t="str">
            <v>84205KIT</v>
          </cell>
          <cell r="B379" t="str">
            <v>Foam-Tex Kit - 3 pc set</v>
          </cell>
          <cell r="C379">
            <v>15.75</v>
          </cell>
          <cell r="D379">
            <v>13.39</v>
          </cell>
          <cell r="E379">
            <v>7</v>
          </cell>
        </row>
        <row r="380">
          <cell r="A380" t="str">
            <v>842GL000</v>
          </cell>
          <cell r="B380" t="str">
            <v>Gallon</v>
          </cell>
          <cell r="C380">
            <v>29.7</v>
          </cell>
          <cell r="D380">
            <v>25.25</v>
          </cell>
          <cell r="E380">
            <v>13.2</v>
          </cell>
        </row>
        <row r="381">
          <cell r="A381">
            <v>843</v>
          </cell>
          <cell r="B381" t="str">
            <v>Angelus Brush Cleaner</v>
          </cell>
          <cell r="C381"/>
          <cell r="D381"/>
          <cell r="E381"/>
        </row>
        <row r="382">
          <cell r="A382" t="str">
            <v>843E08000</v>
          </cell>
          <cell r="B382" t="str">
            <v>8 oz. Each</v>
          </cell>
          <cell r="C382">
            <v>6.75</v>
          </cell>
          <cell r="D382">
            <v>5.74</v>
          </cell>
          <cell r="E382">
            <v>3</v>
          </cell>
        </row>
        <row r="383">
          <cell r="A383" t="str">
            <v>84308DZ000</v>
          </cell>
          <cell r="B383" t="str">
            <v>8 oz. Dozen</v>
          </cell>
          <cell r="C383">
            <v>74.25</v>
          </cell>
          <cell r="D383">
            <v>63.11</v>
          </cell>
          <cell r="E383">
            <v>33</v>
          </cell>
        </row>
        <row r="384">
          <cell r="A384">
            <v>845</v>
          </cell>
          <cell r="B384" t="str">
            <v>Angelus All Purpose Foam Cleaner - Aerosol</v>
          </cell>
          <cell r="C384"/>
          <cell r="D384"/>
          <cell r="E384"/>
        </row>
        <row r="385">
          <cell r="A385" t="str">
            <v>845E05000</v>
          </cell>
          <cell r="B385" t="str">
            <v>5.5 oz. Each - Aerosol</v>
          </cell>
          <cell r="C385">
            <v>5.36</v>
          </cell>
          <cell r="D385">
            <v>4.55</v>
          </cell>
          <cell r="E385">
            <v>2.39</v>
          </cell>
        </row>
        <row r="386">
          <cell r="A386">
            <v>84505000</v>
          </cell>
          <cell r="B386" t="str">
            <v>5.5 oz. Dozen - Aerosol</v>
          </cell>
          <cell r="C386">
            <v>58.5</v>
          </cell>
          <cell r="D386">
            <v>49.73</v>
          </cell>
          <cell r="E386">
            <v>26</v>
          </cell>
        </row>
        <row r="387">
          <cell r="A387">
            <v>850</v>
          </cell>
          <cell r="B387" t="str">
            <v>Angelus Silicone Water Repellant</v>
          </cell>
          <cell r="C387"/>
          <cell r="D387"/>
          <cell r="E387"/>
        </row>
        <row r="388">
          <cell r="A388" t="str">
            <v>850E04000</v>
          </cell>
          <cell r="B388" t="str">
            <v>4 oz. Each</v>
          </cell>
          <cell r="C388">
            <v>4.84</v>
          </cell>
          <cell r="D388">
            <v>4.1100000000000003</v>
          </cell>
          <cell r="E388">
            <v>2.15</v>
          </cell>
        </row>
        <row r="389">
          <cell r="A389">
            <v>85004000</v>
          </cell>
          <cell r="B389" t="str">
            <v>4 oz. Dozen</v>
          </cell>
          <cell r="C389">
            <v>52.65</v>
          </cell>
          <cell r="D389">
            <v>44.75</v>
          </cell>
          <cell r="E389">
            <v>23.4</v>
          </cell>
        </row>
        <row r="390">
          <cell r="A390" t="str">
            <v>850QT000</v>
          </cell>
          <cell r="B390" t="str">
            <v>Quart</v>
          </cell>
          <cell r="C390">
            <v>20.7</v>
          </cell>
          <cell r="D390">
            <v>17.600000000000001</v>
          </cell>
          <cell r="E390">
            <v>9.1999999999999993</v>
          </cell>
        </row>
        <row r="391">
          <cell r="A391" t="str">
            <v>850GL000</v>
          </cell>
          <cell r="B391" t="str">
            <v>Gallon</v>
          </cell>
          <cell r="C391">
            <v>58.05</v>
          </cell>
          <cell r="D391">
            <v>49.34</v>
          </cell>
          <cell r="E391">
            <v>25.8</v>
          </cell>
        </row>
        <row r="392">
          <cell r="A392">
            <v>851</v>
          </cell>
          <cell r="B392" t="str">
            <v>Angelus Water &amp; Stain Repellent</v>
          </cell>
          <cell r="C392"/>
          <cell r="D392"/>
          <cell r="E392"/>
        </row>
        <row r="393">
          <cell r="A393" t="str">
            <v>851E04000</v>
          </cell>
          <cell r="B393" t="str">
            <v>4 oz. Each - Pump Spray - Non-Flammable</v>
          </cell>
          <cell r="C393">
            <v>4.55</v>
          </cell>
          <cell r="D393">
            <v>3.86</v>
          </cell>
          <cell r="E393">
            <v>2.02</v>
          </cell>
        </row>
        <row r="394">
          <cell r="A394">
            <v>85104000</v>
          </cell>
          <cell r="B394" t="str">
            <v>4 oz. Dozen - Pump Spray - Non-Flammable</v>
          </cell>
          <cell r="C394">
            <v>49.5</v>
          </cell>
          <cell r="D394">
            <v>42.08</v>
          </cell>
          <cell r="E394">
            <v>22</v>
          </cell>
        </row>
        <row r="395">
          <cell r="A395" t="str">
            <v>851EWS000</v>
          </cell>
          <cell r="B395" t="str">
            <v>5.5 oz. Each - Aerosol</v>
          </cell>
          <cell r="C395">
            <v>5.78</v>
          </cell>
          <cell r="D395">
            <v>4.92</v>
          </cell>
          <cell r="E395">
            <v>2.57</v>
          </cell>
        </row>
        <row r="396">
          <cell r="A396" t="str">
            <v>851WS000</v>
          </cell>
          <cell r="B396" t="str">
            <v>5.5 oz. Dozen - Aerosol</v>
          </cell>
          <cell r="C396">
            <v>63</v>
          </cell>
          <cell r="D396">
            <v>53.55</v>
          </cell>
          <cell r="E396">
            <v>28</v>
          </cell>
        </row>
        <row r="397">
          <cell r="A397" t="str">
            <v>851GL000</v>
          </cell>
          <cell r="B397" t="str">
            <v>Gallon - Pump Formula - Non-Flammable</v>
          </cell>
          <cell r="C397">
            <v>63</v>
          </cell>
          <cell r="D397">
            <v>53.55</v>
          </cell>
          <cell r="E397">
            <v>28</v>
          </cell>
        </row>
        <row r="398">
          <cell r="A398">
            <v>852</v>
          </cell>
          <cell r="B398" t="str">
            <v>Angelus Boot Spray</v>
          </cell>
          <cell r="C398"/>
          <cell r="D398"/>
          <cell r="E398"/>
        </row>
        <row r="399">
          <cell r="A399" t="str">
            <v>852E05000</v>
          </cell>
          <cell r="B399" t="str">
            <v>5.5 oz. Each - Aerosol</v>
          </cell>
          <cell r="C399">
            <v>5.78</v>
          </cell>
          <cell r="D399">
            <v>4.92</v>
          </cell>
          <cell r="E399">
            <v>2.57</v>
          </cell>
        </row>
        <row r="400">
          <cell r="A400">
            <v>85205000</v>
          </cell>
          <cell r="B400" t="str">
            <v>5.5 oz. Dozen - Aerosol</v>
          </cell>
          <cell r="C400">
            <v>63</v>
          </cell>
          <cell r="D400">
            <v>53.55</v>
          </cell>
          <cell r="E400">
            <v>28</v>
          </cell>
        </row>
        <row r="401">
          <cell r="A401">
            <v>853</v>
          </cell>
          <cell r="B401" t="str">
            <v>Angelus Desalter</v>
          </cell>
          <cell r="C401"/>
          <cell r="D401"/>
          <cell r="E401"/>
        </row>
        <row r="402">
          <cell r="A402" t="str">
            <v>853E04000</v>
          </cell>
          <cell r="B402" t="str">
            <v>4 oz. Each</v>
          </cell>
          <cell r="C402">
            <v>3.6</v>
          </cell>
          <cell r="D402">
            <v>3.06</v>
          </cell>
          <cell r="E402">
            <v>1.59</v>
          </cell>
        </row>
        <row r="403">
          <cell r="A403">
            <v>85304000</v>
          </cell>
          <cell r="B403" t="str">
            <v>4 oz. Dozen</v>
          </cell>
          <cell r="C403">
            <v>39.15</v>
          </cell>
          <cell r="D403">
            <v>33.28</v>
          </cell>
          <cell r="E403">
            <v>17.399999999999999</v>
          </cell>
        </row>
        <row r="404">
          <cell r="A404" t="str">
            <v>853QT000</v>
          </cell>
          <cell r="B404" t="str">
            <v>Quart</v>
          </cell>
          <cell r="C404">
            <v>13.5</v>
          </cell>
          <cell r="D404">
            <v>11.48</v>
          </cell>
          <cell r="E404">
            <v>6</v>
          </cell>
        </row>
        <row r="405">
          <cell r="A405" t="str">
            <v>853GL000</v>
          </cell>
          <cell r="B405" t="str">
            <v>Gallon</v>
          </cell>
          <cell r="C405">
            <v>39.15</v>
          </cell>
          <cell r="D405">
            <v>33.28</v>
          </cell>
          <cell r="E405">
            <v>17.399999999999999</v>
          </cell>
        </row>
        <row r="406">
          <cell r="A406">
            <v>861</v>
          </cell>
          <cell r="B406" t="str">
            <v>Angelus Leather Dye Reducer / Solvent</v>
          </cell>
          <cell r="C406"/>
          <cell r="D406"/>
          <cell r="E406"/>
        </row>
        <row r="407">
          <cell r="A407" t="str">
            <v>861E04000</v>
          </cell>
          <cell r="B407" t="str">
            <v>4 oz. Each</v>
          </cell>
          <cell r="C407">
            <v>3.47</v>
          </cell>
          <cell r="D407">
            <v>2.95</v>
          </cell>
          <cell r="E407">
            <v>1.54</v>
          </cell>
        </row>
        <row r="408">
          <cell r="A408">
            <v>86104000</v>
          </cell>
          <cell r="B408" t="str">
            <v>4 oz. Dozen</v>
          </cell>
          <cell r="C408">
            <v>37.799999999999997</v>
          </cell>
          <cell r="D408">
            <v>32.130000000000003</v>
          </cell>
          <cell r="E408">
            <v>16.8</v>
          </cell>
        </row>
        <row r="409">
          <cell r="A409" t="str">
            <v>861PT000</v>
          </cell>
          <cell r="B409" t="str">
            <v>Pint</v>
          </cell>
          <cell r="C409">
            <v>10.130000000000001</v>
          </cell>
          <cell r="D409">
            <v>8.61</v>
          </cell>
          <cell r="E409">
            <v>4.5</v>
          </cell>
        </row>
        <row r="410">
          <cell r="A410" t="str">
            <v>861QT000</v>
          </cell>
          <cell r="B410" t="str">
            <v>Quart</v>
          </cell>
          <cell r="C410">
            <v>13.5</v>
          </cell>
          <cell r="D410">
            <v>11.48</v>
          </cell>
          <cell r="E410">
            <v>6</v>
          </cell>
        </row>
        <row r="411">
          <cell r="A411" t="str">
            <v>861GL000</v>
          </cell>
          <cell r="B411" t="str">
            <v>Gallon</v>
          </cell>
          <cell r="C411">
            <v>39.15</v>
          </cell>
          <cell r="D411">
            <v>33.28</v>
          </cell>
          <cell r="E411">
            <v>17.399999999999999</v>
          </cell>
        </row>
        <row r="412">
          <cell r="A412">
            <v>862</v>
          </cell>
          <cell r="B412" t="str">
            <v>Angelus All Purpose Cement Thinner</v>
          </cell>
          <cell r="C412"/>
          <cell r="D412"/>
          <cell r="E412"/>
        </row>
        <row r="413">
          <cell r="A413" t="str">
            <v>862QT000</v>
          </cell>
          <cell r="B413" t="str">
            <v>Quart</v>
          </cell>
          <cell r="C413">
            <v>13.95</v>
          </cell>
          <cell r="D413">
            <v>11.86</v>
          </cell>
          <cell r="E413">
            <v>6.2</v>
          </cell>
        </row>
        <row r="414">
          <cell r="A414" t="str">
            <v>862GL000</v>
          </cell>
          <cell r="B414" t="str">
            <v>Gallon</v>
          </cell>
          <cell r="C414">
            <v>37.799999999999997</v>
          </cell>
          <cell r="D414">
            <v>32.130000000000003</v>
          </cell>
          <cell r="E414">
            <v>16.8</v>
          </cell>
        </row>
        <row r="415">
          <cell r="A415">
            <v>864</v>
          </cell>
          <cell r="B415" t="str">
            <v>Angelus Acetone</v>
          </cell>
          <cell r="C415"/>
          <cell r="D415"/>
          <cell r="E415"/>
        </row>
        <row r="416">
          <cell r="A416" t="str">
            <v>864QT000</v>
          </cell>
          <cell r="B416" t="str">
            <v>Quart</v>
          </cell>
          <cell r="C416">
            <v>13.5</v>
          </cell>
          <cell r="D416">
            <v>11.48</v>
          </cell>
          <cell r="E416">
            <v>6</v>
          </cell>
        </row>
        <row r="417">
          <cell r="A417" t="str">
            <v>864GL000</v>
          </cell>
          <cell r="B417" t="str">
            <v>Gallon</v>
          </cell>
          <cell r="C417">
            <v>36</v>
          </cell>
          <cell r="D417">
            <v>30.6</v>
          </cell>
          <cell r="E417">
            <v>16</v>
          </cell>
        </row>
        <row r="418">
          <cell r="A418">
            <v>870</v>
          </cell>
          <cell r="B418" t="str">
            <v>Angelus Professional Shoe Stretch Pump</v>
          </cell>
          <cell r="C418"/>
          <cell r="D418"/>
          <cell r="E418"/>
        </row>
        <row r="419">
          <cell r="A419" t="str">
            <v>870E02000</v>
          </cell>
          <cell r="B419" t="str">
            <v>2 oz. Each</v>
          </cell>
          <cell r="C419">
            <v>2.12</v>
          </cell>
          <cell r="D419">
            <v>1.8</v>
          </cell>
          <cell r="E419">
            <v>0.93</v>
          </cell>
        </row>
        <row r="420">
          <cell r="A420">
            <v>87002000</v>
          </cell>
          <cell r="B420" t="str">
            <v>2 oz. - Dozen</v>
          </cell>
          <cell r="C420">
            <v>22.95</v>
          </cell>
          <cell r="D420">
            <v>19.510000000000002</v>
          </cell>
          <cell r="E420">
            <v>10.199999999999999</v>
          </cell>
        </row>
        <row r="421">
          <cell r="A421" t="str">
            <v>870E04000</v>
          </cell>
          <cell r="B421" t="str">
            <v>4 oz. Each</v>
          </cell>
          <cell r="C421">
            <v>3.22</v>
          </cell>
          <cell r="D421">
            <v>2.73</v>
          </cell>
          <cell r="E421">
            <v>1.43</v>
          </cell>
        </row>
        <row r="422">
          <cell r="A422">
            <v>87004000</v>
          </cell>
          <cell r="B422" t="str">
            <v>4 oz. Dozen</v>
          </cell>
          <cell r="C422">
            <v>35.1</v>
          </cell>
          <cell r="D422">
            <v>29.84</v>
          </cell>
          <cell r="E422">
            <v>15.6</v>
          </cell>
        </row>
        <row r="423">
          <cell r="A423" t="str">
            <v>870QT000</v>
          </cell>
          <cell r="B423" t="str">
            <v>Quart</v>
          </cell>
          <cell r="C423">
            <v>11.25</v>
          </cell>
          <cell r="D423">
            <v>9.56</v>
          </cell>
          <cell r="E423">
            <v>5</v>
          </cell>
        </row>
        <row r="424">
          <cell r="A424" t="str">
            <v>870GL000</v>
          </cell>
          <cell r="B424" t="str">
            <v>Gallon</v>
          </cell>
          <cell r="C424">
            <v>29.7</v>
          </cell>
          <cell r="D424">
            <v>25.25</v>
          </cell>
          <cell r="E424">
            <v>13.2</v>
          </cell>
        </row>
        <row r="425">
          <cell r="A425">
            <v>875</v>
          </cell>
          <cell r="B425" t="str">
            <v>Angelus Deodorizer</v>
          </cell>
          <cell r="C425"/>
          <cell r="D425"/>
          <cell r="E425"/>
        </row>
        <row r="426">
          <cell r="A426" t="str">
            <v>875E04000</v>
          </cell>
          <cell r="B426" t="str">
            <v>4 oz. Each - Pump Spray</v>
          </cell>
          <cell r="C426">
            <v>4.46</v>
          </cell>
          <cell r="D426">
            <v>3.79</v>
          </cell>
          <cell r="E426">
            <v>2.11</v>
          </cell>
        </row>
        <row r="427">
          <cell r="A427">
            <v>87504000</v>
          </cell>
          <cell r="B427" t="str">
            <v>4 oz. Dozen - Pump Spray</v>
          </cell>
          <cell r="C427">
            <v>48.6</v>
          </cell>
          <cell r="D427">
            <v>41.31</v>
          </cell>
          <cell r="E427">
            <v>23.04</v>
          </cell>
        </row>
        <row r="428">
          <cell r="A428">
            <v>876</v>
          </cell>
          <cell r="B428" t="str">
            <v>Angelus Sole Bright</v>
          </cell>
          <cell r="C428"/>
          <cell r="D428"/>
          <cell r="E428"/>
        </row>
        <row r="429">
          <cell r="A429" t="str">
            <v>876E04000</v>
          </cell>
          <cell r="B429" t="str">
            <v>4 oz. Each</v>
          </cell>
          <cell r="C429">
            <v>9.9</v>
          </cell>
          <cell r="D429">
            <v>8.42</v>
          </cell>
          <cell r="E429">
            <v>4.4000000000000004</v>
          </cell>
        </row>
        <row r="430">
          <cell r="A430">
            <v>87604000</v>
          </cell>
          <cell r="B430" t="str">
            <v>4 oz. Dozen</v>
          </cell>
          <cell r="C430">
            <v>108</v>
          </cell>
          <cell r="D430">
            <v>91.8</v>
          </cell>
          <cell r="E430">
            <v>48</v>
          </cell>
        </row>
        <row r="431">
          <cell r="A431">
            <v>890</v>
          </cell>
          <cell r="B431" t="str">
            <v>Angelus Preparation Powder (Shoe Wash) PRO ONLY</v>
          </cell>
          <cell r="C431"/>
          <cell r="D431"/>
          <cell r="E431"/>
        </row>
        <row r="432">
          <cell r="A432" t="str">
            <v>890E03000</v>
          </cell>
          <cell r="B432" t="str">
            <v>3 oz. Each</v>
          </cell>
          <cell r="C432">
            <v>7.43</v>
          </cell>
          <cell r="D432">
            <v>6.31</v>
          </cell>
          <cell r="E432">
            <v>3.3</v>
          </cell>
        </row>
        <row r="433">
          <cell r="A433">
            <v>89003000</v>
          </cell>
          <cell r="B433" t="str">
            <v>3 oz. Dozen</v>
          </cell>
          <cell r="C433">
            <v>81</v>
          </cell>
          <cell r="D433">
            <v>68.849999999999994</v>
          </cell>
          <cell r="E433">
            <v>36</v>
          </cell>
        </row>
        <row r="434">
          <cell r="A434">
            <v>891</v>
          </cell>
          <cell r="B434" t="str">
            <v>Angelus Shoe Wash Liquid</v>
          </cell>
          <cell r="C434"/>
          <cell r="D434"/>
          <cell r="E434"/>
        </row>
        <row r="435">
          <cell r="A435" t="str">
            <v>891E08###</v>
          </cell>
          <cell r="B435" t="str">
            <v>8 oz. Each</v>
          </cell>
          <cell r="C435">
            <v>3.11</v>
          </cell>
          <cell r="D435">
            <v>2.64</v>
          </cell>
          <cell r="E435">
            <v>1.37</v>
          </cell>
        </row>
        <row r="436">
          <cell r="A436" t="str">
            <v>89108###</v>
          </cell>
          <cell r="B436" t="str">
            <v>8 oz. Dozen</v>
          </cell>
          <cell r="C436">
            <v>33.75</v>
          </cell>
          <cell r="D436">
            <v>28.69</v>
          </cell>
          <cell r="E436">
            <v>15</v>
          </cell>
        </row>
        <row r="437">
          <cell r="A437" t="str">
            <v>891GL###</v>
          </cell>
          <cell r="B437" t="str">
            <v>Gallon</v>
          </cell>
          <cell r="C437">
            <v>36</v>
          </cell>
          <cell r="D437">
            <v>30.6</v>
          </cell>
          <cell r="E437">
            <v>16</v>
          </cell>
        </row>
        <row r="438">
          <cell r="A438">
            <v>894</v>
          </cell>
          <cell r="B438" t="str">
            <v>Angelus Suede Renew</v>
          </cell>
          <cell r="C438"/>
          <cell r="D438"/>
          <cell r="E438"/>
        </row>
        <row r="439">
          <cell r="A439" t="str">
            <v>894E04000</v>
          </cell>
          <cell r="B439" t="str">
            <v>4 oz. Each - Pump Spray</v>
          </cell>
          <cell r="C439">
            <v>3.71</v>
          </cell>
          <cell r="D439">
            <v>3.16</v>
          </cell>
          <cell r="E439">
            <v>1.65</v>
          </cell>
        </row>
        <row r="440">
          <cell r="A440">
            <v>89404000</v>
          </cell>
          <cell r="B440" t="str">
            <v>4 oz. Dozen - Pump Spray</v>
          </cell>
          <cell r="C440">
            <v>40.5</v>
          </cell>
          <cell r="D440">
            <v>34.43</v>
          </cell>
          <cell r="E440">
            <v>18</v>
          </cell>
        </row>
        <row r="441">
          <cell r="A441">
            <v>895</v>
          </cell>
          <cell r="B441" t="str">
            <v>Angelus Suede and Nubuck Kit</v>
          </cell>
          <cell r="C441"/>
          <cell r="D441"/>
          <cell r="E441"/>
        </row>
        <row r="442">
          <cell r="A442">
            <v>89500000</v>
          </cell>
          <cell r="B442" t="str">
            <v>1 Kit</v>
          </cell>
          <cell r="C442">
            <v>4.5</v>
          </cell>
          <cell r="D442">
            <v>4</v>
          </cell>
          <cell r="E442">
            <v>2</v>
          </cell>
        </row>
        <row r="443">
          <cell r="A443">
            <v>991</v>
          </cell>
          <cell r="B443" t="str">
            <v>Angelus Mink Oil</v>
          </cell>
          <cell r="C443"/>
          <cell r="D443"/>
          <cell r="E443"/>
        </row>
        <row r="444">
          <cell r="A444" t="str">
            <v>991E03MO107</v>
          </cell>
          <cell r="B444" t="str">
            <v>3 oz. Each - Tub - Paste</v>
          </cell>
          <cell r="C444">
            <v>2.93</v>
          </cell>
          <cell r="D444">
            <v>2.4900000000000002</v>
          </cell>
          <cell r="E444">
            <v>1.3</v>
          </cell>
        </row>
        <row r="445">
          <cell r="A445" t="str">
            <v>99103MO107</v>
          </cell>
          <cell r="B445" t="str">
            <v>3 oz. Dozen - Tub - Paste</v>
          </cell>
          <cell r="C445">
            <v>31.86</v>
          </cell>
          <cell r="D445">
            <v>27.08</v>
          </cell>
          <cell r="E445">
            <v>14.16</v>
          </cell>
        </row>
        <row r="446">
          <cell r="A446" t="str">
            <v>991E03MO100</v>
          </cell>
          <cell r="B446" t="str">
            <v>3 oz. Each - Can - Paste</v>
          </cell>
          <cell r="C446">
            <v>3.47</v>
          </cell>
          <cell r="D446">
            <v>2.95</v>
          </cell>
          <cell r="E446">
            <v>1.54</v>
          </cell>
        </row>
        <row r="447">
          <cell r="A447" t="str">
            <v>99103MO100</v>
          </cell>
          <cell r="B447" t="str">
            <v>3 oz. Dozen - Can - Paste</v>
          </cell>
          <cell r="C447">
            <v>37.799999999999997</v>
          </cell>
          <cell r="D447">
            <v>32.130000000000003</v>
          </cell>
          <cell r="E447">
            <v>16.8</v>
          </cell>
        </row>
        <row r="448">
          <cell r="A448" t="str">
            <v>991E08MO105</v>
          </cell>
          <cell r="B448" t="str">
            <v>8 oz. Each - Tub - Paste</v>
          </cell>
          <cell r="C448">
            <v>4.95</v>
          </cell>
          <cell r="D448">
            <v>4.21</v>
          </cell>
          <cell r="E448">
            <v>2.2000000000000002</v>
          </cell>
        </row>
        <row r="449">
          <cell r="A449" t="str">
            <v>99108MO105</v>
          </cell>
          <cell r="B449" t="str">
            <v>8 oz. Dozen - Tub - Paste - Dozen</v>
          </cell>
          <cell r="C449">
            <v>54</v>
          </cell>
          <cell r="D449">
            <v>45.9</v>
          </cell>
          <cell r="E449">
            <v>24</v>
          </cell>
        </row>
        <row r="450">
          <cell r="A450" t="str">
            <v>991E08MO109</v>
          </cell>
          <cell r="B450" t="str">
            <v>8 oz. Each - Liquid</v>
          </cell>
          <cell r="C450">
            <v>4.95</v>
          </cell>
          <cell r="D450">
            <v>4.21</v>
          </cell>
          <cell r="E450">
            <v>2.2000000000000002</v>
          </cell>
        </row>
        <row r="451">
          <cell r="A451" t="str">
            <v>99108MO109</v>
          </cell>
          <cell r="B451" t="str">
            <v>8 oz. Each - Liquid - Dozen</v>
          </cell>
          <cell r="C451">
            <v>54</v>
          </cell>
          <cell r="D451">
            <v>45.9</v>
          </cell>
          <cell r="E451">
            <v>24</v>
          </cell>
        </row>
        <row r="452">
          <cell r="A452" t="str">
            <v>991QTMO109</v>
          </cell>
          <cell r="B452" t="str">
            <v>Quart - Liquid</v>
          </cell>
          <cell r="C452">
            <v>15.75</v>
          </cell>
          <cell r="D452">
            <v>13.39</v>
          </cell>
          <cell r="E452">
            <v>7</v>
          </cell>
        </row>
        <row r="453">
          <cell r="A453" t="str">
            <v>991GLMO109</v>
          </cell>
          <cell r="B453" t="str">
            <v>Gallon - Liquid</v>
          </cell>
          <cell r="C453">
            <v>45</v>
          </cell>
          <cell r="D453">
            <v>38.25</v>
          </cell>
          <cell r="E453">
            <v>20</v>
          </cell>
        </row>
        <row r="454">
          <cell r="A454" t="str">
            <v>991E05MO104</v>
          </cell>
          <cell r="B454" t="str">
            <v>5.5 oz. Aerosol</v>
          </cell>
          <cell r="C454">
            <v>6.59</v>
          </cell>
          <cell r="D454">
            <v>5.6</v>
          </cell>
          <cell r="E454">
            <v>2.93</v>
          </cell>
        </row>
        <row r="455">
          <cell r="A455" t="str">
            <v>99105MO104</v>
          </cell>
          <cell r="B455" t="str">
            <v>5.5 oz. Aerosol - Dozen</v>
          </cell>
          <cell r="C455">
            <v>72</v>
          </cell>
          <cell r="D455">
            <v>61.2</v>
          </cell>
          <cell r="E455">
            <v>32</v>
          </cell>
        </row>
        <row r="456">
          <cell r="A456">
            <v>992</v>
          </cell>
          <cell r="B456" t="str">
            <v>Angelus Clear Shoe Cement</v>
          </cell>
          <cell r="C456"/>
          <cell r="D456"/>
          <cell r="E456"/>
        </row>
        <row r="457">
          <cell r="A457" t="str">
            <v>992E04000</v>
          </cell>
          <cell r="B457" t="str">
            <v>4 oz. Each</v>
          </cell>
          <cell r="C457">
            <v>8.26</v>
          </cell>
          <cell r="D457">
            <v>7.02</v>
          </cell>
          <cell r="E457">
            <v>3.67</v>
          </cell>
        </row>
        <row r="458">
          <cell r="A458">
            <v>99204000</v>
          </cell>
          <cell r="B458" t="str">
            <v>4 oz. Dozen</v>
          </cell>
          <cell r="C458">
            <v>90</v>
          </cell>
          <cell r="D458">
            <v>76.5</v>
          </cell>
          <cell r="E458">
            <v>40</v>
          </cell>
        </row>
        <row r="459">
          <cell r="A459">
            <v>992</v>
          </cell>
          <cell r="B459" t="str">
            <v>Angelus All Purpose Applicator Pads</v>
          </cell>
          <cell r="C459"/>
          <cell r="D459"/>
          <cell r="E459"/>
        </row>
        <row r="460">
          <cell r="A460" t="str">
            <v>99220PADS</v>
          </cell>
          <cell r="B460" t="str">
            <v>Pack of 20</v>
          </cell>
          <cell r="C460">
            <v>5</v>
          </cell>
          <cell r="D460">
            <v>4.25</v>
          </cell>
          <cell r="E460">
            <v>2.5</v>
          </cell>
        </row>
        <row r="461">
          <cell r="A461">
            <v>992</v>
          </cell>
          <cell r="B461" t="str">
            <v>Angelus Multi Purpose Wet Sandpaper</v>
          </cell>
          <cell r="C461"/>
          <cell r="D461"/>
          <cell r="E461"/>
        </row>
        <row r="462">
          <cell r="A462" t="str">
            <v>992SP400</v>
          </cell>
          <cell r="B462" t="str">
            <v>400 Grit - Pack of 5</v>
          </cell>
          <cell r="C462">
            <v>4.95</v>
          </cell>
          <cell r="D462">
            <v>4.21</v>
          </cell>
          <cell r="E462">
            <v>2.5</v>
          </cell>
        </row>
        <row r="463">
          <cell r="A463" t="str">
            <v>992SP800</v>
          </cell>
          <cell r="B463" t="str">
            <v>800 Grit - Pack of 5</v>
          </cell>
          <cell r="C463">
            <v>4.95</v>
          </cell>
          <cell r="D463">
            <v>4.21</v>
          </cell>
          <cell r="E463">
            <v>2.5</v>
          </cell>
        </row>
        <row r="464">
          <cell r="A464" t="str">
            <v>992SP1500</v>
          </cell>
          <cell r="B464" t="str">
            <v>1500 Grit - Pack of 5</v>
          </cell>
          <cell r="C464">
            <v>4.95</v>
          </cell>
          <cell r="D464">
            <v>4.21</v>
          </cell>
          <cell r="E464">
            <v>2.5</v>
          </cell>
        </row>
        <row r="465">
          <cell r="A465" t="str">
            <v>992SPASSORTED</v>
          </cell>
          <cell r="B465" t="str">
            <v>Assorted - Pack of 15 (5 of each)</v>
          </cell>
          <cell r="C465">
            <v>11.95</v>
          </cell>
          <cell r="D465">
            <v>10.16</v>
          </cell>
          <cell r="E465">
            <v>6</v>
          </cell>
        </row>
        <row r="466">
          <cell r="A466">
            <v>992</v>
          </cell>
          <cell r="B466" t="str">
            <v>Angelus Shine &amp; Cleaning Brushes</v>
          </cell>
          <cell r="C466"/>
          <cell r="D466"/>
          <cell r="E466"/>
        </row>
        <row r="467">
          <cell r="A467" t="str">
            <v>99203SuedeBrush</v>
          </cell>
          <cell r="B467" t="str">
            <v>Nylon Suede Brush - 3.25" Handle Each</v>
          </cell>
          <cell r="C467">
            <v>2.95</v>
          </cell>
          <cell r="D467">
            <v>2.95</v>
          </cell>
          <cell r="E467">
            <v>1.5</v>
          </cell>
        </row>
        <row r="468">
          <cell r="A468" t="str">
            <v>99205HogBrush</v>
          </cell>
          <cell r="B468" t="str">
            <v>Hog Hair Bristle Brush Each</v>
          </cell>
          <cell r="C468">
            <v>7.95</v>
          </cell>
          <cell r="D468">
            <v>7.95</v>
          </cell>
          <cell r="E468">
            <v>3</v>
          </cell>
        </row>
        <row r="469">
          <cell r="A469" t="str">
            <v>99205PREMSNEAKERBRUSH</v>
          </cell>
          <cell r="B469" t="str">
            <v>Synthetic Bristle Bush Each</v>
          </cell>
          <cell r="C469">
            <v>6.95</v>
          </cell>
          <cell r="D469">
            <v>6.95</v>
          </cell>
          <cell r="E469">
            <v>3.48</v>
          </cell>
        </row>
        <row r="470">
          <cell r="A470" t="str">
            <v>992HBDAUBER</v>
          </cell>
          <cell r="B470" t="str">
            <v>Wax Applicator - 6" Handle &amp; 1.25" Diameter Horse Hair Each</v>
          </cell>
          <cell r="C470">
            <v>5</v>
          </cell>
          <cell r="D470">
            <v>5</v>
          </cell>
          <cell r="E470">
            <v>2.5</v>
          </cell>
        </row>
        <row r="471">
          <cell r="A471" t="str">
            <v>992HBROCKER</v>
          </cell>
          <cell r="B471" t="str">
            <v>Horse Hair Rocker Shine Brush - 6.75" Handle Each</v>
          </cell>
          <cell r="C471">
            <v>8</v>
          </cell>
          <cell r="D471">
            <v>8</v>
          </cell>
          <cell r="E471">
            <v>4.2</v>
          </cell>
        </row>
        <row r="472">
          <cell r="A472" t="str">
            <v>992HBROCKERLARGE</v>
          </cell>
          <cell r="B472" t="str">
            <v>Horse Hair Rocker Shine Brush - 8" Handle Each</v>
          </cell>
          <cell r="C472">
            <v>11.95</v>
          </cell>
          <cell r="D472">
            <v>11.95</v>
          </cell>
          <cell r="E472">
            <v>5.8</v>
          </cell>
        </row>
        <row r="473">
          <cell r="A473">
            <v>992</v>
          </cell>
          <cell r="B473" t="str">
            <v>Angelus Shoe Trees</v>
          </cell>
          <cell r="C473"/>
          <cell r="D473"/>
          <cell r="E473"/>
        </row>
        <row r="474">
          <cell r="A474" t="str">
            <v>99200PSTREE</v>
          </cell>
          <cell r="B474" t="str">
            <v>Shoes Trees - 1 Pair</v>
          </cell>
          <cell r="C474">
            <v>3.95</v>
          </cell>
          <cell r="D474">
            <v>3.95</v>
          </cell>
          <cell r="E474">
            <v>1.5</v>
          </cell>
        </row>
        <row r="475">
          <cell r="A475">
            <v>992</v>
          </cell>
          <cell r="B475" t="str">
            <v>Angelus Black Nitrile Disposable Gloves</v>
          </cell>
          <cell r="C475"/>
          <cell r="D475"/>
          <cell r="E475"/>
        </row>
        <row r="476">
          <cell r="A476" t="str">
            <v>992GLOVES###</v>
          </cell>
          <cell r="B476" t="str">
            <v>1 Box - 100 Gloves</v>
          </cell>
          <cell r="C476">
            <v>9.9499999999999993</v>
          </cell>
          <cell r="D476">
            <v>9.9499999999999993</v>
          </cell>
          <cell r="E476">
            <v>5</v>
          </cell>
        </row>
        <row r="477">
          <cell r="A477">
            <v>992</v>
          </cell>
          <cell r="B477" t="str">
            <v>Angelus Artist Accessories</v>
          </cell>
          <cell r="C477"/>
          <cell r="D477"/>
          <cell r="E477"/>
        </row>
        <row r="478">
          <cell r="A478" t="str">
            <v>992912MAT</v>
          </cell>
          <cell r="B478" t="str">
            <v>Artist Cutting Mat - 9" x 12" Each</v>
          </cell>
          <cell r="C478">
            <v>5.95</v>
          </cell>
          <cell r="D478">
            <v>5.95</v>
          </cell>
          <cell r="E478">
            <v>2.5</v>
          </cell>
        </row>
        <row r="479">
          <cell r="A479" t="str">
            <v>9921218MAT</v>
          </cell>
          <cell r="B479" t="str">
            <v>Artist Cutting Mat - 12" x 18" Each</v>
          </cell>
          <cell r="C479">
            <v>11.95</v>
          </cell>
          <cell r="D479">
            <v>11.95</v>
          </cell>
          <cell r="E479">
            <v>4</v>
          </cell>
        </row>
        <row r="480">
          <cell r="A480" t="str">
            <v>9921824MAT</v>
          </cell>
          <cell r="B480" t="str">
            <v>Artist Cutting Mat - 18" x 24" Each</v>
          </cell>
          <cell r="C480">
            <v>17.95</v>
          </cell>
          <cell r="D480">
            <v>17.95</v>
          </cell>
          <cell r="E480">
            <v>6.5</v>
          </cell>
        </row>
        <row r="481">
          <cell r="A481" t="str">
            <v>99200KNIFE</v>
          </cell>
          <cell r="B481" t="str">
            <v>#2 Detail Knife Each</v>
          </cell>
          <cell r="C481">
            <v>5.95</v>
          </cell>
          <cell r="D481">
            <v>5.95</v>
          </cell>
          <cell r="E481">
            <v>2.5</v>
          </cell>
        </row>
        <row r="482">
          <cell r="A482" t="str">
            <v>99211KNIFE</v>
          </cell>
          <cell r="B482" t="str">
            <v>#11 Detail Knife Each</v>
          </cell>
          <cell r="C482">
            <v>5.95</v>
          </cell>
          <cell r="D482">
            <v>5.95</v>
          </cell>
          <cell r="E482">
            <v>2.5</v>
          </cell>
        </row>
        <row r="483">
          <cell r="A483" t="str">
            <v>99210BLADES</v>
          </cell>
          <cell r="B483" t="str">
            <v>#2 Replacement Blades - Set of 10 Each</v>
          </cell>
          <cell r="C483">
            <v>1.75</v>
          </cell>
          <cell r="D483">
            <v>1.75</v>
          </cell>
          <cell r="E483">
            <v>0.88</v>
          </cell>
        </row>
        <row r="484">
          <cell r="A484">
            <v>999</v>
          </cell>
          <cell r="B484" t="str">
            <v>Other Accessories</v>
          </cell>
          <cell r="C484"/>
          <cell r="D484"/>
          <cell r="E484"/>
        </row>
        <row r="485">
          <cell r="A485">
            <v>99905000</v>
          </cell>
          <cell r="B485" t="str">
            <v>Wool Daubers 100/pk</v>
          </cell>
          <cell r="C485">
            <v>15</v>
          </cell>
          <cell r="D485">
            <v>13.5</v>
          </cell>
          <cell r="E485">
            <v>8</v>
          </cell>
        </row>
        <row r="486">
          <cell r="A486">
            <v>99905000</v>
          </cell>
          <cell r="B486" t="str">
            <v>Wood Daubers Bulk Per 1,000</v>
          </cell>
          <cell r="C486">
            <v>150</v>
          </cell>
          <cell r="D486">
            <v>135</v>
          </cell>
          <cell r="E486">
            <v>80</v>
          </cell>
        </row>
        <row r="487">
          <cell r="A487" t="str">
            <v>Lace Lab</v>
          </cell>
          <cell r="B487" t="str">
            <v>Lace Lab Shoe Laces</v>
          </cell>
          <cell r="C487"/>
          <cell r="D487"/>
          <cell r="E487"/>
        </row>
        <row r="488">
          <cell r="A488" t="str">
            <v>www.LaceLab.com</v>
          </cell>
          <cell r="B488" t="str">
            <v>Wide range of shoe laces available. See website.</v>
          </cell>
          <cell r="C488" t="str">
            <v>Varies</v>
          </cell>
          <cell r="D488" t="str">
            <v>Varies</v>
          </cell>
          <cell r="E488" t="str">
            <v>Varies</v>
          </cell>
        </row>
        <row r="489">
          <cell r="A489"/>
          <cell r="B489" t="str">
            <v>COMING SOON</v>
          </cell>
          <cell r="C489"/>
          <cell r="D489"/>
          <cell r="E489"/>
        </row>
        <row r="490">
          <cell r="A490" t="str">
            <v>Coming Soon</v>
          </cell>
          <cell r="B490" t="str">
            <v>Paintable Repair Filler</v>
          </cell>
          <cell r="C490" t="str">
            <v>TBD</v>
          </cell>
          <cell r="D490" t="str">
            <v>TBD</v>
          </cell>
          <cell r="E490" t="str">
            <v>TBD</v>
          </cell>
        </row>
        <row r="491">
          <cell r="A491" t="str">
            <v>Coming Soon</v>
          </cell>
          <cell r="B491" t="str">
            <v>Burnishing Ink</v>
          </cell>
          <cell r="C491" t="str">
            <v>TBD</v>
          </cell>
          <cell r="D491" t="str">
            <v>TBD</v>
          </cell>
          <cell r="E491" t="str">
            <v>TBD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A3BDA-2CF3-49EE-8F1F-CC36AE10F41B}">
  <dimension ref="A4:I57"/>
  <sheetViews>
    <sheetView tabSelected="1" workbookViewId="0">
      <selection activeCell="D41" sqref="D41"/>
    </sheetView>
  </sheetViews>
  <sheetFormatPr defaultRowHeight="16.5" x14ac:dyDescent="0.3"/>
  <cols>
    <col min="2" max="2" width="45.125" bestFit="1" customWidth="1"/>
  </cols>
  <sheetData>
    <row r="4" spans="2:9" x14ac:dyDescent="0.3">
      <c r="C4" t="s">
        <v>2</v>
      </c>
      <c r="D4" t="s">
        <v>3</v>
      </c>
    </row>
    <row r="5" spans="2:9" x14ac:dyDescent="0.3">
      <c r="B5" t="s">
        <v>0</v>
      </c>
      <c r="C5">
        <f>18/16.5</f>
        <v>1.0909090909090908</v>
      </c>
      <c r="D5">
        <f>28.8/27</f>
        <v>1.0666666666666667</v>
      </c>
      <c r="H5">
        <f>1.8/12*1150*1.2</f>
        <v>207</v>
      </c>
    </row>
    <row r="6" spans="2:9" x14ac:dyDescent="0.3">
      <c r="B6" t="s">
        <v>1</v>
      </c>
      <c r="C6">
        <f>19/16.8</f>
        <v>1.1309523809523809</v>
      </c>
      <c r="D6">
        <f>32/28</f>
        <v>1.1428571428571428</v>
      </c>
    </row>
    <row r="7" spans="2:9" x14ac:dyDescent="0.3">
      <c r="B7" t="s">
        <v>4</v>
      </c>
      <c r="C7">
        <v>0</v>
      </c>
      <c r="D7">
        <v>0</v>
      </c>
    </row>
    <row r="8" spans="2:9" x14ac:dyDescent="0.3">
      <c r="B8" t="s">
        <v>5</v>
      </c>
      <c r="C8">
        <v>0</v>
      </c>
      <c r="D8">
        <v>0</v>
      </c>
      <c r="H8">
        <f>4290*0.03</f>
        <v>128.69999999999999</v>
      </c>
    </row>
    <row r="9" spans="2:9" x14ac:dyDescent="0.3">
      <c r="B9" t="s">
        <v>6</v>
      </c>
      <c r="C9">
        <f>19/16.8</f>
        <v>1.1309523809523809</v>
      </c>
      <c r="D9">
        <v>0</v>
      </c>
    </row>
    <row r="10" spans="2:9" x14ac:dyDescent="0.3">
      <c r="B10" t="s">
        <v>7</v>
      </c>
      <c r="C10">
        <f>19/18.6</f>
        <v>1.021505376344086</v>
      </c>
      <c r="D10">
        <v>0</v>
      </c>
      <c r="H10">
        <f>7800*0.55</f>
        <v>4290</v>
      </c>
    </row>
    <row r="11" spans="2:9" x14ac:dyDescent="0.3">
      <c r="B11" t="s">
        <v>32</v>
      </c>
      <c r="H11">
        <f>7800*0.57</f>
        <v>4446</v>
      </c>
      <c r="I11">
        <f>H10-H11</f>
        <v>-156</v>
      </c>
    </row>
    <row r="13" spans="2:9" x14ac:dyDescent="0.3">
      <c r="H13">
        <f>1.5/12</f>
        <v>0.125</v>
      </c>
    </row>
    <row r="14" spans="2:9" x14ac:dyDescent="0.3">
      <c r="B14" t="s">
        <v>12</v>
      </c>
      <c r="C14" t="s">
        <v>9</v>
      </c>
      <c r="D14" t="s">
        <v>10</v>
      </c>
      <c r="E14" t="s">
        <v>11</v>
      </c>
      <c r="H14">
        <f>0.125*1150*1.2</f>
        <v>172.5</v>
      </c>
    </row>
    <row r="15" spans="2:9" x14ac:dyDescent="0.3">
      <c r="B15" t="s">
        <v>32</v>
      </c>
      <c r="C15">
        <v>21</v>
      </c>
      <c r="D15">
        <v>24</v>
      </c>
      <c r="E15" s="9">
        <f>D15/C15</f>
        <v>1.1428571428571428</v>
      </c>
    </row>
    <row r="16" spans="2:9" x14ac:dyDescent="0.3">
      <c r="B16" t="s">
        <v>33</v>
      </c>
      <c r="C16">
        <v>21</v>
      </c>
      <c r="D16">
        <v>24</v>
      </c>
      <c r="E16" s="9">
        <f>D16/C16</f>
        <v>1.1428571428571428</v>
      </c>
      <c r="H16">
        <f>3/12*1150*1.2</f>
        <v>345</v>
      </c>
    </row>
    <row r="17" spans="1:9" x14ac:dyDescent="0.2">
      <c r="A17" s="1">
        <v>82004000</v>
      </c>
      <c r="B17" t="str">
        <f>VLOOKUP(A17,[1]제품리스트!$A$1:$I$1000,2,FALSE)</f>
        <v>디글레이저 4온즈</v>
      </c>
      <c r="C17">
        <f>VLOOKUP(A17,[1]제품리스트!$A$1:$I$1000,5,FALSE)</f>
        <v>20</v>
      </c>
      <c r="D17">
        <f>VLOOKUP(A17,[2]Sheet1!$A$1:$E$491,5,FALSE)</f>
        <v>20</v>
      </c>
      <c r="E17" s="9">
        <f>D17/C17</f>
        <v>1</v>
      </c>
    </row>
    <row r="18" spans="1:9" x14ac:dyDescent="0.2">
      <c r="A18" s="1" t="s">
        <v>8</v>
      </c>
      <c r="B18" t="str">
        <f>VLOOKUP(A18,[1]제품리스트!$A$1:$I$1000,2,FALSE)</f>
        <v>디글레이저 파인트</v>
      </c>
      <c r="C18">
        <f>VLOOKUP(A18,[1]제품리스트!$A$1:$I$1000,5,FALSE)</f>
        <v>5.7</v>
      </c>
      <c r="D18">
        <f>VLOOKUP(A18,[2]Sheet1!$A$1:$E$491,5,FALSE)</f>
        <v>5.8</v>
      </c>
      <c r="E18" s="9">
        <f t="shared" ref="E18:E57" si="0">D18/C18</f>
        <v>1.0175438596491226</v>
      </c>
    </row>
    <row r="19" spans="1:9" x14ac:dyDescent="0.2">
      <c r="A19" s="1">
        <v>60004000</v>
      </c>
      <c r="B19" t="str">
        <f>VLOOKUP(A19,[1]제품리스트!$A$1:$I$1000,2,FALSE)</f>
        <v>피니셔#600 아크릴피니셔</v>
      </c>
      <c r="C19">
        <f>VLOOKUP(A19,[1]제품리스트!$A$1:$I$1000,5,FALSE)</f>
        <v>22.2</v>
      </c>
      <c r="D19">
        <f>VLOOKUP(A19,[2]Sheet1!$A$1:$E$491,5,FALSE)</f>
        <v>24</v>
      </c>
      <c r="E19" s="9">
        <f t="shared" si="0"/>
        <v>1.0810810810810811</v>
      </c>
      <c r="H19">
        <f>1.8/12*1150*1.2</f>
        <v>207</v>
      </c>
    </row>
    <row r="20" spans="1:9" x14ac:dyDescent="0.2">
      <c r="A20" s="1">
        <v>61504000</v>
      </c>
      <c r="B20" t="str">
        <f>VLOOKUP(A20,[1]제품리스트!$A$1:$I$1000,2,FALSE)</f>
        <v>피니셔#615 새틴아크릴피니셔 하이글로스</v>
      </c>
      <c r="C20">
        <f>VLOOKUP(A20,[1]제품리스트!$A$1:$I$1000,5,FALSE)</f>
        <v>22.2</v>
      </c>
      <c r="D20">
        <f>VLOOKUP(A20,[2]Sheet1!$A$1:$E$491,5,FALSE)</f>
        <v>24</v>
      </c>
      <c r="E20" s="9">
        <f t="shared" si="0"/>
        <v>1.0810810810810811</v>
      </c>
    </row>
    <row r="21" spans="1:9" x14ac:dyDescent="0.2">
      <c r="A21" s="1">
        <v>61004000</v>
      </c>
      <c r="B21" t="str">
        <f>VLOOKUP(A21,[1]제품리스트!$A$1:$I$1000,2,FALSE)</f>
        <v>피니셔#610 아크릴피니셔 하이글로스</v>
      </c>
      <c r="C21">
        <f>VLOOKUP(A21,[1]제품리스트!$A$1:$I$1000,5,FALSE)</f>
        <v>22.2</v>
      </c>
      <c r="D21">
        <f>VLOOKUP(A21,[2]Sheet1!$A$1:$E$491,5,FALSE)</f>
        <v>24</v>
      </c>
      <c r="E21" s="9">
        <f t="shared" si="0"/>
        <v>1.0810810810810811</v>
      </c>
    </row>
    <row r="22" spans="1:9" x14ac:dyDescent="0.2">
      <c r="A22" s="1">
        <v>60504000</v>
      </c>
      <c r="B22" t="str">
        <f>VLOOKUP(A22,[1]제품리스트!$A$1:$I$1000,2,FALSE)</f>
        <v>피니셔#605 새틴아크릴피니셔</v>
      </c>
      <c r="C22">
        <f>VLOOKUP(A22,[1]제품리스트!$A$1:$I$1000,5,FALSE)</f>
        <v>22.2</v>
      </c>
      <c r="D22">
        <f>VLOOKUP(A22,[2]Sheet1!$A$1:$E$491,5,FALSE)</f>
        <v>24</v>
      </c>
      <c r="E22" s="9">
        <f t="shared" si="0"/>
        <v>1.0810810810810811</v>
      </c>
      <c r="H22">
        <f>1.8/12*1150*1.2</f>
        <v>207</v>
      </c>
    </row>
    <row r="23" spans="1:9" x14ac:dyDescent="0.2">
      <c r="A23" s="1">
        <v>62004000</v>
      </c>
      <c r="B23" t="str">
        <f>VLOOKUP(A23,[1]제품리스트!$A$1:$I$1000,2,FALSE)</f>
        <v>피니셔#620 매트아크릴피니셔</v>
      </c>
      <c r="C23">
        <f>VLOOKUP(A23,[1]제품리스트!$A$1:$I$1000,5,FALSE)</f>
        <v>22.2</v>
      </c>
      <c r="D23">
        <f>VLOOKUP(A23,[2]Sheet1!$A$1:$E$491,5,FALSE)</f>
        <v>24</v>
      </c>
      <c r="E23" s="9">
        <f t="shared" si="0"/>
        <v>1.0810810810810811</v>
      </c>
    </row>
    <row r="24" spans="1:9" x14ac:dyDescent="0.2">
      <c r="A24" s="1">
        <v>60001000</v>
      </c>
      <c r="B24" t="str">
        <f>VLOOKUP(A24,[1]제품리스트!$A$1:$I$1000,2,FALSE)</f>
        <v>피니셔1온즈#600 아크릴피니셔</v>
      </c>
      <c r="C24">
        <f>VLOOKUP(A24,[1]제품리스트!$A$1:$I$1000,5,FALSE)</f>
        <v>13.32</v>
      </c>
      <c r="D24">
        <f>VLOOKUP(A24,[2]Sheet1!$A$1:$E$491,5,FALSE)</f>
        <v>14.4</v>
      </c>
      <c r="E24" s="9">
        <f t="shared" si="0"/>
        <v>1.0810810810810811</v>
      </c>
    </row>
    <row r="25" spans="1:9" x14ac:dyDescent="0.2">
      <c r="A25" s="1">
        <v>61501000</v>
      </c>
      <c r="B25" t="str">
        <f>VLOOKUP(A25,[1]제품리스트!$A$1:$I$1000,2,FALSE)</f>
        <v>피니셔1온즈#615 새틴아크릴피니셔 하이글로스</v>
      </c>
      <c r="C25">
        <f>VLOOKUP(A25,[1]제품리스트!$A$1:$I$1000,5,FALSE)</f>
        <v>13.32</v>
      </c>
      <c r="D25">
        <f>VLOOKUP(A25,[2]Sheet1!$A$1:$E$491,5,FALSE)</f>
        <v>14.4</v>
      </c>
      <c r="E25" s="9">
        <f t="shared" si="0"/>
        <v>1.0810810810810811</v>
      </c>
    </row>
    <row r="26" spans="1:9" x14ac:dyDescent="0.2">
      <c r="A26" s="1">
        <v>61001000</v>
      </c>
      <c r="B26" t="str">
        <f>VLOOKUP(A26,[1]제품리스트!$A$1:$I$1000,2,FALSE)</f>
        <v>피니셔1온즈#610 아크릴피니셔 하이글로스</v>
      </c>
      <c r="C26">
        <f>VLOOKUP(A26,[1]제품리스트!$A$1:$I$1000,5,FALSE)</f>
        <v>13.32</v>
      </c>
      <c r="D26">
        <f>VLOOKUP(A26,[2]Sheet1!$A$1:$E$491,5,FALSE)</f>
        <v>14.4</v>
      </c>
      <c r="E26" s="9">
        <f t="shared" si="0"/>
        <v>1.0810810810810811</v>
      </c>
      <c r="H26">
        <f>D26-C26</f>
        <v>1.08</v>
      </c>
      <c r="I26">
        <f>1.08/12*1150*1.2</f>
        <v>124.20000000000002</v>
      </c>
    </row>
    <row r="27" spans="1:9" x14ac:dyDescent="0.2">
      <c r="A27" s="1">
        <v>60501000</v>
      </c>
      <c r="B27" t="str">
        <f>VLOOKUP(A27,[1]제품리스트!$A$1:$I$1000,2,FALSE)</f>
        <v>피니셔1온즈#605 새틴아크릴피니셔</v>
      </c>
      <c r="C27">
        <f>VLOOKUP(A27,[1]제품리스트!$A$1:$I$1000,5,FALSE)</f>
        <v>13.32</v>
      </c>
      <c r="D27">
        <f>VLOOKUP(A27,[2]Sheet1!$A$1:$E$491,5,FALSE)</f>
        <v>14.4</v>
      </c>
      <c r="E27" s="9">
        <f t="shared" si="0"/>
        <v>1.0810810810810811</v>
      </c>
    </row>
    <row r="28" spans="1:9" x14ac:dyDescent="0.2">
      <c r="A28" s="1">
        <v>62001000</v>
      </c>
      <c r="B28" t="str">
        <f>VLOOKUP(A28,[1]제품리스트!$A$1:$I$1000,2,FALSE)</f>
        <v>피니셔1온즈#620 매트아크릴피니셔</v>
      </c>
      <c r="C28">
        <f>VLOOKUP(A28,[1]제품리스트!$A$1:$I$1000,5,FALSE)</f>
        <v>13.32</v>
      </c>
      <c r="D28">
        <f>VLOOKUP(A28,[2]Sheet1!$A$1:$E$491,5,FALSE)</f>
        <v>14.4</v>
      </c>
      <c r="E28" s="9">
        <f t="shared" si="0"/>
        <v>1.0810810810810811</v>
      </c>
    </row>
    <row r="29" spans="1:9" x14ac:dyDescent="0.2">
      <c r="A29" s="1">
        <v>84008000</v>
      </c>
      <c r="B29" t="str">
        <f>VLOOKUP(A29,[1]제품리스트!$A$1:$I$1000,2,FALSE)</f>
        <v>이지클리너 8온즈</v>
      </c>
      <c r="C29">
        <f>VLOOKUP(A29,[1]제품리스트!$A$1:$I$1000,5,FALSE)</f>
        <v>19.2</v>
      </c>
      <c r="D29">
        <f>VLOOKUP(A29,[2]Sheet1!$A$1:$E$491,5,FALSE)</f>
        <v>20</v>
      </c>
      <c r="E29" s="9">
        <f t="shared" si="0"/>
        <v>1.0416666666666667</v>
      </c>
    </row>
    <row r="30" spans="1:9" x14ac:dyDescent="0.3">
      <c r="A30" s="2" t="s">
        <v>13</v>
      </c>
      <c r="B30" t="str">
        <f>VLOOKUP(A30,[1]제품리스트!$A$1:$I$1000,2,FALSE)</f>
        <v>이지클리너 키트</v>
      </c>
      <c r="C30">
        <f>VLOOKUP(A30,[1]제품리스트!$A$1:$I$1000,5,FALSE)</f>
        <v>5</v>
      </c>
      <c r="D30">
        <f>VLOOKUP(A30,[2]Sheet1!$A$1:$E$491,5,FALSE)</f>
        <v>5.4</v>
      </c>
      <c r="E30" s="9">
        <f t="shared" si="0"/>
        <v>1.08</v>
      </c>
    </row>
    <row r="31" spans="1:9" x14ac:dyDescent="0.3">
      <c r="A31" s="3" t="s">
        <v>14</v>
      </c>
      <c r="B31" t="str">
        <f>VLOOKUP(A31,[1]제품리스트!$A$1:$I$1000,2,FALSE)</f>
        <v>올퍼포스 클리너</v>
      </c>
      <c r="C31">
        <f>VLOOKUP(A31,[1]제품리스트!$A$1:$I$1000,5,FALSE)</f>
        <v>26</v>
      </c>
      <c r="D31">
        <v>26</v>
      </c>
      <c r="E31" s="9">
        <f t="shared" si="0"/>
        <v>1</v>
      </c>
    </row>
    <row r="32" spans="1:9" x14ac:dyDescent="0.3">
      <c r="A32" s="2">
        <v>84205000</v>
      </c>
      <c r="B32" t="str">
        <f>VLOOKUP(A32,[1]제품리스트!$A$1:$I$1000,2,FALSE)</f>
        <v>폼텍스 클리너 5온즈</v>
      </c>
      <c r="C32">
        <f>VLOOKUP(A32,[1]제품리스트!$A$1:$I$1000,5,FALSE)</f>
        <v>13.2</v>
      </c>
      <c r="D32">
        <f>VLOOKUP(A32,[2]Sheet1!$A$1:$E$491,5,FALSE)</f>
        <v>16.8</v>
      </c>
      <c r="E32" s="9">
        <f t="shared" si="0"/>
        <v>1.2727272727272729</v>
      </c>
      <c r="H32">
        <f>16.8/12*1150*1.2</f>
        <v>1932.0000000000002</v>
      </c>
    </row>
    <row r="33" spans="1:5" x14ac:dyDescent="0.3">
      <c r="A33" t="s">
        <v>15</v>
      </c>
      <c r="B33" t="str">
        <f>VLOOKUP(A33,[1]제품리스트!$A$1:$I$1000,2,FALSE)</f>
        <v>폼텍스 클리너키트</v>
      </c>
      <c r="C33">
        <f>VLOOKUP(A33,[1]제품리스트!$A$1:$I$1000,5,FALSE)</f>
        <v>6.5</v>
      </c>
      <c r="D33">
        <f>VLOOKUP(A33,[2]Sheet1!$A$1:$E$491,5,FALSE)</f>
        <v>7</v>
      </c>
      <c r="E33" s="9">
        <f t="shared" si="0"/>
        <v>1.0769230769230769</v>
      </c>
    </row>
    <row r="34" spans="1:5" x14ac:dyDescent="0.2">
      <c r="A34" s="1" t="s">
        <v>16</v>
      </c>
      <c r="B34" t="str">
        <f>VLOOKUP(A34,[1]제품리스트!$A$1:$I$1000,2,FALSE)</f>
        <v>워터&amp;스테인 리펠런트(방수제)</v>
      </c>
      <c r="C34">
        <f>VLOOKUP(A34,[1]제품리스트!$A$1:$I$1000,5,FALSE)</f>
        <v>26</v>
      </c>
      <c r="D34">
        <f>VLOOKUP(A34,[2]Sheet1!$A$1:$E$491,5,FALSE)</f>
        <v>28</v>
      </c>
      <c r="E34" s="9">
        <f t="shared" si="0"/>
        <v>1.0769230769230769</v>
      </c>
    </row>
    <row r="35" spans="1:5" x14ac:dyDescent="0.2">
      <c r="A35" s="1">
        <v>85205000</v>
      </c>
      <c r="B35" t="str">
        <f>VLOOKUP(A35,[1]제품리스트!$A$1:$I$1000,2,FALSE)</f>
        <v>부트스프레이</v>
      </c>
      <c r="C35">
        <f>VLOOKUP(A35,[1]제품리스트!$A$1:$I$1000,5,FALSE)</f>
        <v>28</v>
      </c>
      <c r="D35">
        <f>VLOOKUP(A35,[2]Sheet1!$A$1:$E$491,5,FALSE)</f>
        <v>28</v>
      </c>
      <c r="E35" s="9">
        <f t="shared" si="0"/>
        <v>1</v>
      </c>
    </row>
    <row r="36" spans="1:5" x14ac:dyDescent="0.2">
      <c r="A36" s="1">
        <v>72201000</v>
      </c>
      <c r="B36" t="str">
        <f>VLOOKUP(A36,[1]제품리스트!$A$1:$I$1000,2,FALSE)</f>
        <v>[희석재]둘러-1온즈</v>
      </c>
      <c r="C36">
        <f>VLOOKUP(A36,[1]제품리스트!$A$1:$I$1000,5,FALSE)</f>
        <v>30</v>
      </c>
      <c r="D36">
        <f>VLOOKUP(A36,[2]Sheet1!$A$1:$E$491,5,FALSE)</f>
        <v>23</v>
      </c>
      <c r="E36" s="9">
        <f t="shared" si="0"/>
        <v>0.76666666666666672</v>
      </c>
    </row>
    <row r="37" spans="1:5" x14ac:dyDescent="0.2">
      <c r="A37" s="1">
        <v>72204000</v>
      </c>
      <c r="B37" t="str">
        <f>VLOOKUP(A37,[1]제품리스트!$A$1:$I$1000,2,FALSE)</f>
        <v>[희석재]둘러-4온즈</v>
      </c>
      <c r="C37">
        <f>VLOOKUP(A37,[1]제품리스트!$A$1:$I$1000,5,FALSE)</f>
        <v>54</v>
      </c>
      <c r="D37">
        <f>VLOOKUP(A37,[2]Sheet1!$A$1:$E$491,5,FALSE)</f>
        <v>51.84</v>
      </c>
      <c r="E37" s="9">
        <f t="shared" si="0"/>
        <v>0.96000000000000008</v>
      </c>
    </row>
    <row r="38" spans="1:5" x14ac:dyDescent="0.2">
      <c r="A38" s="1">
        <v>72001000</v>
      </c>
      <c r="B38" t="str">
        <f>VLOOKUP(A38,[1]제품리스트!$A$1:$I$1000,2,FALSE)</f>
        <v>[희석재]2-Thin</v>
      </c>
      <c r="C38">
        <f>VLOOKUP(A38,[1]제품리스트!$A$1:$I$1000,5,FALSE)</f>
        <v>16.2</v>
      </c>
      <c r="D38" t="e">
        <f>VLOOKUP(A38,[2]Sheet1!$A$1:$E$491,5,FALSE)</f>
        <v>#N/A</v>
      </c>
      <c r="E38" s="9" t="e">
        <f t="shared" si="0"/>
        <v>#N/A</v>
      </c>
    </row>
    <row r="39" spans="1:5" x14ac:dyDescent="0.2">
      <c r="A39" s="1">
        <v>72004000</v>
      </c>
      <c r="B39" t="str">
        <f>VLOOKUP(A39,[1]제품리스트!$A$1:$I$1000,2,FALSE)</f>
        <v>[희석재]2-Thin 4oz</v>
      </c>
      <c r="C39">
        <f>VLOOKUP(A39,[1]제품리스트!$A$1:$I$1000,5,FALSE)</f>
        <v>27</v>
      </c>
      <c r="D39" t="e">
        <f>VLOOKUP(A39,[2]Sheet1!$A$1:$E$491,5,FALSE)</f>
        <v>#N/A</v>
      </c>
      <c r="E39" s="9" t="e">
        <f t="shared" si="0"/>
        <v>#N/A</v>
      </c>
    </row>
    <row r="40" spans="1:5" x14ac:dyDescent="0.3">
      <c r="A40" s="4" t="s">
        <v>17</v>
      </c>
      <c r="B40" t="str">
        <f>VLOOKUP(A40,[1]제품리스트!$A$1:$I$1000,2,FALSE)</f>
        <v>[희석재]2-소프트 1온즈</v>
      </c>
      <c r="C40">
        <f>VLOOKUP(A40,[1]제품리스트!$A$1:$I$1000,5,FALSE)</f>
        <v>20.399999999999999</v>
      </c>
      <c r="D40">
        <f>VLOOKUP(A40,[2]Sheet1!$A$1:$E$491,5,FALSE)</f>
        <v>20.399999999999999</v>
      </c>
      <c r="E40" s="9">
        <f t="shared" si="0"/>
        <v>1</v>
      </c>
    </row>
    <row r="41" spans="1:5" x14ac:dyDescent="0.3">
      <c r="A41" s="4" t="s">
        <v>18</v>
      </c>
      <c r="B41" t="str">
        <f>VLOOKUP(A41,[1]제품리스트!$A$1:$I$1000,2,FALSE)</f>
        <v>[희석재]2-소프트 4온즈</v>
      </c>
      <c r="C41">
        <f>VLOOKUP(A41,[1]제품리스트!$A$1:$I$1000,5,FALSE)</f>
        <v>40.799999999999997</v>
      </c>
      <c r="D41">
        <f>VLOOKUP(A41,[2]Sheet1!$A$1:$E$491,5,FALSE)</f>
        <v>40.799999999999997</v>
      </c>
      <c r="E41" s="9">
        <f t="shared" si="0"/>
        <v>1</v>
      </c>
    </row>
    <row r="42" spans="1:5" x14ac:dyDescent="0.3">
      <c r="A42" s="4" t="s">
        <v>19</v>
      </c>
      <c r="B42" t="str">
        <f>VLOOKUP(A42,[1]제품리스트!$A$1:$I$1000,2,FALSE)</f>
        <v>[희석재]2-하드 1온즈</v>
      </c>
      <c r="C42">
        <f>VLOOKUP(A42,[1]제품리스트!$A$1:$I$1000,5,FALSE)</f>
        <v>20.399999999999999</v>
      </c>
      <c r="D42">
        <f>VLOOKUP(A42,[2]Sheet1!$A$1:$E$491,5,FALSE)</f>
        <v>20.399999999999999</v>
      </c>
      <c r="E42" s="9">
        <f t="shared" si="0"/>
        <v>1</v>
      </c>
    </row>
    <row r="43" spans="1:5" x14ac:dyDescent="0.3">
      <c r="A43" s="4" t="s">
        <v>20</v>
      </c>
      <c r="B43" t="str">
        <f>VLOOKUP(A43,[1]제품리스트!$A$1:$I$1000,2,FALSE)</f>
        <v>[희석재]2-하드 4온즈</v>
      </c>
      <c r="C43">
        <f>VLOOKUP(A43,[1]제품리스트!$A$1:$I$1000,5,FALSE)</f>
        <v>40.799999999999997</v>
      </c>
      <c r="D43">
        <f>VLOOKUP(A43,[2]Sheet1!$A$1:$E$491,5,FALSE)</f>
        <v>40.799999999999997</v>
      </c>
      <c r="E43" s="9">
        <f t="shared" si="0"/>
        <v>1</v>
      </c>
    </row>
    <row r="44" spans="1:5" x14ac:dyDescent="0.3">
      <c r="A44" s="2" t="s">
        <v>21</v>
      </c>
      <c r="B44" t="str">
        <f>VLOOKUP(A44,[1]제품리스트!$A$1:$I$1000,2,FALSE)</f>
        <v>밍크오일 캔</v>
      </c>
      <c r="C44">
        <f>VLOOKUP(A44,[1]제품리스트!$A$1:$I$1000,5,FALSE)</f>
        <v>16.399999999999999</v>
      </c>
      <c r="D44">
        <f>VLOOKUP(A44,[2]Sheet1!$A$1:$E$491,5,FALSE)</f>
        <v>16.8</v>
      </c>
      <c r="E44" s="9">
        <f t="shared" si="0"/>
        <v>1.024390243902439</v>
      </c>
    </row>
    <row r="45" spans="1:5" x14ac:dyDescent="0.3">
      <c r="A45" s="2" t="s">
        <v>22</v>
      </c>
      <c r="B45" t="str">
        <f>VLOOKUP(A45,[1]제품리스트!$A$1:$I$1000,2,FALSE)</f>
        <v>스웨이드&amp;누벅키트</v>
      </c>
      <c r="C45">
        <f>VLOOKUP(A45,[1]제품리스트!$A$1:$I$1000,5,FALSE)</f>
        <v>2</v>
      </c>
      <c r="D45">
        <v>2</v>
      </c>
      <c r="E45" s="9">
        <f t="shared" si="0"/>
        <v>1</v>
      </c>
    </row>
    <row r="46" spans="1:5" x14ac:dyDescent="0.3">
      <c r="A46" s="5" t="s">
        <v>23</v>
      </c>
      <c r="B46" t="str">
        <f>VLOOKUP(A46,[1]제품리스트!$A$1:$I$1000,2,FALSE)</f>
        <v>클리닝브러시</v>
      </c>
      <c r="C46">
        <f>VLOOKUP(A46,[1]제품리스트!$A$1:$I$1000,5,FALSE)</f>
        <v>3</v>
      </c>
      <c r="D46">
        <f>VLOOKUP(A46,[2]Sheet1!$A$1:$E$491,5,FALSE)</f>
        <v>3.48</v>
      </c>
      <c r="E46" s="9">
        <f t="shared" si="0"/>
        <v>1.1599999999999999</v>
      </c>
    </row>
    <row r="47" spans="1:5" x14ac:dyDescent="0.2">
      <c r="A47" s="1" t="s">
        <v>24</v>
      </c>
      <c r="B47" t="str">
        <f>VLOOKUP(A47,[1]제품리스트!$A$1:$I$1000,2,FALSE)</f>
        <v>다이라이너 브로드팁</v>
      </c>
      <c r="C47">
        <f>VLOOKUP(A47,[1]제품리스트!$A$1:$I$1000,5,FALSE)</f>
        <v>2</v>
      </c>
      <c r="D47">
        <f>VLOOKUP(A47,[2]Sheet1!$A$1:$E$491,5,FALSE)</f>
        <v>2</v>
      </c>
      <c r="E47" s="9">
        <f t="shared" si="0"/>
        <v>1</v>
      </c>
    </row>
    <row r="48" spans="1:5" x14ac:dyDescent="0.2">
      <c r="A48" s="1" t="s">
        <v>25</v>
      </c>
      <c r="B48" t="str">
        <f>VLOOKUP(A48,[1]제품리스트!$A$1:$I$1000,2,FALSE)</f>
        <v>다이라이너 파인팁</v>
      </c>
      <c r="C48">
        <f>VLOOKUP(A48,[1]제품리스트!$A$1:$I$1000,5,FALSE)</f>
        <v>1.8</v>
      </c>
      <c r="D48">
        <f>VLOOKUP(A48,[2]Sheet1!$A$1:$E$491,5,FALSE)</f>
        <v>1.8</v>
      </c>
      <c r="E48" s="9">
        <f t="shared" si="0"/>
        <v>1</v>
      </c>
    </row>
    <row r="49" spans="1:5" x14ac:dyDescent="0.3">
      <c r="A49" s="2" t="s">
        <v>26</v>
      </c>
      <c r="B49" t="str">
        <f>VLOOKUP(A49,[1]제품리스트!$A$1:$I$1000,2,FALSE)</f>
        <v>마커펜세트 3mm</v>
      </c>
      <c r="C49">
        <f>VLOOKUP(A49,[1]제품리스트!$A$1:$I$1000,5,FALSE)</f>
        <v>3.5</v>
      </c>
      <c r="D49">
        <f>VLOOKUP(A49,[2]Sheet1!$A$1:$E$491,5,FALSE)</f>
        <v>3.5</v>
      </c>
      <c r="E49" s="9">
        <f t="shared" si="0"/>
        <v>1</v>
      </c>
    </row>
    <row r="50" spans="1:5" x14ac:dyDescent="0.3">
      <c r="A50" s="2" t="s">
        <v>27</v>
      </c>
      <c r="B50" t="str">
        <f>VLOOKUP(A50,[1]제품리스트!$A$1:$I$1000,2,FALSE)</f>
        <v>마커펜세트 5mm</v>
      </c>
      <c r="C50">
        <f>VLOOKUP(A50,[1]제품리스트!$A$1:$I$1000,5,FALSE)</f>
        <v>3.7</v>
      </c>
      <c r="D50">
        <f>VLOOKUP(A50,[2]Sheet1!$A$1:$E$491,5,FALSE)</f>
        <v>3.7</v>
      </c>
      <c r="E50" s="9">
        <f t="shared" si="0"/>
        <v>1</v>
      </c>
    </row>
    <row r="51" spans="1:5" x14ac:dyDescent="0.3">
      <c r="A51" s="6">
        <v>87504000</v>
      </c>
      <c r="B51" t="str">
        <f>VLOOKUP(A51,[1]제품리스트!$A$1:$I$1000,2,FALSE)</f>
        <v>디오더라이저 4oz</v>
      </c>
      <c r="C51">
        <v>21.17</v>
      </c>
      <c r="D51">
        <f>VLOOKUP(A51,[2]Sheet1!$A$1:$E$491,5,FALSE)</f>
        <v>23.04</v>
      </c>
      <c r="E51" s="9">
        <f t="shared" si="0"/>
        <v>1.0883325460557391</v>
      </c>
    </row>
    <row r="52" spans="1:5" x14ac:dyDescent="0.3">
      <c r="A52" s="2">
        <v>89404000</v>
      </c>
      <c r="B52" t="str">
        <f>VLOOKUP(A52,[1]제품리스트!$A$1:$I$1000,2,FALSE)</f>
        <v>스웨이드 리뉴</v>
      </c>
      <c r="C52">
        <v>18</v>
      </c>
      <c r="D52">
        <f>VLOOKUP(A52,[2]Sheet1!$A$1:$E$491,5,FALSE)</f>
        <v>18</v>
      </c>
      <c r="E52" s="9">
        <f t="shared" si="0"/>
        <v>1</v>
      </c>
    </row>
    <row r="53" spans="1:5" ht="33" x14ac:dyDescent="0.3">
      <c r="A53" s="7" t="s">
        <v>28</v>
      </c>
      <c r="B53" t="str">
        <f>VLOOKUP(A53,[1]제품리스트!$A$1:$I$1000,2,FALSE)</f>
        <v>엔젤러스 디테일 나이프</v>
      </c>
      <c r="C53">
        <f>VLOOKUP(A53,[1]제품리스트!$A$1:$I$1000,5,FALSE)</f>
        <v>2.5</v>
      </c>
      <c r="D53">
        <v>2.5</v>
      </c>
      <c r="E53" s="9">
        <f t="shared" si="0"/>
        <v>1</v>
      </c>
    </row>
    <row r="54" spans="1:5" ht="25.5" x14ac:dyDescent="0.3">
      <c r="A54" s="8" t="s">
        <v>29</v>
      </c>
      <c r="B54" t="str">
        <f>VLOOKUP(A54,[1]제품리스트!$A$1:$I$1000,2,FALSE)</f>
        <v>커팅 매트(소) 9"x12"</v>
      </c>
      <c r="C54">
        <f>VLOOKUP(A54,[1]제품리스트!$A$1:$I$1000,5,FALSE)</f>
        <v>2.5</v>
      </c>
      <c r="D54">
        <v>2.5</v>
      </c>
      <c r="E54" s="9">
        <f t="shared" si="0"/>
        <v>1</v>
      </c>
    </row>
    <row r="55" spans="1:5" ht="25.5" x14ac:dyDescent="0.3">
      <c r="A55" s="8" t="s">
        <v>30</v>
      </c>
      <c r="B55" t="str">
        <f>VLOOKUP(A55,[1]제품리스트!$A$1:$I$1000,2,FALSE)</f>
        <v>커팅 매트(중) 12"x18"</v>
      </c>
      <c r="C55">
        <f>VLOOKUP(A55,[1]제품리스트!$A$1:$I$1000,5,FALSE)</f>
        <v>4</v>
      </c>
      <c r="D55">
        <v>4</v>
      </c>
      <c r="E55" s="9">
        <f t="shared" si="0"/>
        <v>1</v>
      </c>
    </row>
    <row r="56" spans="1:5" ht="25.5" x14ac:dyDescent="0.3">
      <c r="A56" s="8" t="s">
        <v>31</v>
      </c>
      <c r="B56" t="str">
        <f>VLOOKUP(A56,[1]제품리스트!$A$1:$I$1000,2,FALSE)</f>
        <v>커팅 매트(대) 18"x24"</v>
      </c>
      <c r="C56">
        <f>VLOOKUP(A56,[1]제품리스트!$A$1:$I$1000,5,FALSE)</f>
        <v>6</v>
      </c>
      <c r="D56">
        <v>6.5</v>
      </c>
      <c r="E56" s="9">
        <f t="shared" si="0"/>
        <v>1.0833333333333333</v>
      </c>
    </row>
    <row r="57" spans="1:5" x14ac:dyDescent="0.3">
      <c r="E57" s="9" t="e">
        <f t="shared" si="0"/>
        <v>#DIV/0!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2021-02-16T20:16:08Z</dcterms:created>
  <dcterms:modified xsi:type="dcterms:W3CDTF">2021-03-02T19:36:20Z</dcterms:modified>
</cp:coreProperties>
</file>