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CB243995-5D56-494B-A609-0EDE285968AE}" xr6:coauthVersionLast="45" xr6:coauthVersionMax="45" xr10:uidLastSave="{00000000-0000-0000-0000-000000000000}"/>
  <bookViews>
    <workbookView xWindow="24525" yWindow="1440" windowWidth="26550" windowHeight="18450" xr2:uid="{684EB518-9A4E-42EA-B355-793FBA1FBAC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0" i="1" l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C7" i="1"/>
  <c r="X401" i="1" l="1"/>
  <c r="Y401" i="1" s="1"/>
  <c r="X400" i="1"/>
  <c r="Y400" i="1" s="1"/>
  <c r="X399" i="1"/>
  <c r="Y399" i="1" s="1"/>
  <c r="X398" i="1"/>
  <c r="Y398" i="1" s="1"/>
  <c r="X397" i="1"/>
  <c r="Y397" i="1" s="1"/>
  <c r="X396" i="1"/>
  <c r="Y396" i="1" s="1"/>
  <c r="X395" i="1"/>
  <c r="Y395" i="1" s="1"/>
  <c r="X394" i="1"/>
  <c r="Y394" i="1" s="1"/>
  <c r="X393" i="1"/>
  <c r="Y393" i="1" s="1"/>
  <c r="X392" i="1"/>
  <c r="Y392" i="1" s="1"/>
  <c r="X391" i="1"/>
  <c r="Y391" i="1" s="1"/>
  <c r="X390" i="1"/>
  <c r="Y390" i="1" s="1"/>
  <c r="X389" i="1"/>
  <c r="Y389" i="1" s="1"/>
  <c r="X388" i="1"/>
  <c r="Y388" i="1" s="1"/>
  <c r="X387" i="1"/>
  <c r="Y387" i="1" s="1"/>
  <c r="X386" i="1"/>
  <c r="Y386" i="1" s="1"/>
  <c r="X385" i="1"/>
  <c r="Y385" i="1" s="1"/>
  <c r="X384" i="1"/>
  <c r="Y384" i="1" s="1"/>
  <c r="X383" i="1"/>
  <c r="Y383" i="1" s="1"/>
  <c r="X382" i="1"/>
  <c r="Y382" i="1" s="1"/>
  <c r="X381" i="1"/>
  <c r="Y381" i="1" s="1"/>
  <c r="X380" i="1"/>
  <c r="Y380" i="1" s="1"/>
  <c r="X379" i="1"/>
  <c r="Y379" i="1" s="1"/>
  <c r="X378" i="1"/>
  <c r="Y378" i="1" s="1"/>
  <c r="X377" i="1"/>
  <c r="Y377" i="1" s="1"/>
  <c r="X376" i="1"/>
  <c r="Y376" i="1" s="1"/>
  <c r="X375" i="1"/>
  <c r="Y375" i="1" s="1"/>
  <c r="X374" i="1"/>
  <c r="Y374" i="1" s="1"/>
  <c r="X373" i="1"/>
  <c r="Y373" i="1" s="1"/>
  <c r="X372" i="1"/>
  <c r="Y372" i="1" s="1"/>
  <c r="X371" i="1"/>
  <c r="Y371" i="1" s="1"/>
  <c r="X370" i="1"/>
  <c r="Y370" i="1" s="1"/>
  <c r="X369" i="1"/>
  <c r="Y369" i="1" s="1"/>
  <c r="X368" i="1"/>
  <c r="Y368" i="1" s="1"/>
  <c r="X367" i="1"/>
  <c r="Y367" i="1" s="1"/>
  <c r="X366" i="1"/>
  <c r="Y366" i="1" s="1"/>
  <c r="X365" i="1"/>
  <c r="Y365" i="1" s="1"/>
  <c r="X364" i="1"/>
  <c r="Y364" i="1" s="1"/>
  <c r="X363" i="1"/>
  <c r="Y363" i="1" s="1"/>
  <c r="X362" i="1"/>
  <c r="Y362" i="1" s="1"/>
  <c r="X361" i="1"/>
  <c r="Y361" i="1" s="1"/>
  <c r="X360" i="1"/>
  <c r="Y360" i="1" s="1"/>
  <c r="X359" i="1"/>
  <c r="Y359" i="1" s="1"/>
  <c r="X358" i="1"/>
  <c r="Y358" i="1" s="1"/>
  <c r="X357" i="1"/>
  <c r="Y357" i="1" s="1"/>
  <c r="X356" i="1"/>
  <c r="Y356" i="1" s="1"/>
  <c r="X355" i="1"/>
  <c r="Y355" i="1" s="1"/>
  <c r="X354" i="1"/>
  <c r="Y354" i="1" s="1"/>
  <c r="X353" i="1"/>
  <c r="Y353" i="1" s="1"/>
  <c r="X352" i="1"/>
  <c r="Y352" i="1" s="1"/>
  <c r="X351" i="1"/>
  <c r="Y351" i="1" s="1"/>
  <c r="X350" i="1"/>
  <c r="Y350" i="1" s="1"/>
  <c r="X349" i="1"/>
  <c r="Y349" i="1" s="1"/>
  <c r="X348" i="1"/>
  <c r="Y348" i="1" s="1"/>
  <c r="X347" i="1"/>
  <c r="Y347" i="1" s="1"/>
  <c r="X346" i="1"/>
  <c r="Y346" i="1" s="1"/>
  <c r="X345" i="1"/>
  <c r="Y345" i="1" s="1"/>
  <c r="X344" i="1"/>
  <c r="Y344" i="1" s="1"/>
  <c r="X343" i="1"/>
  <c r="Y343" i="1" s="1"/>
  <c r="X342" i="1"/>
  <c r="Y342" i="1" s="1"/>
  <c r="X341" i="1"/>
  <c r="Y341" i="1" s="1"/>
  <c r="X340" i="1"/>
  <c r="Y340" i="1" s="1"/>
  <c r="X339" i="1"/>
  <c r="Y339" i="1" s="1"/>
  <c r="X338" i="1"/>
  <c r="Y338" i="1" s="1"/>
  <c r="X337" i="1"/>
  <c r="Y337" i="1" s="1"/>
  <c r="X336" i="1"/>
  <c r="Y336" i="1" s="1"/>
  <c r="X335" i="1"/>
  <c r="Y335" i="1" s="1"/>
  <c r="X334" i="1"/>
  <c r="Y334" i="1" s="1"/>
  <c r="X333" i="1"/>
  <c r="Y333" i="1" s="1"/>
  <c r="X332" i="1"/>
  <c r="Y332" i="1" s="1"/>
  <c r="X331" i="1"/>
  <c r="Y331" i="1" s="1"/>
  <c r="X330" i="1"/>
  <c r="Y330" i="1" s="1"/>
  <c r="X329" i="1"/>
  <c r="Y329" i="1" s="1"/>
  <c r="X328" i="1"/>
  <c r="Y328" i="1" s="1"/>
  <c r="X327" i="1"/>
  <c r="Y327" i="1" s="1"/>
  <c r="X326" i="1"/>
  <c r="Y326" i="1" s="1"/>
  <c r="X325" i="1"/>
  <c r="Y325" i="1" s="1"/>
  <c r="X324" i="1"/>
  <c r="Y324" i="1" s="1"/>
  <c r="X323" i="1"/>
  <c r="Y323" i="1" s="1"/>
  <c r="X322" i="1"/>
  <c r="Y322" i="1" s="1"/>
  <c r="X321" i="1"/>
  <c r="Y321" i="1" s="1"/>
  <c r="X320" i="1"/>
  <c r="Y320" i="1" s="1"/>
  <c r="X319" i="1"/>
  <c r="Y319" i="1" s="1"/>
  <c r="X318" i="1"/>
  <c r="Y318" i="1" s="1"/>
  <c r="X317" i="1"/>
  <c r="Y317" i="1" s="1"/>
  <c r="X316" i="1"/>
  <c r="Y316" i="1" s="1"/>
  <c r="X315" i="1"/>
  <c r="Y315" i="1" s="1"/>
  <c r="X314" i="1"/>
  <c r="Y314" i="1" s="1"/>
  <c r="X313" i="1"/>
  <c r="Y313" i="1" s="1"/>
  <c r="X312" i="1"/>
  <c r="Y312" i="1" s="1"/>
  <c r="X311" i="1"/>
  <c r="Y311" i="1" s="1"/>
  <c r="X310" i="1"/>
  <c r="Y310" i="1" s="1"/>
  <c r="X309" i="1"/>
  <c r="Y309" i="1" s="1"/>
  <c r="X308" i="1"/>
  <c r="Y308" i="1" s="1"/>
  <c r="X307" i="1"/>
  <c r="Y307" i="1" s="1"/>
  <c r="X306" i="1"/>
  <c r="Y306" i="1" s="1"/>
  <c r="X305" i="1"/>
  <c r="Y305" i="1" s="1"/>
  <c r="X304" i="1"/>
  <c r="Y304" i="1" s="1"/>
  <c r="X303" i="1"/>
  <c r="Y303" i="1" s="1"/>
  <c r="X302" i="1"/>
  <c r="Y302" i="1" s="1"/>
  <c r="X301" i="1"/>
  <c r="Y301" i="1" s="1"/>
  <c r="X300" i="1"/>
  <c r="Y300" i="1" s="1"/>
  <c r="X299" i="1"/>
  <c r="Y299" i="1" s="1"/>
  <c r="X298" i="1"/>
  <c r="Y298" i="1" s="1"/>
  <c r="X297" i="1"/>
  <c r="Y297" i="1" s="1"/>
  <c r="X296" i="1"/>
  <c r="Y296" i="1" s="1"/>
  <c r="X295" i="1"/>
  <c r="Y295" i="1" s="1"/>
  <c r="X294" i="1"/>
  <c r="Y294" i="1" s="1"/>
  <c r="X293" i="1"/>
  <c r="Y293" i="1" s="1"/>
  <c r="X292" i="1"/>
  <c r="Y292" i="1" s="1"/>
  <c r="X291" i="1"/>
  <c r="Y291" i="1" s="1"/>
  <c r="X290" i="1"/>
  <c r="Y290" i="1" s="1"/>
  <c r="X289" i="1"/>
  <c r="Y289" i="1" s="1"/>
  <c r="X288" i="1"/>
  <c r="Y288" i="1" s="1"/>
  <c r="X287" i="1"/>
  <c r="Y287" i="1" s="1"/>
  <c r="X286" i="1"/>
  <c r="Y286" i="1" s="1"/>
  <c r="X285" i="1"/>
  <c r="Y285" i="1" s="1"/>
  <c r="X284" i="1"/>
  <c r="Y284" i="1" s="1"/>
  <c r="X283" i="1"/>
  <c r="Y283" i="1" s="1"/>
  <c r="X282" i="1"/>
  <c r="Y282" i="1" s="1"/>
  <c r="X281" i="1"/>
  <c r="Y281" i="1" s="1"/>
  <c r="X280" i="1"/>
  <c r="Y280" i="1" s="1"/>
  <c r="X279" i="1"/>
  <c r="Y279" i="1" s="1"/>
  <c r="X278" i="1"/>
  <c r="Y278" i="1" s="1"/>
  <c r="X277" i="1"/>
  <c r="Y277" i="1" s="1"/>
  <c r="X276" i="1"/>
  <c r="Y276" i="1" s="1"/>
  <c r="X275" i="1"/>
  <c r="Y275" i="1" s="1"/>
  <c r="X274" i="1"/>
  <c r="Y274" i="1" s="1"/>
  <c r="X273" i="1"/>
  <c r="Y273" i="1" s="1"/>
  <c r="X272" i="1"/>
  <c r="Y272" i="1" s="1"/>
  <c r="X271" i="1"/>
  <c r="Y271" i="1" s="1"/>
  <c r="X270" i="1"/>
  <c r="Y270" i="1" s="1"/>
  <c r="X269" i="1"/>
  <c r="Y269" i="1" s="1"/>
  <c r="X268" i="1"/>
  <c r="Y268" i="1" s="1"/>
  <c r="X267" i="1"/>
  <c r="Y267" i="1" s="1"/>
  <c r="X266" i="1"/>
  <c r="Y266" i="1" s="1"/>
  <c r="X265" i="1"/>
  <c r="Y265" i="1" s="1"/>
  <c r="X264" i="1"/>
  <c r="Y264" i="1" s="1"/>
  <c r="X263" i="1"/>
  <c r="Y263" i="1" s="1"/>
  <c r="X262" i="1"/>
  <c r="Y262" i="1" s="1"/>
  <c r="X261" i="1"/>
  <c r="Y261" i="1" s="1"/>
  <c r="X260" i="1"/>
  <c r="Y260" i="1" s="1"/>
  <c r="X259" i="1"/>
  <c r="Y259" i="1" s="1"/>
  <c r="X258" i="1"/>
  <c r="Y258" i="1" s="1"/>
  <c r="X257" i="1"/>
  <c r="Y257" i="1" s="1"/>
  <c r="X256" i="1"/>
  <c r="Y256" i="1" s="1"/>
  <c r="X255" i="1"/>
  <c r="Y255" i="1" s="1"/>
  <c r="X254" i="1"/>
  <c r="Y254" i="1" s="1"/>
  <c r="X253" i="1"/>
  <c r="Y253" i="1" s="1"/>
  <c r="X252" i="1"/>
  <c r="Y252" i="1" s="1"/>
  <c r="X251" i="1"/>
  <c r="Y251" i="1" s="1"/>
  <c r="X250" i="1"/>
  <c r="Y250" i="1" s="1"/>
  <c r="X249" i="1"/>
  <c r="Y249" i="1" s="1"/>
  <c r="X248" i="1"/>
  <c r="Y248" i="1" s="1"/>
  <c r="X247" i="1"/>
  <c r="Y247" i="1" s="1"/>
  <c r="X246" i="1"/>
  <c r="Y246" i="1" s="1"/>
  <c r="X245" i="1"/>
  <c r="Y245" i="1" s="1"/>
  <c r="X244" i="1"/>
  <c r="Y244" i="1" s="1"/>
  <c r="X243" i="1"/>
  <c r="Y243" i="1" s="1"/>
  <c r="X242" i="1"/>
  <c r="Y242" i="1" s="1"/>
  <c r="X241" i="1"/>
  <c r="Y241" i="1" s="1"/>
  <c r="X240" i="1"/>
  <c r="Y240" i="1" s="1"/>
  <c r="X239" i="1"/>
  <c r="Y239" i="1" s="1"/>
  <c r="X238" i="1"/>
  <c r="Y238" i="1" s="1"/>
  <c r="X237" i="1"/>
  <c r="Y237" i="1" s="1"/>
  <c r="X236" i="1"/>
  <c r="Y236" i="1" s="1"/>
  <c r="X235" i="1"/>
  <c r="Y235" i="1" s="1"/>
  <c r="X234" i="1"/>
  <c r="Y234" i="1" s="1"/>
  <c r="X233" i="1"/>
  <c r="Y233" i="1" s="1"/>
  <c r="X232" i="1"/>
  <c r="Y232" i="1" s="1"/>
  <c r="X231" i="1"/>
  <c r="Y231" i="1" s="1"/>
  <c r="X230" i="1"/>
  <c r="Y230" i="1" s="1"/>
  <c r="X229" i="1"/>
  <c r="Y229" i="1" s="1"/>
  <c r="X228" i="1"/>
  <c r="Y228" i="1" s="1"/>
  <c r="X227" i="1"/>
  <c r="Y227" i="1" s="1"/>
  <c r="X226" i="1"/>
  <c r="Y226" i="1" s="1"/>
  <c r="X225" i="1"/>
  <c r="Y225" i="1" s="1"/>
  <c r="X224" i="1"/>
  <c r="Y224" i="1" s="1"/>
  <c r="X223" i="1"/>
  <c r="Y223" i="1" s="1"/>
  <c r="X222" i="1"/>
  <c r="Y222" i="1" s="1"/>
  <c r="X221" i="1"/>
  <c r="Y221" i="1" s="1"/>
  <c r="X220" i="1"/>
  <c r="Y220" i="1" s="1"/>
  <c r="X219" i="1"/>
  <c r="Y219" i="1" s="1"/>
  <c r="X218" i="1"/>
  <c r="Y218" i="1" s="1"/>
  <c r="X217" i="1"/>
  <c r="Y217" i="1" s="1"/>
  <c r="X216" i="1"/>
  <c r="Y216" i="1" s="1"/>
  <c r="X215" i="1"/>
  <c r="Y215" i="1" s="1"/>
  <c r="X214" i="1"/>
  <c r="Y214" i="1" s="1"/>
  <c r="X213" i="1"/>
  <c r="Y213" i="1" s="1"/>
  <c r="X212" i="1"/>
  <c r="Y212" i="1" s="1"/>
  <c r="X211" i="1"/>
  <c r="Y211" i="1" s="1"/>
  <c r="X210" i="1"/>
  <c r="Y210" i="1" s="1"/>
  <c r="X209" i="1"/>
  <c r="Y209" i="1" s="1"/>
  <c r="X208" i="1"/>
  <c r="Y208" i="1" s="1"/>
  <c r="X207" i="1"/>
  <c r="Y207" i="1" s="1"/>
  <c r="X206" i="1"/>
  <c r="Y206" i="1" s="1"/>
  <c r="X205" i="1"/>
  <c r="Y205" i="1" s="1"/>
  <c r="X204" i="1"/>
  <c r="Y204" i="1" s="1"/>
  <c r="X203" i="1"/>
  <c r="Y203" i="1" s="1"/>
  <c r="X202" i="1"/>
  <c r="Y202" i="1" s="1"/>
  <c r="X201" i="1"/>
  <c r="Y201" i="1" s="1"/>
  <c r="X200" i="1"/>
  <c r="Y200" i="1" s="1"/>
  <c r="X199" i="1"/>
  <c r="Y199" i="1" s="1"/>
  <c r="X198" i="1"/>
  <c r="Y198" i="1" s="1"/>
  <c r="X197" i="1"/>
  <c r="Y197" i="1" s="1"/>
  <c r="X196" i="1"/>
  <c r="Y196" i="1" s="1"/>
  <c r="X195" i="1"/>
  <c r="Y195" i="1" s="1"/>
  <c r="X194" i="1"/>
  <c r="Y194" i="1" s="1"/>
  <c r="X193" i="1"/>
  <c r="Y193" i="1" s="1"/>
  <c r="X192" i="1"/>
  <c r="Y192" i="1" s="1"/>
  <c r="X191" i="1"/>
  <c r="Y191" i="1" s="1"/>
  <c r="X190" i="1"/>
  <c r="Y190" i="1" s="1"/>
  <c r="X189" i="1"/>
  <c r="Y189" i="1" s="1"/>
  <c r="X188" i="1"/>
  <c r="Y188" i="1" s="1"/>
  <c r="X187" i="1"/>
  <c r="Y187" i="1" s="1"/>
  <c r="X186" i="1"/>
  <c r="Y186" i="1" s="1"/>
  <c r="X185" i="1"/>
  <c r="Y185" i="1" s="1"/>
  <c r="X184" i="1"/>
  <c r="Y184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7" i="1"/>
  <c r="Y177" i="1" s="1"/>
  <c r="X176" i="1"/>
  <c r="Y176" i="1" s="1"/>
  <c r="X175" i="1"/>
  <c r="Y175" i="1" s="1"/>
  <c r="X174" i="1"/>
  <c r="Y174" i="1" s="1"/>
  <c r="X173" i="1"/>
  <c r="Y173" i="1" s="1"/>
  <c r="X172" i="1"/>
  <c r="Y172" i="1" s="1"/>
  <c r="X171" i="1"/>
  <c r="Y171" i="1" s="1"/>
  <c r="X170" i="1"/>
  <c r="Y170" i="1" s="1"/>
  <c r="X169" i="1"/>
  <c r="Y169" i="1" s="1"/>
  <c r="X168" i="1"/>
  <c r="Y168" i="1" s="1"/>
  <c r="X167" i="1"/>
  <c r="Y167" i="1" s="1"/>
  <c r="X166" i="1"/>
  <c r="Y166" i="1" s="1"/>
  <c r="X165" i="1"/>
  <c r="Y165" i="1" s="1"/>
  <c r="X164" i="1"/>
  <c r="Y164" i="1" s="1"/>
  <c r="X163" i="1"/>
  <c r="Y163" i="1" s="1"/>
  <c r="X162" i="1"/>
  <c r="Y162" i="1" s="1"/>
  <c r="X161" i="1"/>
  <c r="Y161" i="1" s="1"/>
  <c r="X160" i="1"/>
  <c r="Y160" i="1" s="1"/>
  <c r="X159" i="1"/>
  <c r="Y159" i="1" s="1"/>
  <c r="X158" i="1"/>
  <c r="Y158" i="1" s="1"/>
  <c r="X157" i="1"/>
  <c r="Y157" i="1" s="1"/>
  <c r="X156" i="1"/>
  <c r="Y156" i="1" s="1"/>
  <c r="X155" i="1"/>
  <c r="Y155" i="1" s="1"/>
  <c r="X154" i="1"/>
  <c r="Y154" i="1" s="1"/>
  <c r="X153" i="1"/>
  <c r="Y153" i="1" s="1"/>
  <c r="X152" i="1"/>
  <c r="Y152" i="1" s="1"/>
  <c r="X151" i="1"/>
  <c r="Y151" i="1" s="1"/>
  <c r="X150" i="1"/>
  <c r="Y150" i="1" s="1"/>
  <c r="X149" i="1"/>
  <c r="Y149" i="1" s="1"/>
  <c r="X148" i="1"/>
  <c r="Y148" i="1" s="1"/>
  <c r="X147" i="1"/>
  <c r="Y147" i="1" s="1"/>
  <c r="X146" i="1"/>
  <c r="Y146" i="1" s="1"/>
  <c r="X145" i="1"/>
  <c r="Y145" i="1" s="1"/>
  <c r="X144" i="1"/>
  <c r="Y144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6" i="1"/>
  <c r="Y136" i="1" s="1"/>
  <c r="X135" i="1"/>
  <c r="Y135" i="1" s="1"/>
  <c r="X134" i="1"/>
  <c r="Y134" i="1" s="1"/>
  <c r="X133" i="1"/>
  <c r="Y133" i="1" s="1"/>
  <c r="X132" i="1"/>
  <c r="Y132" i="1" s="1"/>
  <c r="X131" i="1"/>
  <c r="Y131" i="1" s="1"/>
  <c r="X130" i="1"/>
  <c r="Y130" i="1" s="1"/>
  <c r="X129" i="1"/>
  <c r="Y129" i="1" s="1"/>
  <c r="X128" i="1"/>
  <c r="Y128" i="1" s="1"/>
  <c r="X127" i="1"/>
  <c r="Y127" i="1" s="1"/>
  <c r="X126" i="1"/>
  <c r="Y126" i="1" s="1"/>
  <c r="X125" i="1"/>
  <c r="Y125" i="1" s="1"/>
  <c r="X124" i="1"/>
  <c r="Y124" i="1" s="1"/>
  <c r="X123" i="1"/>
  <c r="Y123" i="1" s="1"/>
  <c r="X122" i="1"/>
  <c r="Y122" i="1" s="1"/>
  <c r="X121" i="1"/>
  <c r="Y121" i="1" s="1"/>
  <c r="X120" i="1"/>
  <c r="Y120" i="1" s="1"/>
  <c r="X119" i="1"/>
  <c r="Y119" i="1" s="1"/>
  <c r="X118" i="1"/>
  <c r="Y118" i="1" s="1"/>
  <c r="X117" i="1"/>
  <c r="Y117" i="1" s="1"/>
  <c r="X116" i="1"/>
  <c r="Y116" i="1" s="1"/>
  <c r="X115" i="1"/>
  <c r="Y115" i="1" s="1"/>
  <c r="X114" i="1"/>
  <c r="Y114" i="1" s="1"/>
  <c r="X113" i="1"/>
  <c r="Y113" i="1" s="1"/>
  <c r="X112" i="1"/>
  <c r="Y112" i="1" s="1"/>
  <c r="X111" i="1"/>
  <c r="Y111" i="1" s="1"/>
  <c r="X110" i="1"/>
  <c r="Y110" i="1" s="1"/>
  <c r="X109" i="1"/>
  <c r="Y109" i="1" s="1"/>
  <c r="X108" i="1"/>
  <c r="Y108" i="1" s="1"/>
  <c r="X107" i="1"/>
  <c r="Y107" i="1" s="1"/>
  <c r="X106" i="1"/>
  <c r="Y106" i="1" s="1"/>
  <c r="X105" i="1"/>
  <c r="Y105" i="1" s="1"/>
  <c r="X104" i="1"/>
  <c r="Y104" i="1" s="1"/>
  <c r="X103" i="1"/>
  <c r="Y103" i="1" s="1"/>
  <c r="X102" i="1"/>
  <c r="Y102" i="1" s="1"/>
  <c r="X101" i="1"/>
  <c r="Y101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Y91" i="1" s="1"/>
  <c r="X90" i="1"/>
  <c r="Y90" i="1" s="1"/>
  <c r="X89" i="1"/>
  <c r="Y89" i="1" s="1"/>
  <c r="X88" i="1"/>
  <c r="Y88" i="1" s="1"/>
  <c r="X87" i="1"/>
  <c r="Y87" i="1" s="1"/>
  <c r="X86" i="1"/>
  <c r="Y86" i="1" s="1"/>
  <c r="X85" i="1"/>
  <c r="Y85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6" i="1"/>
  <c r="Y76" i="1" s="1"/>
  <c r="X75" i="1"/>
  <c r="Y75" i="1" s="1"/>
  <c r="X74" i="1"/>
  <c r="Y74" i="1" s="1"/>
  <c r="X73" i="1"/>
  <c r="Y73" i="1" s="1"/>
  <c r="X72" i="1"/>
  <c r="Y72" i="1" s="1"/>
  <c r="X71" i="1"/>
  <c r="Y71" i="1" s="1"/>
  <c r="X70" i="1"/>
  <c r="Y70" i="1" s="1"/>
  <c r="X69" i="1"/>
  <c r="Y69" i="1" s="1"/>
  <c r="X68" i="1"/>
  <c r="Y68" i="1" s="1"/>
  <c r="X67" i="1"/>
  <c r="Y67" i="1" s="1"/>
  <c r="X66" i="1"/>
  <c r="Y66" i="1" s="1"/>
  <c r="X65" i="1"/>
  <c r="Y65" i="1" s="1"/>
  <c r="X64" i="1"/>
  <c r="Y64" i="1" s="1"/>
  <c r="X63" i="1"/>
  <c r="Y63" i="1" s="1"/>
  <c r="X62" i="1"/>
  <c r="Y62" i="1" s="1"/>
  <c r="X61" i="1"/>
  <c r="Y61" i="1" s="1"/>
  <c r="X60" i="1"/>
  <c r="Y60" i="1" s="1"/>
  <c r="X59" i="1"/>
  <c r="Y59" i="1" s="1"/>
  <c r="X58" i="1"/>
  <c r="Y58" i="1" s="1"/>
  <c r="X57" i="1"/>
  <c r="Y57" i="1" s="1"/>
  <c r="X56" i="1"/>
  <c r="Y56" i="1" s="1"/>
  <c r="X55" i="1"/>
  <c r="Y55" i="1" s="1"/>
  <c r="X54" i="1"/>
  <c r="Y54" i="1" s="1"/>
  <c r="X53" i="1"/>
  <c r="Y53" i="1" s="1"/>
  <c r="X52" i="1"/>
  <c r="Y52" i="1" s="1"/>
  <c r="X51" i="1"/>
  <c r="Y51" i="1" s="1"/>
  <c r="X50" i="1"/>
  <c r="Y50" i="1" s="1"/>
  <c r="X49" i="1"/>
  <c r="Y49" i="1" s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X39" i="1"/>
  <c r="Y39" i="1" s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W368" i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V400" i="1" s="1"/>
  <c r="U401" i="1"/>
  <c r="V401" i="1" s="1"/>
  <c r="U7" i="1"/>
  <c r="V7" i="1" s="1"/>
  <c r="S385" i="1"/>
  <c r="T385" i="1" s="1"/>
  <c r="S257" i="1"/>
  <c r="T257" i="1" s="1"/>
  <c r="S248" i="1"/>
  <c r="T248" i="1" s="1"/>
  <c r="S247" i="1"/>
  <c r="T247" i="1" s="1"/>
  <c r="S193" i="1"/>
  <c r="T193" i="1" s="1"/>
  <c r="S65" i="1"/>
  <c r="T65" i="1" s="1"/>
  <c r="R401" i="1"/>
  <c r="S401" i="1" s="1"/>
  <c r="T401" i="1" s="1"/>
  <c r="R400" i="1"/>
  <c r="S400" i="1" s="1"/>
  <c r="T400" i="1" s="1"/>
  <c r="R399" i="1"/>
  <c r="S399" i="1" s="1"/>
  <c r="T399" i="1" s="1"/>
  <c r="R398" i="1"/>
  <c r="S398" i="1" s="1"/>
  <c r="T398" i="1" s="1"/>
  <c r="R397" i="1"/>
  <c r="S397" i="1" s="1"/>
  <c r="T397" i="1" s="1"/>
  <c r="R396" i="1"/>
  <c r="S396" i="1" s="1"/>
  <c r="T396" i="1" s="1"/>
  <c r="R395" i="1"/>
  <c r="S395" i="1" s="1"/>
  <c r="T395" i="1" s="1"/>
  <c r="R394" i="1"/>
  <c r="S394" i="1" s="1"/>
  <c r="T394" i="1" s="1"/>
  <c r="R393" i="1"/>
  <c r="S393" i="1" s="1"/>
  <c r="T393" i="1" s="1"/>
  <c r="R392" i="1"/>
  <c r="S392" i="1" s="1"/>
  <c r="T392" i="1" s="1"/>
  <c r="R391" i="1"/>
  <c r="S391" i="1" s="1"/>
  <c r="T391" i="1" s="1"/>
  <c r="R390" i="1"/>
  <c r="S390" i="1" s="1"/>
  <c r="T390" i="1" s="1"/>
  <c r="R389" i="1"/>
  <c r="S389" i="1" s="1"/>
  <c r="T389" i="1" s="1"/>
  <c r="R388" i="1"/>
  <c r="S388" i="1" s="1"/>
  <c r="T388" i="1" s="1"/>
  <c r="R387" i="1"/>
  <c r="S387" i="1" s="1"/>
  <c r="T387" i="1" s="1"/>
  <c r="R386" i="1"/>
  <c r="S386" i="1" s="1"/>
  <c r="T386" i="1" s="1"/>
  <c r="R385" i="1"/>
  <c r="R384" i="1"/>
  <c r="S384" i="1" s="1"/>
  <c r="T384" i="1" s="1"/>
  <c r="R383" i="1"/>
  <c r="S383" i="1" s="1"/>
  <c r="T383" i="1" s="1"/>
  <c r="R382" i="1"/>
  <c r="S382" i="1" s="1"/>
  <c r="T382" i="1" s="1"/>
  <c r="R381" i="1"/>
  <c r="S381" i="1" s="1"/>
  <c r="T381" i="1" s="1"/>
  <c r="R380" i="1"/>
  <c r="S380" i="1" s="1"/>
  <c r="T380" i="1" s="1"/>
  <c r="R379" i="1"/>
  <c r="S379" i="1" s="1"/>
  <c r="T379" i="1" s="1"/>
  <c r="R378" i="1"/>
  <c r="S378" i="1" s="1"/>
  <c r="T378" i="1" s="1"/>
  <c r="R377" i="1"/>
  <c r="S377" i="1" s="1"/>
  <c r="T377" i="1" s="1"/>
  <c r="R376" i="1"/>
  <c r="S376" i="1" s="1"/>
  <c r="T376" i="1" s="1"/>
  <c r="R375" i="1"/>
  <c r="S375" i="1" s="1"/>
  <c r="T375" i="1" s="1"/>
  <c r="R374" i="1"/>
  <c r="S374" i="1" s="1"/>
  <c r="T374" i="1" s="1"/>
  <c r="R373" i="1"/>
  <c r="S373" i="1" s="1"/>
  <c r="T373" i="1" s="1"/>
  <c r="R372" i="1"/>
  <c r="S372" i="1" s="1"/>
  <c r="T372" i="1" s="1"/>
  <c r="R371" i="1"/>
  <c r="S371" i="1" s="1"/>
  <c r="T371" i="1" s="1"/>
  <c r="R370" i="1"/>
  <c r="S370" i="1" s="1"/>
  <c r="T370" i="1" s="1"/>
  <c r="R369" i="1"/>
  <c r="S369" i="1" s="1"/>
  <c r="T369" i="1" s="1"/>
  <c r="R368" i="1"/>
  <c r="S368" i="1" s="1"/>
  <c r="T368" i="1" s="1"/>
  <c r="R367" i="1"/>
  <c r="S367" i="1" s="1"/>
  <c r="T367" i="1" s="1"/>
  <c r="R366" i="1"/>
  <c r="S366" i="1" s="1"/>
  <c r="T366" i="1" s="1"/>
  <c r="R365" i="1"/>
  <c r="S365" i="1" s="1"/>
  <c r="T365" i="1" s="1"/>
  <c r="R364" i="1"/>
  <c r="S364" i="1" s="1"/>
  <c r="T364" i="1" s="1"/>
  <c r="R363" i="1"/>
  <c r="S363" i="1" s="1"/>
  <c r="T363" i="1" s="1"/>
  <c r="R362" i="1"/>
  <c r="S362" i="1" s="1"/>
  <c r="T362" i="1" s="1"/>
  <c r="R361" i="1"/>
  <c r="S361" i="1" s="1"/>
  <c r="T361" i="1" s="1"/>
  <c r="R360" i="1"/>
  <c r="S360" i="1" s="1"/>
  <c r="T360" i="1" s="1"/>
  <c r="R359" i="1"/>
  <c r="S359" i="1" s="1"/>
  <c r="T359" i="1" s="1"/>
  <c r="R358" i="1"/>
  <c r="S358" i="1" s="1"/>
  <c r="T358" i="1" s="1"/>
  <c r="R357" i="1"/>
  <c r="S357" i="1" s="1"/>
  <c r="T357" i="1" s="1"/>
  <c r="R356" i="1"/>
  <c r="S356" i="1" s="1"/>
  <c r="T356" i="1" s="1"/>
  <c r="R355" i="1"/>
  <c r="S355" i="1" s="1"/>
  <c r="T355" i="1" s="1"/>
  <c r="R354" i="1"/>
  <c r="S354" i="1" s="1"/>
  <c r="T354" i="1" s="1"/>
  <c r="R353" i="1"/>
  <c r="S353" i="1" s="1"/>
  <c r="T353" i="1" s="1"/>
  <c r="R352" i="1"/>
  <c r="S352" i="1" s="1"/>
  <c r="T352" i="1" s="1"/>
  <c r="R351" i="1"/>
  <c r="S351" i="1" s="1"/>
  <c r="T351" i="1" s="1"/>
  <c r="R350" i="1"/>
  <c r="S350" i="1" s="1"/>
  <c r="T350" i="1" s="1"/>
  <c r="R349" i="1"/>
  <c r="S349" i="1" s="1"/>
  <c r="T349" i="1" s="1"/>
  <c r="R348" i="1"/>
  <c r="S348" i="1" s="1"/>
  <c r="T348" i="1" s="1"/>
  <c r="R347" i="1"/>
  <c r="S347" i="1" s="1"/>
  <c r="T347" i="1" s="1"/>
  <c r="R346" i="1"/>
  <c r="S346" i="1" s="1"/>
  <c r="T346" i="1" s="1"/>
  <c r="R345" i="1"/>
  <c r="S345" i="1" s="1"/>
  <c r="T345" i="1" s="1"/>
  <c r="R344" i="1"/>
  <c r="S344" i="1" s="1"/>
  <c r="T344" i="1" s="1"/>
  <c r="R343" i="1"/>
  <c r="S343" i="1" s="1"/>
  <c r="T343" i="1" s="1"/>
  <c r="R342" i="1"/>
  <c r="S342" i="1" s="1"/>
  <c r="T342" i="1" s="1"/>
  <c r="R341" i="1"/>
  <c r="S341" i="1" s="1"/>
  <c r="T341" i="1" s="1"/>
  <c r="R340" i="1"/>
  <c r="S340" i="1" s="1"/>
  <c r="T340" i="1" s="1"/>
  <c r="R339" i="1"/>
  <c r="S339" i="1" s="1"/>
  <c r="T339" i="1" s="1"/>
  <c r="R338" i="1"/>
  <c r="S338" i="1" s="1"/>
  <c r="T338" i="1" s="1"/>
  <c r="R337" i="1"/>
  <c r="S337" i="1" s="1"/>
  <c r="T337" i="1" s="1"/>
  <c r="R336" i="1"/>
  <c r="S336" i="1" s="1"/>
  <c r="T336" i="1" s="1"/>
  <c r="R335" i="1"/>
  <c r="S335" i="1" s="1"/>
  <c r="T335" i="1" s="1"/>
  <c r="R334" i="1"/>
  <c r="S334" i="1" s="1"/>
  <c r="T334" i="1" s="1"/>
  <c r="R333" i="1"/>
  <c r="S333" i="1" s="1"/>
  <c r="T333" i="1" s="1"/>
  <c r="R332" i="1"/>
  <c r="S332" i="1" s="1"/>
  <c r="T332" i="1" s="1"/>
  <c r="R331" i="1"/>
  <c r="S331" i="1" s="1"/>
  <c r="T331" i="1" s="1"/>
  <c r="R330" i="1"/>
  <c r="S330" i="1" s="1"/>
  <c r="T330" i="1" s="1"/>
  <c r="R329" i="1"/>
  <c r="S329" i="1" s="1"/>
  <c r="T329" i="1" s="1"/>
  <c r="R328" i="1"/>
  <c r="S328" i="1" s="1"/>
  <c r="T328" i="1" s="1"/>
  <c r="R327" i="1"/>
  <c r="S327" i="1" s="1"/>
  <c r="T327" i="1" s="1"/>
  <c r="R326" i="1"/>
  <c r="S326" i="1" s="1"/>
  <c r="T326" i="1" s="1"/>
  <c r="R325" i="1"/>
  <c r="S325" i="1" s="1"/>
  <c r="T325" i="1" s="1"/>
  <c r="R324" i="1"/>
  <c r="S324" i="1" s="1"/>
  <c r="T324" i="1" s="1"/>
  <c r="R323" i="1"/>
  <c r="S323" i="1" s="1"/>
  <c r="T323" i="1" s="1"/>
  <c r="R322" i="1"/>
  <c r="S322" i="1" s="1"/>
  <c r="T322" i="1" s="1"/>
  <c r="R321" i="1"/>
  <c r="S321" i="1" s="1"/>
  <c r="T321" i="1" s="1"/>
  <c r="R320" i="1"/>
  <c r="S320" i="1" s="1"/>
  <c r="T320" i="1" s="1"/>
  <c r="R319" i="1"/>
  <c r="S319" i="1" s="1"/>
  <c r="T319" i="1" s="1"/>
  <c r="R318" i="1"/>
  <c r="S318" i="1" s="1"/>
  <c r="T318" i="1" s="1"/>
  <c r="R317" i="1"/>
  <c r="S317" i="1" s="1"/>
  <c r="T317" i="1" s="1"/>
  <c r="R316" i="1"/>
  <c r="S316" i="1" s="1"/>
  <c r="T316" i="1" s="1"/>
  <c r="R315" i="1"/>
  <c r="S315" i="1" s="1"/>
  <c r="T315" i="1" s="1"/>
  <c r="R314" i="1"/>
  <c r="S314" i="1" s="1"/>
  <c r="T314" i="1" s="1"/>
  <c r="R313" i="1"/>
  <c r="S313" i="1" s="1"/>
  <c r="T313" i="1" s="1"/>
  <c r="R312" i="1"/>
  <c r="S312" i="1" s="1"/>
  <c r="T312" i="1" s="1"/>
  <c r="R311" i="1"/>
  <c r="S311" i="1" s="1"/>
  <c r="T311" i="1" s="1"/>
  <c r="R310" i="1"/>
  <c r="S310" i="1" s="1"/>
  <c r="T310" i="1" s="1"/>
  <c r="R309" i="1"/>
  <c r="S309" i="1" s="1"/>
  <c r="T309" i="1" s="1"/>
  <c r="R308" i="1"/>
  <c r="S308" i="1" s="1"/>
  <c r="T308" i="1" s="1"/>
  <c r="R307" i="1"/>
  <c r="S307" i="1" s="1"/>
  <c r="T307" i="1" s="1"/>
  <c r="R306" i="1"/>
  <c r="S306" i="1" s="1"/>
  <c r="T306" i="1" s="1"/>
  <c r="R305" i="1"/>
  <c r="S305" i="1" s="1"/>
  <c r="T305" i="1" s="1"/>
  <c r="R304" i="1"/>
  <c r="S304" i="1" s="1"/>
  <c r="T304" i="1" s="1"/>
  <c r="R303" i="1"/>
  <c r="S303" i="1" s="1"/>
  <c r="T303" i="1" s="1"/>
  <c r="R302" i="1"/>
  <c r="S302" i="1" s="1"/>
  <c r="T302" i="1" s="1"/>
  <c r="R301" i="1"/>
  <c r="S301" i="1" s="1"/>
  <c r="T301" i="1" s="1"/>
  <c r="R300" i="1"/>
  <c r="S300" i="1" s="1"/>
  <c r="T300" i="1" s="1"/>
  <c r="R299" i="1"/>
  <c r="S299" i="1" s="1"/>
  <c r="T299" i="1" s="1"/>
  <c r="R298" i="1"/>
  <c r="S298" i="1" s="1"/>
  <c r="T298" i="1" s="1"/>
  <c r="R297" i="1"/>
  <c r="S297" i="1" s="1"/>
  <c r="T297" i="1" s="1"/>
  <c r="R296" i="1"/>
  <c r="S296" i="1" s="1"/>
  <c r="T296" i="1" s="1"/>
  <c r="R295" i="1"/>
  <c r="S295" i="1" s="1"/>
  <c r="T295" i="1" s="1"/>
  <c r="R294" i="1"/>
  <c r="S294" i="1" s="1"/>
  <c r="T294" i="1" s="1"/>
  <c r="R293" i="1"/>
  <c r="S293" i="1" s="1"/>
  <c r="T293" i="1" s="1"/>
  <c r="R292" i="1"/>
  <c r="S292" i="1" s="1"/>
  <c r="T292" i="1" s="1"/>
  <c r="R291" i="1"/>
  <c r="S291" i="1" s="1"/>
  <c r="T291" i="1" s="1"/>
  <c r="R290" i="1"/>
  <c r="S290" i="1" s="1"/>
  <c r="T290" i="1" s="1"/>
  <c r="R289" i="1"/>
  <c r="S289" i="1" s="1"/>
  <c r="T289" i="1" s="1"/>
  <c r="R288" i="1"/>
  <c r="S288" i="1" s="1"/>
  <c r="T288" i="1" s="1"/>
  <c r="R287" i="1"/>
  <c r="S287" i="1" s="1"/>
  <c r="T287" i="1" s="1"/>
  <c r="R286" i="1"/>
  <c r="S286" i="1" s="1"/>
  <c r="T286" i="1" s="1"/>
  <c r="R285" i="1"/>
  <c r="S285" i="1" s="1"/>
  <c r="T285" i="1" s="1"/>
  <c r="R284" i="1"/>
  <c r="S284" i="1" s="1"/>
  <c r="T284" i="1" s="1"/>
  <c r="R283" i="1"/>
  <c r="S283" i="1" s="1"/>
  <c r="T283" i="1" s="1"/>
  <c r="R282" i="1"/>
  <c r="S282" i="1" s="1"/>
  <c r="T282" i="1" s="1"/>
  <c r="R281" i="1"/>
  <c r="S281" i="1" s="1"/>
  <c r="T281" i="1" s="1"/>
  <c r="R280" i="1"/>
  <c r="S280" i="1" s="1"/>
  <c r="T280" i="1" s="1"/>
  <c r="R279" i="1"/>
  <c r="S279" i="1" s="1"/>
  <c r="T279" i="1" s="1"/>
  <c r="R278" i="1"/>
  <c r="S278" i="1" s="1"/>
  <c r="T278" i="1" s="1"/>
  <c r="R277" i="1"/>
  <c r="S277" i="1" s="1"/>
  <c r="T277" i="1" s="1"/>
  <c r="R276" i="1"/>
  <c r="S276" i="1" s="1"/>
  <c r="T276" i="1" s="1"/>
  <c r="R275" i="1"/>
  <c r="S275" i="1" s="1"/>
  <c r="T275" i="1" s="1"/>
  <c r="R274" i="1"/>
  <c r="S274" i="1" s="1"/>
  <c r="T274" i="1" s="1"/>
  <c r="R273" i="1"/>
  <c r="S273" i="1" s="1"/>
  <c r="T273" i="1" s="1"/>
  <c r="R272" i="1"/>
  <c r="S272" i="1" s="1"/>
  <c r="T272" i="1" s="1"/>
  <c r="R271" i="1"/>
  <c r="S271" i="1" s="1"/>
  <c r="T271" i="1" s="1"/>
  <c r="R270" i="1"/>
  <c r="S270" i="1" s="1"/>
  <c r="T270" i="1" s="1"/>
  <c r="R269" i="1"/>
  <c r="S269" i="1" s="1"/>
  <c r="T269" i="1" s="1"/>
  <c r="R268" i="1"/>
  <c r="S268" i="1" s="1"/>
  <c r="T268" i="1" s="1"/>
  <c r="R267" i="1"/>
  <c r="S267" i="1" s="1"/>
  <c r="T267" i="1" s="1"/>
  <c r="R266" i="1"/>
  <c r="S266" i="1" s="1"/>
  <c r="T266" i="1" s="1"/>
  <c r="R265" i="1"/>
  <c r="S265" i="1" s="1"/>
  <c r="T265" i="1" s="1"/>
  <c r="R264" i="1"/>
  <c r="S264" i="1" s="1"/>
  <c r="T264" i="1" s="1"/>
  <c r="R263" i="1"/>
  <c r="S263" i="1" s="1"/>
  <c r="T263" i="1" s="1"/>
  <c r="R262" i="1"/>
  <c r="S262" i="1" s="1"/>
  <c r="T262" i="1" s="1"/>
  <c r="R261" i="1"/>
  <c r="S261" i="1" s="1"/>
  <c r="T261" i="1" s="1"/>
  <c r="R260" i="1"/>
  <c r="S260" i="1" s="1"/>
  <c r="T260" i="1" s="1"/>
  <c r="R259" i="1"/>
  <c r="S259" i="1" s="1"/>
  <c r="T259" i="1" s="1"/>
  <c r="R258" i="1"/>
  <c r="S258" i="1" s="1"/>
  <c r="T258" i="1" s="1"/>
  <c r="R257" i="1"/>
  <c r="R256" i="1"/>
  <c r="S256" i="1" s="1"/>
  <c r="T256" i="1" s="1"/>
  <c r="R255" i="1"/>
  <c r="S255" i="1" s="1"/>
  <c r="T255" i="1" s="1"/>
  <c r="R254" i="1"/>
  <c r="S254" i="1" s="1"/>
  <c r="T254" i="1" s="1"/>
  <c r="R253" i="1"/>
  <c r="S253" i="1" s="1"/>
  <c r="T253" i="1" s="1"/>
  <c r="R252" i="1"/>
  <c r="S252" i="1" s="1"/>
  <c r="T252" i="1" s="1"/>
  <c r="R251" i="1"/>
  <c r="S251" i="1" s="1"/>
  <c r="T251" i="1" s="1"/>
  <c r="R250" i="1"/>
  <c r="S250" i="1" s="1"/>
  <c r="T250" i="1" s="1"/>
  <c r="R249" i="1"/>
  <c r="S249" i="1" s="1"/>
  <c r="T249" i="1" s="1"/>
  <c r="R248" i="1"/>
  <c r="R247" i="1"/>
  <c r="R246" i="1"/>
  <c r="S246" i="1" s="1"/>
  <c r="T246" i="1" s="1"/>
  <c r="R245" i="1"/>
  <c r="S245" i="1" s="1"/>
  <c r="T245" i="1" s="1"/>
  <c r="R244" i="1"/>
  <c r="S244" i="1" s="1"/>
  <c r="T244" i="1" s="1"/>
  <c r="R243" i="1"/>
  <c r="S243" i="1" s="1"/>
  <c r="T243" i="1" s="1"/>
  <c r="R242" i="1"/>
  <c r="S242" i="1" s="1"/>
  <c r="T242" i="1" s="1"/>
  <c r="R241" i="1"/>
  <c r="S241" i="1" s="1"/>
  <c r="T241" i="1" s="1"/>
  <c r="R240" i="1"/>
  <c r="S240" i="1" s="1"/>
  <c r="T240" i="1" s="1"/>
  <c r="R239" i="1"/>
  <c r="S239" i="1" s="1"/>
  <c r="T239" i="1" s="1"/>
  <c r="R238" i="1"/>
  <c r="S238" i="1" s="1"/>
  <c r="T238" i="1" s="1"/>
  <c r="R237" i="1"/>
  <c r="S237" i="1" s="1"/>
  <c r="T237" i="1" s="1"/>
  <c r="R236" i="1"/>
  <c r="S236" i="1" s="1"/>
  <c r="T236" i="1" s="1"/>
  <c r="R235" i="1"/>
  <c r="S235" i="1" s="1"/>
  <c r="T235" i="1" s="1"/>
  <c r="R234" i="1"/>
  <c r="S234" i="1" s="1"/>
  <c r="T234" i="1" s="1"/>
  <c r="R233" i="1"/>
  <c r="S233" i="1" s="1"/>
  <c r="T233" i="1" s="1"/>
  <c r="R232" i="1"/>
  <c r="S232" i="1" s="1"/>
  <c r="T232" i="1" s="1"/>
  <c r="R231" i="1"/>
  <c r="S231" i="1" s="1"/>
  <c r="T231" i="1" s="1"/>
  <c r="R230" i="1"/>
  <c r="S230" i="1" s="1"/>
  <c r="T230" i="1" s="1"/>
  <c r="R229" i="1"/>
  <c r="S229" i="1" s="1"/>
  <c r="T229" i="1" s="1"/>
  <c r="R228" i="1"/>
  <c r="S228" i="1" s="1"/>
  <c r="T228" i="1" s="1"/>
  <c r="R227" i="1"/>
  <c r="S227" i="1" s="1"/>
  <c r="T227" i="1" s="1"/>
  <c r="R226" i="1"/>
  <c r="S226" i="1" s="1"/>
  <c r="T226" i="1" s="1"/>
  <c r="R225" i="1"/>
  <c r="S225" i="1" s="1"/>
  <c r="T225" i="1" s="1"/>
  <c r="R224" i="1"/>
  <c r="S224" i="1" s="1"/>
  <c r="T224" i="1" s="1"/>
  <c r="R223" i="1"/>
  <c r="S223" i="1" s="1"/>
  <c r="T223" i="1" s="1"/>
  <c r="R222" i="1"/>
  <c r="S222" i="1" s="1"/>
  <c r="T222" i="1" s="1"/>
  <c r="R221" i="1"/>
  <c r="S221" i="1" s="1"/>
  <c r="T221" i="1" s="1"/>
  <c r="R220" i="1"/>
  <c r="S220" i="1" s="1"/>
  <c r="T220" i="1" s="1"/>
  <c r="R219" i="1"/>
  <c r="S219" i="1" s="1"/>
  <c r="T219" i="1" s="1"/>
  <c r="R218" i="1"/>
  <c r="S218" i="1" s="1"/>
  <c r="T218" i="1" s="1"/>
  <c r="R217" i="1"/>
  <c r="S217" i="1" s="1"/>
  <c r="T217" i="1" s="1"/>
  <c r="R216" i="1"/>
  <c r="S216" i="1" s="1"/>
  <c r="T216" i="1" s="1"/>
  <c r="R215" i="1"/>
  <c r="S215" i="1" s="1"/>
  <c r="T215" i="1" s="1"/>
  <c r="R214" i="1"/>
  <c r="S214" i="1" s="1"/>
  <c r="T214" i="1" s="1"/>
  <c r="R213" i="1"/>
  <c r="S213" i="1" s="1"/>
  <c r="T213" i="1" s="1"/>
  <c r="R212" i="1"/>
  <c r="S212" i="1" s="1"/>
  <c r="T212" i="1" s="1"/>
  <c r="R211" i="1"/>
  <c r="S211" i="1" s="1"/>
  <c r="T211" i="1" s="1"/>
  <c r="R210" i="1"/>
  <c r="S210" i="1" s="1"/>
  <c r="T210" i="1" s="1"/>
  <c r="R209" i="1"/>
  <c r="S209" i="1" s="1"/>
  <c r="T209" i="1" s="1"/>
  <c r="R208" i="1"/>
  <c r="S208" i="1" s="1"/>
  <c r="T208" i="1" s="1"/>
  <c r="R207" i="1"/>
  <c r="S207" i="1" s="1"/>
  <c r="T207" i="1" s="1"/>
  <c r="R206" i="1"/>
  <c r="S206" i="1" s="1"/>
  <c r="T206" i="1" s="1"/>
  <c r="R205" i="1"/>
  <c r="S205" i="1" s="1"/>
  <c r="T205" i="1" s="1"/>
  <c r="R204" i="1"/>
  <c r="S204" i="1" s="1"/>
  <c r="T204" i="1" s="1"/>
  <c r="R203" i="1"/>
  <c r="S203" i="1" s="1"/>
  <c r="T203" i="1" s="1"/>
  <c r="R202" i="1"/>
  <c r="S202" i="1" s="1"/>
  <c r="T202" i="1" s="1"/>
  <c r="R201" i="1"/>
  <c r="S201" i="1" s="1"/>
  <c r="T201" i="1" s="1"/>
  <c r="R200" i="1"/>
  <c r="S200" i="1" s="1"/>
  <c r="T200" i="1" s="1"/>
  <c r="R199" i="1"/>
  <c r="S199" i="1" s="1"/>
  <c r="T199" i="1" s="1"/>
  <c r="R198" i="1"/>
  <c r="S198" i="1" s="1"/>
  <c r="T198" i="1" s="1"/>
  <c r="R197" i="1"/>
  <c r="S197" i="1" s="1"/>
  <c r="T197" i="1" s="1"/>
  <c r="R196" i="1"/>
  <c r="S196" i="1" s="1"/>
  <c r="T196" i="1" s="1"/>
  <c r="R195" i="1"/>
  <c r="S195" i="1" s="1"/>
  <c r="T195" i="1" s="1"/>
  <c r="R194" i="1"/>
  <c r="S194" i="1" s="1"/>
  <c r="T194" i="1" s="1"/>
  <c r="R193" i="1"/>
  <c r="R192" i="1"/>
  <c r="S192" i="1" s="1"/>
  <c r="T192" i="1" s="1"/>
  <c r="R191" i="1"/>
  <c r="S191" i="1" s="1"/>
  <c r="T191" i="1" s="1"/>
  <c r="R190" i="1"/>
  <c r="S190" i="1" s="1"/>
  <c r="T190" i="1" s="1"/>
  <c r="R189" i="1"/>
  <c r="S189" i="1" s="1"/>
  <c r="T189" i="1" s="1"/>
  <c r="R188" i="1"/>
  <c r="S188" i="1" s="1"/>
  <c r="T188" i="1" s="1"/>
  <c r="R187" i="1"/>
  <c r="S187" i="1" s="1"/>
  <c r="T187" i="1" s="1"/>
  <c r="R186" i="1"/>
  <c r="S186" i="1" s="1"/>
  <c r="T186" i="1" s="1"/>
  <c r="R185" i="1"/>
  <c r="S185" i="1" s="1"/>
  <c r="T185" i="1" s="1"/>
  <c r="R184" i="1"/>
  <c r="S184" i="1" s="1"/>
  <c r="T184" i="1" s="1"/>
  <c r="R183" i="1"/>
  <c r="S183" i="1" s="1"/>
  <c r="T183" i="1" s="1"/>
  <c r="R182" i="1"/>
  <c r="S182" i="1" s="1"/>
  <c r="T182" i="1" s="1"/>
  <c r="R181" i="1"/>
  <c r="S181" i="1" s="1"/>
  <c r="T181" i="1" s="1"/>
  <c r="R180" i="1"/>
  <c r="S180" i="1" s="1"/>
  <c r="T180" i="1" s="1"/>
  <c r="R179" i="1"/>
  <c r="S179" i="1" s="1"/>
  <c r="T179" i="1" s="1"/>
  <c r="R178" i="1"/>
  <c r="S178" i="1" s="1"/>
  <c r="T178" i="1" s="1"/>
  <c r="R177" i="1"/>
  <c r="S177" i="1" s="1"/>
  <c r="T177" i="1" s="1"/>
  <c r="R176" i="1"/>
  <c r="S176" i="1" s="1"/>
  <c r="T176" i="1" s="1"/>
  <c r="R175" i="1"/>
  <c r="S175" i="1" s="1"/>
  <c r="T175" i="1" s="1"/>
  <c r="R174" i="1"/>
  <c r="S174" i="1" s="1"/>
  <c r="T174" i="1" s="1"/>
  <c r="R173" i="1"/>
  <c r="S173" i="1" s="1"/>
  <c r="T173" i="1" s="1"/>
  <c r="R172" i="1"/>
  <c r="S172" i="1" s="1"/>
  <c r="T172" i="1" s="1"/>
  <c r="R171" i="1"/>
  <c r="S171" i="1" s="1"/>
  <c r="T171" i="1" s="1"/>
  <c r="R170" i="1"/>
  <c r="S170" i="1" s="1"/>
  <c r="T170" i="1" s="1"/>
  <c r="R169" i="1"/>
  <c r="S169" i="1" s="1"/>
  <c r="T169" i="1" s="1"/>
  <c r="R168" i="1"/>
  <c r="S168" i="1" s="1"/>
  <c r="T168" i="1" s="1"/>
  <c r="R167" i="1"/>
  <c r="S167" i="1" s="1"/>
  <c r="T167" i="1" s="1"/>
  <c r="R166" i="1"/>
  <c r="S166" i="1" s="1"/>
  <c r="T166" i="1" s="1"/>
  <c r="R165" i="1"/>
  <c r="S165" i="1" s="1"/>
  <c r="T165" i="1" s="1"/>
  <c r="R164" i="1"/>
  <c r="S164" i="1" s="1"/>
  <c r="T164" i="1" s="1"/>
  <c r="R163" i="1"/>
  <c r="S163" i="1" s="1"/>
  <c r="T163" i="1" s="1"/>
  <c r="R162" i="1"/>
  <c r="S162" i="1" s="1"/>
  <c r="T162" i="1" s="1"/>
  <c r="R161" i="1"/>
  <c r="S161" i="1" s="1"/>
  <c r="T161" i="1" s="1"/>
  <c r="R160" i="1"/>
  <c r="S160" i="1" s="1"/>
  <c r="T160" i="1" s="1"/>
  <c r="R159" i="1"/>
  <c r="S159" i="1" s="1"/>
  <c r="T159" i="1" s="1"/>
  <c r="R158" i="1"/>
  <c r="S158" i="1" s="1"/>
  <c r="T158" i="1" s="1"/>
  <c r="R157" i="1"/>
  <c r="S157" i="1" s="1"/>
  <c r="T157" i="1" s="1"/>
  <c r="R156" i="1"/>
  <c r="S156" i="1" s="1"/>
  <c r="T156" i="1" s="1"/>
  <c r="R155" i="1"/>
  <c r="S155" i="1" s="1"/>
  <c r="T155" i="1" s="1"/>
  <c r="R154" i="1"/>
  <c r="S154" i="1" s="1"/>
  <c r="T154" i="1" s="1"/>
  <c r="R153" i="1"/>
  <c r="S153" i="1" s="1"/>
  <c r="T153" i="1" s="1"/>
  <c r="R152" i="1"/>
  <c r="S152" i="1" s="1"/>
  <c r="T152" i="1" s="1"/>
  <c r="R151" i="1"/>
  <c r="S151" i="1" s="1"/>
  <c r="T151" i="1" s="1"/>
  <c r="R150" i="1"/>
  <c r="S150" i="1" s="1"/>
  <c r="T150" i="1" s="1"/>
  <c r="R149" i="1"/>
  <c r="S149" i="1" s="1"/>
  <c r="T149" i="1" s="1"/>
  <c r="R148" i="1"/>
  <c r="S148" i="1" s="1"/>
  <c r="T148" i="1" s="1"/>
  <c r="R147" i="1"/>
  <c r="S147" i="1" s="1"/>
  <c r="T147" i="1" s="1"/>
  <c r="R146" i="1"/>
  <c r="S146" i="1" s="1"/>
  <c r="T146" i="1" s="1"/>
  <c r="R145" i="1"/>
  <c r="S145" i="1" s="1"/>
  <c r="T145" i="1" s="1"/>
  <c r="R144" i="1"/>
  <c r="S144" i="1" s="1"/>
  <c r="T144" i="1" s="1"/>
  <c r="R143" i="1"/>
  <c r="S143" i="1" s="1"/>
  <c r="T143" i="1" s="1"/>
  <c r="R142" i="1"/>
  <c r="S142" i="1" s="1"/>
  <c r="T142" i="1" s="1"/>
  <c r="R141" i="1"/>
  <c r="S141" i="1" s="1"/>
  <c r="T141" i="1" s="1"/>
  <c r="R140" i="1"/>
  <c r="S140" i="1" s="1"/>
  <c r="T140" i="1" s="1"/>
  <c r="R139" i="1"/>
  <c r="S139" i="1" s="1"/>
  <c r="T139" i="1" s="1"/>
  <c r="R138" i="1"/>
  <c r="S138" i="1" s="1"/>
  <c r="T138" i="1" s="1"/>
  <c r="R137" i="1"/>
  <c r="S137" i="1" s="1"/>
  <c r="T137" i="1" s="1"/>
  <c r="R136" i="1"/>
  <c r="S136" i="1" s="1"/>
  <c r="T136" i="1" s="1"/>
  <c r="R135" i="1"/>
  <c r="S135" i="1" s="1"/>
  <c r="T135" i="1" s="1"/>
  <c r="R134" i="1"/>
  <c r="S134" i="1" s="1"/>
  <c r="T134" i="1" s="1"/>
  <c r="R133" i="1"/>
  <c r="S133" i="1" s="1"/>
  <c r="T133" i="1" s="1"/>
  <c r="R132" i="1"/>
  <c r="S132" i="1" s="1"/>
  <c r="T132" i="1" s="1"/>
  <c r="R131" i="1"/>
  <c r="S131" i="1" s="1"/>
  <c r="T131" i="1" s="1"/>
  <c r="R130" i="1"/>
  <c r="S130" i="1" s="1"/>
  <c r="T130" i="1" s="1"/>
  <c r="R129" i="1"/>
  <c r="S129" i="1" s="1"/>
  <c r="T129" i="1" s="1"/>
  <c r="R128" i="1"/>
  <c r="S128" i="1" s="1"/>
  <c r="T128" i="1" s="1"/>
  <c r="R127" i="1"/>
  <c r="S127" i="1" s="1"/>
  <c r="T127" i="1" s="1"/>
  <c r="R126" i="1"/>
  <c r="S126" i="1" s="1"/>
  <c r="T126" i="1" s="1"/>
  <c r="R125" i="1"/>
  <c r="S125" i="1" s="1"/>
  <c r="T125" i="1" s="1"/>
  <c r="R124" i="1"/>
  <c r="S124" i="1" s="1"/>
  <c r="T124" i="1" s="1"/>
  <c r="R123" i="1"/>
  <c r="S123" i="1" s="1"/>
  <c r="T123" i="1" s="1"/>
  <c r="R122" i="1"/>
  <c r="S122" i="1" s="1"/>
  <c r="T122" i="1" s="1"/>
  <c r="R121" i="1"/>
  <c r="S121" i="1" s="1"/>
  <c r="T121" i="1" s="1"/>
  <c r="R120" i="1"/>
  <c r="S120" i="1" s="1"/>
  <c r="T120" i="1" s="1"/>
  <c r="R119" i="1"/>
  <c r="S119" i="1" s="1"/>
  <c r="T119" i="1" s="1"/>
  <c r="R118" i="1"/>
  <c r="S118" i="1" s="1"/>
  <c r="T118" i="1" s="1"/>
  <c r="R117" i="1"/>
  <c r="S117" i="1" s="1"/>
  <c r="T117" i="1" s="1"/>
  <c r="R116" i="1"/>
  <c r="S116" i="1" s="1"/>
  <c r="T116" i="1" s="1"/>
  <c r="R115" i="1"/>
  <c r="S115" i="1" s="1"/>
  <c r="T115" i="1" s="1"/>
  <c r="R114" i="1"/>
  <c r="S114" i="1" s="1"/>
  <c r="T114" i="1" s="1"/>
  <c r="R113" i="1"/>
  <c r="S113" i="1" s="1"/>
  <c r="T113" i="1" s="1"/>
  <c r="R112" i="1"/>
  <c r="S112" i="1" s="1"/>
  <c r="T112" i="1" s="1"/>
  <c r="R111" i="1"/>
  <c r="S111" i="1" s="1"/>
  <c r="T111" i="1" s="1"/>
  <c r="R110" i="1"/>
  <c r="S110" i="1" s="1"/>
  <c r="T110" i="1" s="1"/>
  <c r="R109" i="1"/>
  <c r="S109" i="1" s="1"/>
  <c r="T109" i="1" s="1"/>
  <c r="R108" i="1"/>
  <c r="S108" i="1" s="1"/>
  <c r="T108" i="1" s="1"/>
  <c r="R107" i="1"/>
  <c r="S107" i="1" s="1"/>
  <c r="T107" i="1" s="1"/>
  <c r="R106" i="1"/>
  <c r="S106" i="1" s="1"/>
  <c r="T106" i="1" s="1"/>
  <c r="R105" i="1"/>
  <c r="S105" i="1" s="1"/>
  <c r="T105" i="1" s="1"/>
  <c r="R104" i="1"/>
  <c r="S104" i="1" s="1"/>
  <c r="T104" i="1" s="1"/>
  <c r="R103" i="1"/>
  <c r="S103" i="1" s="1"/>
  <c r="T103" i="1" s="1"/>
  <c r="R102" i="1"/>
  <c r="S102" i="1" s="1"/>
  <c r="T102" i="1" s="1"/>
  <c r="R101" i="1"/>
  <c r="S101" i="1" s="1"/>
  <c r="T101" i="1" s="1"/>
  <c r="R100" i="1"/>
  <c r="S100" i="1" s="1"/>
  <c r="T100" i="1" s="1"/>
  <c r="R99" i="1"/>
  <c r="S99" i="1" s="1"/>
  <c r="T99" i="1" s="1"/>
  <c r="R98" i="1"/>
  <c r="S98" i="1" s="1"/>
  <c r="T98" i="1" s="1"/>
  <c r="R97" i="1"/>
  <c r="S97" i="1" s="1"/>
  <c r="T97" i="1" s="1"/>
  <c r="R96" i="1"/>
  <c r="S96" i="1" s="1"/>
  <c r="T96" i="1" s="1"/>
  <c r="R95" i="1"/>
  <c r="S95" i="1" s="1"/>
  <c r="T95" i="1" s="1"/>
  <c r="R94" i="1"/>
  <c r="S94" i="1" s="1"/>
  <c r="T94" i="1" s="1"/>
  <c r="R93" i="1"/>
  <c r="S93" i="1" s="1"/>
  <c r="T93" i="1" s="1"/>
  <c r="R92" i="1"/>
  <c r="S92" i="1" s="1"/>
  <c r="T92" i="1" s="1"/>
  <c r="R91" i="1"/>
  <c r="S91" i="1" s="1"/>
  <c r="T91" i="1" s="1"/>
  <c r="R90" i="1"/>
  <c r="S90" i="1" s="1"/>
  <c r="T90" i="1" s="1"/>
  <c r="R89" i="1"/>
  <c r="S89" i="1" s="1"/>
  <c r="T89" i="1" s="1"/>
  <c r="R88" i="1"/>
  <c r="S88" i="1" s="1"/>
  <c r="T88" i="1" s="1"/>
  <c r="R87" i="1"/>
  <c r="S87" i="1" s="1"/>
  <c r="T87" i="1" s="1"/>
  <c r="R86" i="1"/>
  <c r="S86" i="1" s="1"/>
  <c r="T86" i="1" s="1"/>
  <c r="R85" i="1"/>
  <c r="S85" i="1" s="1"/>
  <c r="T85" i="1" s="1"/>
  <c r="R84" i="1"/>
  <c r="S84" i="1" s="1"/>
  <c r="T84" i="1" s="1"/>
  <c r="R83" i="1"/>
  <c r="S83" i="1" s="1"/>
  <c r="T83" i="1" s="1"/>
  <c r="R82" i="1"/>
  <c r="S82" i="1" s="1"/>
  <c r="T82" i="1" s="1"/>
  <c r="R81" i="1"/>
  <c r="S81" i="1" s="1"/>
  <c r="T81" i="1" s="1"/>
  <c r="R80" i="1"/>
  <c r="S80" i="1" s="1"/>
  <c r="T80" i="1" s="1"/>
  <c r="R79" i="1"/>
  <c r="S79" i="1" s="1"/>
  <c r="T79" i="1" s="1"/>
  <c r="R78" i="1"/>
  <c r="S78" i="1" s="1"/>
  <c r="T78" i="1" s="1"/>
  <c r="R77" i="1"/>
  <c r="S77" i="1" s="1"/>
  <c r="T77" i="1" s="1"/>
  <c r="R76" i="1"/>
  <c r="S76" i="1" s="1"/>
  <c r="T76" i="1" s="1"/>
  <c r="R75" i="1"/>
  <c r="S75" i="1" s="1"/>
  <c r="T75" i="1" s="1"/>
  <c r="R74" i="1"/>
  <c r="S74" i="1" s="1"/>
  <c r="T74" i="1" s="1"/>
  <c r="R73" i="1"/>
  <c r="S73" i="1" s="1"/>
  <c r="T73" i="1" s="1"/>
  <c r="R72" i="1"/>
  <c r="S72" i="1" s="1"/>
  <c r="T72" i="1" s="1"/>
  <c r="R71" i="1"/>
  <c r="S71" i="1" s="1"/>
  <c r="T71" i="1" s="1"/>
  <c r="R70" i="1"/>
  <c r="S70" i="1" s="1"/>
  <c r="T70" i="1" s="1"/>
  <c r="R69" i="1"/>
  <c r="S69" i="1" s="1"/>
  <c r="T69" i="1" s="1"/>
  <c r="R68" i="1"/>
  <c r="S68" i="1" s="1"/>
  <c r="T68" i="1" s="1"/>
  <c r="R67" i="1"/>
  <c r="S67" i="1" s="1"/>
  <c r="T67" i="1" s="1"/>
  <c r="R66" i="1"/>
  <c r="S66" i="1" s="1"/>
  <c r="T66" i="1" s="1"/>
  <c r="R65" i="1"/>
  <c r="R64" i="1"/>
  <c r="S64" i="1" s="1"/>
  <c r="T64" i="1" s="1"/>
  <c r="R63" i="1"/>
  <c r="S63" i="1" s="1"/>
  <c r="T63" i="1" s="1"/>
  <c r="R62" i="1"/>
  <c r="S62" i="1" s="1"/>
  <c r="T62" i="1" s="1"/>
  <c r="R61" i="1"/>
  <c r="S61" i="1" s="1"/>
  <c r="T61" i="1" s="1"/>
  <c r="R60" i="1"/>
  <c r="S60" i="1" s="1"/>
  <c r="T60" i="1" s="1"/>
  <c r="R59" i="1"/>
  <c r="S59" i="1" s="1"/>
  <c r="T59" i="1" s="1"/>
  <c r="R58" i="1"/>
  <c r="S58" i="1" s="1"/>
  <c r="T58" i="1" s="1"/>
  <c r="R57" i="1"/>
  <c r="S57" i="1" s="1"/>
  <c r="T57" i="1" s="1"/>
  <c r="R56" i="1"/>
  <c r="S56" i="1" s="1"/>
  <c r="T56" i="1" s="1"/>
  <c r="R55" i="1"/>
  <c r="S55" i="1" s="1"/>
  <c r="T55" i="1" s="1"/>
  <c r="R54" i="1"/>
  <c r="S54" i="1" s="1"/>
  <c r="T54" i="1" s="1"/>
  <c r="R53" i="1"/>
  <c r="S53" i="1" s="1"/>
  <c r="T53" i="1" s="1"/>
  <c r="R52" i="1"/>
  <c r="S52" i="1" s="1"/>
  <c r="T52" i="1" s="1"/>
  <c r="R51" i="1"/>
  <c r="S51" i="1" s="1"/>
  <c r="T51" i="1" s="1"/>
  <c r="R50" i="1"/>
  <c r="S50" i="1" s="1"/>
  <c r="T50" i="1" s="1"/>
  <c r="R49" i="1"/>
  <c r="S49" i="1" s="1"/>
  <c r="T49" i="1" s="1"/>
  <c r="R48" i="1"/>
  <c r="S48" i="1" s="1"/>
  <c r="T48" i="1" s="1"/>
  <c r="R47" i="1"/>
  <c r="S47" i="1" s="1"/>
  <c r="T47" i="1" s="1"/>
  <c r="R46" i="1"/>
  <c r="S46" i="1" s="1"/>
  <c r="T46" i="1" s="1"/>
  <c r="R45" i="1"/>
  <c r="S45" i="1" s="1"/>
  <c r="T45" i="1" s="1"/>
  <c r="R44" i="1"/>
  <c r="S44" i="1" s="1"/>
  <c r="T44" i="1" s="1"/>
  <c r="R43" i="1"/>
  <c r="S43" i="1" s="1"/>
  <c r="T43" i="1" s="1"/>
  <c r="R42" i="1"/>
  <c r="S42" i="1" s="1"/>
  <c r="T42" i="1" s="1"/>
  <c r="R41" i="1"/>
  <c r="S41" i="1" s="1"/>
  <c r="T41" i="1" s="1"/>
  <c r="R40" i="1"/>
  <c r="S40" i="1" s="1"/>
  <c r="T40" i="1" s="1"/>
  <c r="R39" i="1"/>
  <c r="S39" i="1" s="1"/>
  <c r="T39" i="1" s="1"/>
  <c r="R38" i="1"/>
  <c r="S38" i="1" s="1"/>
  <c r="T38" i="1" s="1"/>
  <c r="R37" i="1"/>
  <c r="S37" i="1" s="1"/>
  <c r="T37" i="1" s="1"/>
  <c r="R36" i="1"/>
  <c r="S36" i="1" s="1"/>
  <c r="T36" i="1" s="1"/>
  <c r="R35" i="1"/>
  <c r="S35" i="1" s="1"/>
  <c r="T35" i="1" s="1"/>
  <c r="R34" i="1"/>
  <c r="S34" i="1" s="1"/>
  <c r="T34" i="1" s="1"/>
  <c r="R33" i="1"/>
  <c r="S33" i="1" s="1"/>
  <c r="T33" i="1" s="1"/>
  <c r="R32" i="1"/>
  <c r="S32" i="1" s="1"/>
  <c r="T32" i="1" s="1"/>
  <c r="R31" i="1"/>
  <c r="S31" i="1" s="1"/>
  <c r="T31" i="1" s="1"/>
  <c r="R30" i="1"/>
  <c r="S30" i="1" s="1"/>
  <c r="T30" i="1" s="1"/>
  <c r="R29" i="1"/>
  <c r="S29" i="1" s="1"/>
  <c r="T29" i="1" s="1"/>
  <c r="R28" i="1"/>
  <c r="S28" i="1" s="1"/>
  <c r="T28" i="1" s="1"/>
  <c r="R27" i="1"/>
  <c r="S27" i="1" s="1"/>
  <c r="T27" i="1" s="1"/>
  <c r="R26" i="1"/>
  <c r="S26" i="1" s="1"/>
  <c r="T26" i="1" s="1"/>
  <c r="R25" i="1"/>
  <c r="S25" i="1" s="1"/>
  <c r="T25" i="1" s="1"/>
  <c r="R24" i="1"/>
  <c r="S24" i="1" s="1"/>
  <c r="T24" i="1" s="1"/>
  <c r="R23" i="1"/>
  <c r="S23" i="1" s="1"/>
  <c r="T23" i="1" s="1"/>
  <c r="R22" i="1"/>
  <c r="S22" i="1" s="1"/>
  <c r="T22" i="1" s="1"/>
  <c r="R21" i="1"/>
  <c r="S21" i="1" s="1"/>
  <c r="T21" i="1" s="1"/>
  <c r="R20" i="1"/>
  <c r="S20" i="1" s="1"/>
  <c r="T20" i="1" s="1"/>
  <c r="R19" i="1"/>
  <c r="S19" i="1" s="1"/>
  <c r="T19" i="1" s="1"/>
  <c r="R18" i="1"/>
  <c r="S18" i="1" s="1"/>
  <c r="T18" i="1" s="1"/>
  <c r="R17" i="1"/>
  <c r="S17" i="1" s="1"/>
  <c r="T17" i="1" s="1"/>
  <c r="R16" i="1"/>
  <c r="S16" i="1" s="1"/>
  <c r="T16" i="1" s="1"/>
  <c r="R15" i="1"/>
  <c r="S15" i="1" s="1"/>
  <c r="T15" i="1" s="1"/>
  <c r="R14" i="1"/>
  <c r="S14" i="1" s="1"/>
  <c r="T14" i="1" s="1"/>
  <c r="R13" i="1"/>
  <c r="S13" i="1" s="1"/>
  <c r="T13" i="1" s="1"/>
  <c r="R12" i="1"/>
  <c r="S12" i="1" s="1"/>
  <c r="T12" i="1" s="1"/>
  <c r="R11" i="1"/>
  <c r="S11" i="1" s="1"/>
  <c r="T11" i="1" s="1"/>
  <c r="R10" i="1"/>
  <c r="S10" i="1" s="1"/>
  <c r="T10" i="1" s="1"/>
  <c r="R9" i="1"/>
  <c r="S9" i="1" s="1"/>
  <c r="T9" i="1" s="1"/>
  <c r="R8" i="1"/>
  <c r="S8" i="1" s="1"/>
  <c r="T8" i="1" s="1"/>
  <c r="R7" i="1"/>
  <c r="S7" i="1" s="1"/>
  <c r="T7" i="1" s="1"/>
  <c r="Y2" i="1" l="1"/>
</calcChain>
</file>

<file path=xl/sharedStrings.xml><?xml version="1.0" encoding="utf-8"?>
<sst xmlns="http://schemas.openxmlformats.org/spreadsheetml/2006/main" count="496" uniqueCount="486">
  <si>
    <t>행 레이블</t>
  </si>
  <si>
    <t>코드</t>
  </si>
  <si>
    <t>제품명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</si>
  <si>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</si>
  <si>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</si>
  <si>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</si>
  <si>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</si>
  <si>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</si>
  <si>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</si>
  <si>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</si>
  <si>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</si>
  <si>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</si>
  <si>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</si>
  <si>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</si>
  <si>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 xml:space="preserve">10월 </t>
  </si>
  <si>
    <t>총합계</t>
  </si>
  <si>
    <t>#072-4온즈 페인트-Gold</t>
  </si>
  <si>
    <t>720PT001</t>
  </si>
  <si>
    <t>파인트-#001-페인트-Black</t>
  </si>
  <si>
    <t>720PT005</t>
  </si>
  <si>
    <t>파인트-#005-페인트-White</t>
  </si>
  <si>
    <t>720PT101</t>
  </si>
  <si>
    <t>파인트-#101-페인트-Flat Black</t>
  </si>
  <si>
    <t>720PT105</t>
  </si>
  <si>
    <t>파인트-#105-페인트-Flat White</t>
  </si>
  <si>
    <t>1-1.레더페인트</t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</si>
  <si>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</si>
  <si>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</si>
  <si>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</si>
  <si>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</si>
  <si>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</si>
  <si>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</si>
  <si>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</si>
  <si>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</si>
  <si>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</si>
  <si>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</si>
  <si>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</si>
  <si>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</si>
  <si>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</si>
  <si>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</si>
  <si>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</si>
  <si>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</si>
  <si>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</si>
  <si>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</si>
  <si>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</si>
  <si>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</si>
  <si>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</si>
  <si>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</si>
  <si>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</si>
  <si>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</si>
  <si>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</si>
  <si>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</si>
  <si>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</si>
  <si>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</si>
  <si>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</si>
  <si>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</si>
  <si>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</si>
  <si>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</si>
  <si>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</si>
  <si>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</si>
  <si>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</si>
  <si>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</si>
  <si>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</si>
  <si>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</si>
  <si>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</si>
  <si>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</si>
  <si>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</si>
  <si>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</si>
  <si>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</si>
  <si>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</si>
  <si>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</si>
  <si>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</si>
  <si>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</si>
  <si>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</si>
  <si>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</si>
  <si>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</si>
  <si>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</si>
  <si>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</si>
  <si>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</si>
  <si>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</si>
  <si>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</si>
  <si>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</si>
  <si>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</si>
  <si>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</si>
  <si>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</si>
  <si>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</si>
  <si>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</si>
  <si>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</si>
  <si>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</si>
  <si>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</si>
  <si>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</si>
  <si>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</si>
  <si>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</si>
  <si>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</si>
  <si>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</si>
  <si>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</si>
  <si>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</si>
  <si>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</si>
  <si>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</si>
  <si>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</si>
  <si>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</si>
  <si>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</si>
  <si>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</si>
  <si>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</si>
  <si>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</si>
  <si>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</si>
  <si>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</si>
  <si>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</si>
  <si>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</si>
  <si>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</si>
  <si>
    <t>#274-레더페인트-Luggage Brown</t>
  </si>
  <si>
    <t>#275-레더페인트-Satchel Tan</t>
  </si>
  <si>
    <t>1-2.콜렉터에디션</t>
  </si>
  <si>
    <t>콜렉터에디션-#310-aqua</t>
  </si>
  <si>
    <t>콜렉터에디션-#312-Blaze</t>
  </si>
  <si>
    <t>콜렉터에디션-#313-Concord</t>
  </si>
  <si>
    <t>콜렉터에디션-#314-Collector Edition  White Cement</t>
  </si>
  <si>
    <t>콜렉터에디션-#315-Collector Edition  Volt</t>
  </si>
  <si>
    <t>콜렉터에디션-#317-Emerald</t>
  </si>
  <si>
    <t>콜렉터에디션-#319-Infrared</t>
  </si>
  <si>
    <t>콜렉터에디션-#321-Maize</t>
  </si>
  <si>
    <t>콜렉터에디션-#323-Mid Navy 8</t>
  </si>
  <si>
    <t>콜렉터에디션-#324-Millitary Blue</t>
  </si>
  <si>
    <t>콜렉터에디션-#326-Royal5</t>
  </si>
  <si>
    <t>콜렉터에디션-#329-Tru Blue</t>
  </si>
  <si>
    <t>콜렉터에디션-#330-Collector Edition Varsity</t>
  </si>
  <si>
    <t>콜렉터에디션-#331-Miami Vice</t>
  </si>
  <si>
    <t>콜렉터에디션-#332-Melo2</t>
  </si>
  <si>
    <t>콜렉터에디션-#333-DTRT Yellow</t>
  </si>
  <si>
    <t>콜렉터에디션-#334-Play 8 Grey</t>
  </si>
  <si>
    <t>콜렉터에디션-#335-Yeezy</t>
  </si>
  <si>
    <t>콜렉터에디션-#336-Collector Edition  Maroon</t>
  </si>
  <si>
    <t>콜렉터에디션-#337-Grape5</t>
  </si>
  <si>
    <t>콜렉터에디션-#338-Squadron</t>
  </si>
  <si>
    <t>콜렉터에디션-#339-French Blue</t>
  </si>
  <si>
    <t>콜렉터에디션-#341-gamma Blue</t>
  </si>
  <si>
    <t>콜렉터에디션-#342-Joker Green</t>
  </si>
  <si>
    <t>콜렉터에디션-#343-Tour Yellow</t>
  </si>
  <si>
    <t>콜렉터에디션-#344-Thunder Yellow</t>
  </si>
  <si>
    <t>콜렉터에디션-#345-InfraRed 2014</t>
  </si>
  <si>
    <t>콜렉터에디션-#346-Shattered Orange</t>
  </si>
  <si>
    <t>콜렉터에디션-#347-Uni Blue</t>
  </si>
  <si>
    <t>콜렉터에디션-#348-Shadow Grey</t>
  </si>
  <si>
    <t>1-3.네온페인트</t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</si>
  <si>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</si>
  <si>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</si>
  <si>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</si>
  <si>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</si>
  <si>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</si>
  <si>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</si>
  <si>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</si>
  <si>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</si>
  <si>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</si>
  <si>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</si>
  <si>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</si>
  <si>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</si>
  <si>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1-4.펄레슨트페인트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</si>
  <si>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</si>
  <si>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</si>
  <si>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</si>
  <si>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</si>
  <si>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</si>
  <si>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</si>
  <si>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</si>
  <si>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1-5.글리터라이트</t>
  </si>
  <si>
    <t>글리터라이트-#205-White Sugar</t>
  </si>
  <si>
    <t>글리터라이트-#220-Sky DesertGold</t>
  </si>
  <si>
    <t>글리터라이트-#221-Penny Copper</t>
  </si>
  <si>
    <t>글리터라이트-#222-Silver Spark</t>
  </si>
  <si>
    <t>글리터라이트-#223-GunMetal</t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</si>
  <si>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</si>
  <si>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</si>
  <si>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</si>
  <si>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</si>
  <si>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</si>
  <si>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</si>
  <si>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</si>
  <si>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</si>
  <si>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</si>
  <si>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</si>
  <si>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</si>
  <si>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</si>
  <si>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</si>
  <si>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1-6.4oz페인트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</si>
  <si>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</si>
  <si>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</si>
  <si>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</si>
  <si>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</si>
  <si>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</si>
  <si>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</si>
  <si>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</si>
  <si>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</si>
  <si>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</si>
  <si>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</si>
  <si>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</si>
  <si>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</si>
  <si>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</si>
  <si>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</si>
  <si>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</si>
  <si>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</si>
  <si>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</si>
  <si>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</si>
  <si>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</si>
  <si>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</si>
  <si>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</si>
  <si>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</si>
  <si>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</si>
  <si>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</si>
  <si>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</si>
  <si>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</si>
  <si>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</si>
  <si>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</si>
  <si>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</si>
  <si>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4온즈-#150-레더페인트-SILVER</t>
  </si>
  <si>
    <t>4온즈-#155-레더페인트-Bone</t>
  </si>
  <si>
    <t>4온즈-#156-레더페인트-Champagne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</si>
  <si>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</si>
  <si>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</si>
  <si>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</si>
  <si>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</si>
  <si>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</si>
  <si>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</si>
  <si>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</si>
  <si>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</si>
  <si>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</si>
  <si>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</si>
  <si>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</si>
  <si>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</si>
  <si>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</si>
  <si>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</si>
  <si>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</si>
  <si>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</si>
  <si>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</si>
  <si>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</si>
  <si>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</si>
  <si>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</si>
  <si>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</si>
  <si>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</si>
  <si>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</si>
  <si>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</si>
  <si>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</si>
  <si>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</si>
  <si>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</si>
  <si>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</si>
  <si>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</si>
  <si>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</si>
  <si>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</si>
  <si>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</si>
  <si>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</si>
  <si>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</si>
  <si>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</si>
  <si>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</si>
  <si>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</si>
  <si>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</si>
  <si>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</si>
  <si>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</si>
  <si>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</si>
  <si>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</si>
  <si>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</si>
  <si>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</si>
  <si>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</si>
  <si>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</si>
  <si>
    <t>4온즈-#273-레더페인트-Bowler Brown</t>
  </si>
  <si>
    <t>4온즈-#274-레더페인트-Luggage Brown</t>
  </si>
  <si>
    <t>4온즈-#275-레더페인트-Satchel Tan</t>
  </si>
  <si>
    <t>[네온페인트]4온즈-#122-JamaicanJoyPink</t>
  </si>
  <si>
    <t>[네온페인트]4온즈-#123-ParisianPink</t>
  </si>
  <si>
    <t>[네온페인트]4온즈-#124-ParadisePurple</t>
  </si>
  <si>
    <t>[네온페인트]4온즈-#125-AmazonGreen</t>
  </si>
  <si>
    <t>[네온페인트]4온즈-#126-PlposicleGreen</t>
  </si>
  <si>
    <t>[네온페인트]4온즈-#127-TropicSunYellow</t>
  </si>
  <si>
    <t>[네온페인트]4온즈-#129-FlamingOrange</t>
  </si>
  <si>
    <t>[네온페인트]4온즈-#130-LavaOrange</t>
  </si>
  <si>
    <t>4온즈-#141-레더페인트-Copper</t>
  </si>
  <si>
    <t>4온즈-#142-레더페인트-Bronze</t>
  </si>
  <si>
    <t>4온즈-#143-레더페인트-Pewter</t>
  </si>
  <si>
    <t>4온즈-#072-레더페인트-Gold</t>
  </si>
  <si>
    <t>[펄레슨트]4온즈-#453-Prince Purple</t>
  </si>
  <si>
    <t>[펄레슨트]4온즈-#454-Sterling Silver</t>
  </si>
  <si>
    <t>[펄레슨트]4온즈-#455-18K Gold</t>
  </si>
  <si>
    <t>[펄레슨트]4온즈-#456-Rose Gold</t>
  </si>
  <si>
    <t>16.기타</t>
  </si>
  <si>
    <t>79912PKBASICSKIT</t>
  </si>
  <si>
    <t>베이직 키트</t>
  </si>
  <si>
    <t>1-7-보조재</t>
  </si>
  <si>
    <t>[희석재]2-Thin</t>
  </si>
  <si>
    <t>[희석재]2-Thin 4oz</t>
  </si>
  <si>
    <t>[희석재]둘러-1온즈</t>
  </si>
  <si>
    <t>[희석재]둘러-4온즈</t>
  </si>
  <si>
    <t>720PT000</t>
  </si>
  <si>
    <t>[희석재]2-Thin Pint</t>
  </si>
  <si>
    <t>72201000hard</t>
  </si>
  <si>
    <t>[희석재]2-하드 1온즈</t>
  </si>
  <si>
    <t>72201000soft</t>
  </si>
  <si>
    <t>[희석재]2-소프트 1온즈</t>
  </si>
  <si>
    <t>72204000hard</t>
  </si>
  <si>
    <t>[희석재]2-하드 4온즈</t>
  </si>
  <si>
    <t>72204000soft</t>
  </si>
  <si>
    <t>[희석재]2-소프트 4온즈</t>
  </si>
  <si>
    <t>2-1.레더다이</t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</si>
  <si>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</si>
  <si>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</si>
  <si>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</si>
  <si>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</si>
  <si>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</si>
  <si>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</si>
  <si>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</si>
  <si>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</si>
  <si>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</si>
  <si>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</si>
  <si>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</si>
  <si>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</si>
  <si>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</si>
  <si>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</si>
  <si>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</si>
  <si>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</si>
  <si>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</si>
  <si>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</si>
  <si>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</si>
  <si>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</si>
  <si>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</si>
  <si>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</si>
  <si>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</si>
  <si>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</si>
  <si>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</si>
  <si>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</si>
  <si>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</si>
  <si>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</si>
  <si>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</si>
  <si>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</si>
  <si>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</si>
  <si>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</si>
  <si>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</si>
  <si>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</si>
  <si>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</si>
  <si>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</si>
  <si>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</si>
  <si>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</si>
  <si>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</si>
  <si>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레더다이-#507 Special Black</t>
  </si>
  <si>
    <t>2-2.스웨이드다이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</si>
  <si>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</si>
  <si>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</si>
  <si>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</si>
  <si>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</si>
  <si>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</si>
  <si>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</si>
  <si>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</si>
  <si>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</si>
  <si>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</si>
  <si>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</si>
  <si>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</si>
  <si>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</si>
  <si>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</si>
  <si>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</si>
  <si>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</si>
  <si>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</si>
  <si>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</si>
  <si>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</si>
  <si>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</si>
  <si>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</si>
  <si>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</si>
  <si>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</si>
  <si>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</si>
  <si>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</si>
  <si>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</si>
  <si>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3-1.디글레이저</t>
  </si>
  <si>
    <t>디글레이저 4온즈</t>
  </si>
  <si>
    <t>820PT000</t>
  </si>
  <si>
    <t>디글레이저 파인트</t>
  </si>
  <si>
    <t>3-2.피니셔 4oz</t>
  </si>
  <si>
    <t>피니셔#600 아크릴피니셔</t>
  </si>
  <si>
    <t>피니셔#605 새틴아크릴피니셔</t>
  </si>
  <si>
    <t>피니셔#610 아크릴피니셔 하이글로스</t>
  </si>
  <si>
    <t>피니셔#615 새틴아크릴피니셔 하이글로스</t>
  </si>
  <si>
    <t>피니셔#620 매트아크릴피니셔</t>
  </si>
  <si>
    <t>3-3.피니셔 1oz</t>
  </si>
  <si>
    <t>피니셔1온즈#600 아크릴피니셔</t>
  </si>
  <si>
    <t>피니셔1온즈#605 새틴아크릴피니셔</t>
  </si>
  <si>
    <t>피니셔1온즈#610 아크릴피니셔 하이글로스</t>
  </si>
  <si>
    <t>피니셔1온즈#615 새틴아크릴피니셔 하이글로스</t>
  </si>
  <si>
    <t>피니셔1온즈#620 매트아크릴피니셔</t>
  </si>
  <si>
    <t>4-1.클리너</t>
  </si>
  <si>
    <t>이지클리너 8온즈</t>
  </si>
  <si>
    <t>폼텍스 클리너 5온즈</t>
  </si>
  <si>
    <t>부트스프레이</t>
  </si>
  <si>
    <t>84008KIT</t>
  </si>
  <si>
    <t>이지클리너 키트</t>
  </si>
  <si>
    <t>84205KIT</t>
  </si>
  <si>
    <t>폼텍스 클리너키트</t>
  </si>
  <si>
    <t>845WS000</t>
  </si>
  <si>
    <t>올퍼포스 클리너</t>
  </si>
  <si>
    <t>851WS000</t>
  </si>
  <si>
    <t>워터&amp;스테인 리펠런트(방수제)</t>
  </si>
  <si>
    <t>5-1.가죽크림</t>
  </si>
  <si>
    <t>레더밤</t>
  </si>
  <si>
    <t>화이트에이스(백화제)</t>
  </si>
  <si>
    <t>99103MO100</t>
  </si>
  <si>
    <t>밍크오일 캔</t>
  </si>
  <si>
    <t>99103MO107</t>
  </si>
  <si>
    <t>6-1.기타</t>
  </si>
  <si>
    <t>엔젤러스 페인트 브러시 5종세트</t>
  </si>
  <si>
    <t>엔젤러스 디테일 브러시 5종세트</t>
  </si>
  <si>
    <t>디오더라이저 4oz</t>
  </si>
  <si>
    <t>솔브라이트 4온즈</t>
  </si>
  <si>
    <t>스웨이드 리뉴</t>
  </si>
  <si>
    <t>4971671511941</t>
  </si>
  <si>
    <t>콜럼버스 스웨이드 지우개</t>
  </si>
  <si>
    <t>599BT000</t>
  </si>
  <si>
    <t>다이라이너 브로드팁</t>
  </si>
  <si>
    <t>599FT000</t>
  </si>
  <si>
    <t>다이라이너 파인팁</t>
  </si>
  <si>
    <t>7993M2PK</t>
  </si>
  <si>
    <t>마커펜세트 3mm</t>
  </si>
  <si>
    <t>7995M2PK</t>
  </si>
  <si>
    <t>마커펜세트 5mm</t>
  </si>
  <si>
    <t>89500KIT</t>
  </si>
  <si>
    <t>스웨이드&amp;누벅키트</t>
  </si>
  <si>
    <t>99200PSTREE</t>
  </si>
  <si>
    <t>엔젤러스 플라스틱 슈트리</t>
  </si>
  <si>
    <t>99200SHOEHORN</t>
  </si>
  <si>
    <t>메탈슈혼</t>
  </si>
  <si>
    <t>99205PremSneakerBrush</t>
  </si>
  <si>
    <t>클리닝브러시</t>
  </si>
  <si>
    <t>992E00KNIFE</t>
  </si>
  <si>
    <t>엔젤러스 디테일 나이프</t>
  </si>
  <si>
    <t>992E1218MAT</t>
  </si>
  <si>
    <t>커팅 매트(중) 12"x18"</t>
  </si>
  <si>
    <t>992E1824MAT</t>
  </si>
  <si>
    <t>커팅 매트(대) 18"x24"</t>
  </si>
  <si>
    <t>992E912MAT</t>
  </si>
  <si>
    <t>커팅 매트(소) 9"x12"</t>
  </si>
  <si>
    <t>applicator</t>
  </si>
  <si>
    <t>올퍼포스애플리케이터</t>
  </si>
  <si>
    <t>Blade</t>
  </si>
  <si>
    <t>엔젤러스 교체용 나이프날</t>
  </si>
  <si>
    <t>brush17_black</t>
  </si>
  <si>
    <t>말털브러시 17cm 블랙</t>
  </si>
  <si>
    <t>hogbrush</t>
  </si>
  <si>
    <t>돼지털 클리닝브러시</t>
  </si>
  <si>
    <t>paint_cup</t>
  </si>
  <si>
    <t>페인트컵</t>
  </si>
  <si>
    <t>towel</t>
  </si>
  <si>
    <t>프리미엄 마이크로파이버 타올</t>
  </si>
  <si>
    <t>고무가루</t>
  </si>
  <si>
    <t>택배비</t>
  </si>
  <si>
    <t>6-2.브러시</t>
  </si>
  <si>
    <t>799AN02</t>
  </si>
  <si>
    <t>앵귤러 #2</t>
  </si>
  <si>
    <t>799AN14</t>
  </si>
  <si>
    <t>앵귤러 #1/4"</t>
  </si>
  <si>
    <t>799AS01</t>
  </si>
  <si>
    <t>앵귤러쉐이더 #1</t>
  </si>
  <si>
    <t>799AS12</t>
  </si>
  <si>
    <t>앵귤러쉐이더 #1/2"</t>
  </si>
  <si>
    <t>799AS38</t>
  </si>
  <si>
    <t>앵귤러쉐이더 #3/8"</t>
  </si>
  <si>
    <t>799FL02</t>
  </si>
  <si>
    <t>필버트 #2</t>
  </si>
  <si>
    <t>799RO01</t>
  </si>
  <si>
    <t>라운드 #1</t>
  </si>
  <si>
    <t>799RO02</t>
  </si>
  <si>
    <t>라운드 #2</t>
  </si>
  <si>
    <t>799SH02</t>
  </si>
  <si>
    <t>쉐이더 #2</t>
  </si>
  <si>
    <t>799SH06</t>
  </si>
  <si>
    <t>쉐이더 #6</t>
  </si>
  <si>
    <t>799SH10</t>
  </si>
  <si>
    <t>쉐이더 #10</t>
  </si>
  <si>
    <t>799SP50</t>
  </si>
  <si>
    <t>스파터 5/0</t>
  </si>
  <si>
    <t>7-1.슈구</t>
  </si>
  <si>
    <t>슈구 클리너키트</t>
  </si>
  <si>
    <t>슈구스피드</t>
  </si>
  <si>
    <t>슈구자연</t>
  </si>
  <si>
    <t>슈구클리너</t>
  </si>
  <si>
    <t>슈구클리너 200ml</t>
  </si>
  <si>
    <t>슈구클리너키트</t>
  </si>
  <si>
    <t>스피드구</t>
  </si>
  <si>
    <t>1달판매량</t>
    <phoneticPr fontId="3" type="noConversion"/>
  </si>
  <si>
    <t>3달판매량</t>
    <phoneticPr fontId="3" type="noConversion"/>
  </si>
  <si>
    <t>현재고량</t>
    <phoneticPr fontId="3" type="noConversion"/>
  </si>
  <si>
    <t>현재고량박스</t>
    <phoneticPr fontId="3" type="noConversion"/>
  </si>
  <si>
    <t>단가</t>
    <phoneticPr fontId="3" type="noConversion"/>
  </si>
  <si>
    <t>수입금액합계</t>
    <phoneticPr fontId="3" type="noConversion"/>
  </si>
  <si>
    <t>All Purpose Cleaner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</si>
</sst>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41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41" fontId="0" fillId="0" borderId="2" xfId="0" applyNumberFormat="1" applyBorder="1">
      <alignment vertical="center"/>
    </xf>
    <xf numFmtId="41" fontId="0" fillId="0" borderId="6" xfId="0" applyNumberFormat="1" applyBorder="1">
      <alignment vertical="center"/>
    </xf>
    <xf numFmtId="0" fontId="2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2" fillId="2" borderId="9" xfId="0" applyFont="1" applyFill="1" applyBorder="1">
      <alignment vertical="center"/>
    </xf>
    <xf numFmtId="0" fontId="2" fillId="2" borderId="7" xfId="0" applyFont="1" applyFill="1" applyBorder="1">
      <alignment vertical="center"/>
    </xf>
    <xf numFmtId="41" fontId="2" fillId="2" borderId="10" xfId="0" applyNumberFormat="1" applyFont="1" applyFill="1" applyBorder="1">
      <alignment vertical="center"/>
    </xf>
    <xf numFmtId="41" fontId="2" fillId="2" borderId="11" xfId="0" applyNumberFormat="1" applyFont="1" applyFill="1" applyBorder="1">
      <alignment vertical="center"/>
    </xf>
    <xf numFmtId="43" fontId="0" fillId="0" borderId="0" xfId="0" applyNumberFormat="1">
      <alignment vertical="center"/>
    </xf>
    <xf numFmtId="41" fontId="2" fillId="2" borderId="0" xfId="1" applyFont="1" applyFill="1" applyBorder="1">
      <alignment vertical="center"/>
    </xf>
    <xf numFmtId="41" fontId="0" fillId="0" borderId="0" xfId="1" applyFont="1">
      <alignment vertical="center"/>
    </xf>
    <xf numFmtId="41" fontId="2" fillId="3" borderId="0" xfId="1" applyFont="1" applyFill="1" applyBorder="1">
      <alignment vertical="center"/>
    </xf>
    <xf numFmtId="41" fontId="0" fillId="4" borderId="0" xfId="1" applyFont="1" applyFill="1">
      <alignment vertical="center"/>
    </xf>
    <xf numFmtId="0" fontId="2" fillId="2" borderId="0" xfId="0" applyFont="1" applyFill="1" applyBorder="1">
      <alignment vertical="center"/>
    </xf>
    <xf numFmtId="41" fontId="0" fillId="0" borderId="0" xfId="0" applyNumberFormat="1" applyBorder="1">
      <alignment vertical="center"/>
    </xf>
    <xf numFmtId="41" fontId="2" fillId="2" borderId="0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&#54028;&#51068;&#51060;&#51204;/&#51452;&#47928;&#49436;/&#44144;&#47000;&#47749;&#49464;&#49436;&#51088;&#46041;&#54532;&#47196;&#44536;&#47016;(2020&#453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디엔에스"/>
      <sheetName val="거래명세서"/>
      <sheetName val="주문리스트"/>
      <sheetName val="제품리스트"/>
      <sheetName val="거래처명단"/>
      <sheetName val="청구서"/>
      <sheetName val="Sheet4"/>
      <sheetName val="월별매출내역"/>
      <sheetName val="Sheet5"/>
      <sheetName val="이익내역"/>
      <sheetName val="일별매출내역"/>
      <sheetName val="일별이익내역"/>
      <sheetName val="재고수량"/>
      <sheetName val="판매수량"/>
      <sheetName val="레이스랩판매"/>
      <sheetName val="레이스랩재고"/>
      <sheetName val="입출금장부"/>
      <sheetName val="Sheet1"/>
      <sheetName val="Sheet2"/>
      <sheetName val="Sheet3"/>
      <sheetName val="Sheet8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코드</v>
          </cell>
          <cell r="B2" t="str">
            <v>제품명</v>
          </cell>
          <cell r="C2" t="str">
            <v>판매가</v>
          </cell>
          <cell r="D2" t="str">
            <v>바코드</v>
          </cell>
          <cell r="E2" t="str">
            <v>수입원가</v>
          </cell>
          <cell r="F2" t="str">
            <v>수입단가</v>
          </cell>
          <cell r="G2" t="str">
            <v>브랜드</v>
          </cell>
          <cell r="H2" t="str">
            <v>제품분류</v>
          </cell>
          <cell r="I2" t="str">
            <v>레이스랩제품명</v>
          </cell>
          <cell r="J2" t="str">
            <v>제품명(영문)</v>
          </cell>
        </row>
        <row r="3">
          <cell r="A3">
            <v>72001001</v>
          </cell>
          <cell r="B3" t="str">
            <v>#001-레더페인트-Black</v>
          </cell>
          <cell r="C3">
            <v>7800</v>
          </cell>
          <cell r="D3" t="str">
            <v>086366710012</v>
          </cell>
          <cell r="E3">
            <v>16.2</v>
          </cell>
          <cell r="F3">
            <v>1862.9999999999995</v>
          </cell>
          <cell r="G3" t="str">
            <v>엔젤러스</v>
          </cell>
          <cell r="H3" t="str">
            <v>1-1.레더페인트</v>
          </cell>
          <cell r="J3" t="str">
            <v>#001-Paint 1oz Black</v>
          </cell>
        </row>
        <row r="4">
          <cell r="A4">
            <v>72001004</v>
          </cell>
          <cell r="B4" t="str">
            <v>#004-레더페인트-Neutral</v>
          </cell>
          <cell r="C4">
            <v>7800</v>
          </cell>
          <cell r="D4" t="str">
            <v>086366710043</v>
          </cell>
          <cell r="E4">
            <v>16.2</v>
          </cell>
          <cell r="F4">
            <v>1862.9999999999995</v>
          </cell>
          <cell r="G4" t="str">
            <v>엔젤러스</v>
          </cell>
          <cell r="H4" t="str">
            <v>1-1.레더페인트</v>
          </cell>
          <cell r="J4" t="str">
            <v>#004-Paint 1oz Neutral</v>
          </cell>
        </row>
        <row r="5">
          <cell r="A5">
            <v>72001005</v>
          </cell>
          <cell r="B5" t="str">
            <v>#005-레더페인트-White</v>
          </cell>
          <cell r="C5">
            <v>7800</v>
          </cell>
          <cell r="D5" t="str">
            <v>086366710050</v>
          </cell>
          <cell r="E5">
            <v>16.2</v>
          </cell>
          <cell r="F5">
            <v>1862.9999999999995</v>
          </cell>
          <cell r="G5" t="str">
            <v>엔젤러스</v>
          </cell>
          <cell r="H5" t="str">
            <v>1-1.레더페인트</v>
          </cell>
          <cell r="J5" t="str">
            <v>#005-Paint 1oz White</v>
          </cell>
        </row>
        <row r="6">
          <cell r="A6">
            <v>72001014</v>
          </cell>
          <cell r="B6" t="str">
            <v>#014-레더페인트-Brown</v>
          </cell>
          <cell r="C6">
            <v>7800</v>
          </cell>
          <cell r="D6" t="str">
            <v>086366710142</v>
          </cell>
          <cell r="E6">
            <v>16.2</v>
          </cell>
          <cell r="F6">
            <v>1862.9999999999995</v>
          </cell>
          <cell r="G6" t="str">
            <v>엔젤러스</v>
          </cell>
          <cell r="H6" t="str">
            <v>1-1.레더페인트</v>
          </cell>
          <cell r="J6" t="str">
            <v>#014-Paint 1oz Brown</v>
          </cell>
        </row>
        <row r="7">
          <cell r="A7">
            <v>72001015</v>
          </cell>
          <cell r="B7" t="str">
            <v>#015-레더페인트-Chocolate</v>
          </cell>
          <cell r="C7">
            <v>7800</v>
          </cell>
          <cell r="D7" t="str">
            <v>086366710159</v>
          </cell>
          <cell r="E7">
            <v>16.2</v>
          </cell>
          <cell r="F7">
            <v>1862.9999999999995</v>
          </cell>
          <cell r="G7" t="str">
            <v>엔젤러스</v>
          </cell>
          <cell r="H7" t="str">
            <v>1-1.레더페인트</v>
          </cell>
          <cell r="J7" t="str">
            <v>#015-Paint 1oz Chocolate</v>
          </cell>
        </row>
        <row r="8">
          <cell r="A8">
            <v>72001018</v>
          </cell>
          <cell r="B8" t="str">
            <v>#018-레더페인트-DarkBrown</v>
          </cell>
          <cell r="C8">
            <v>7800</v>
          </cell>
          <cell r="D8" t="str">
            <v>086366710180</v>
          </cell>
          <cell r="E8">
            <v>16.2</v>
          </cell>
          <cell r="F8">
            <v>1862.9999999999995</v>
          </cell>
          <cell r="G8" t="str">
            <v>엔젤러스</v>
          </cell>
          <cell r="H8" t="str">
            <v>1-1.레더페인트</v>
          </cell>
          <cell r="J8" t="str">
            <v>#018-Paint 1oz DarkBrown</v>
          </cell>
        </row>
        <row r="9">
          <cell r="A9">
            <v>72001019</v>
          </cell>
          <cell r="B9" t="str">
            <v>#019-레더페인트-English Tan</v>
          </cell>
          <cell r="C9">
            <v>7800</v>
          </cell>
          <cell r="D9" t="str">
            <v>086366710190</v>
          </cell>
          <cell r="E9">
            <v>16.2</v>
          </cell>
          <cell r="F9">
            <v>1862.9999999999995</v>
          </cell>
          <cell r="G9" t="str">
            <v>엔젤러스</v>
          </cell>
          <cell r="H9" t="str">
            <v>1-1.레더페인트</v>
          </cell>
          <cell r="J9" t="str">
            <v>#019-Paint 1oz English Tan</v>
          </cell>
        </row>
        <row r="10">
          <cell r="A10">
            <v>72001021</v>
          </cell>
          <cell r="B10" t="str">
            <v>#021-레더페인트-LightBrown</v>
          </cell>
          <cell r="C10">
            <v>7800</v>
          </cell>
          <cell r="D10" t="str">
            <v>086366710210</v>
          </cell>
          <cell r="E10">
            <v>16.2</v>
          </cell>
          <cell r="F10">
            <v>1862.9999999999995</v>
          </cell>
          <cell r="G10" t="str">
            <v>엔젤러스</v>
          </cell>
          <cell r="H10" t="str">
            <v>1-1.레더페인트</v>
          </cell>
          <cell r="J10" t="str">
            <v>#021-Paint 1oz LightBrown</v>
          </cell>
        </row>
        <row r="11">
          <cell r="A11">
            <v>72001024</v>
          </cell>
          <cell r="B11" t="str">
            <v>#024-레더페인트-Orange</v>
          </cell>
          <cell r="C11">
            <v>7800</v>
          </cell>
          <cell r="D11" t="str">
            <v>086366710241</v>
          </cell>
          <cell r="E11">
            <v>16.2</v>
          </cell>
          <cell r="F11">
            <v>1862.9999999999995</v>
          </cell>
          <cell r="G11" t="str">
            <v>엔젤러스</v>
          </cell>
          <cell r="H11" t="str">
            <v>1-1.레더페인트</v>
          </cell>
          <cell r="J11" t="str">
            <v>#024-Paint 1oz Orange</v>
          </cell>
        </row>
        <row r="12">
          <cell r="A12">
            <v>72001027</v>
          </cell>
          <cell r="B12" t="str">
            <v>#027-레더페인트- SADDLE</v>
          </cell>
          <cell r="C12">
            <v>7800</v>
          </cell>
          <cell r="D12" t="str">
            <v>086366710272</v>
          </cell>
          <cell r="E12">
            <v>16.2</v>
          </cell>
          <cell r="F12">
            <v>1862.9999999999995</v>
          </cell>
          <cell r="G12" t="str">
            <v>엔젤러스</v>
          </cell>
          <cell r="H12" t="str">
            <v>1-1.레더페인트</v>
          </cell>
          <cell r="J12" t="str">
            <v>#027- Paint 1oz SADDLE</v>
          </cell>
        </row>
        <row r="13">
          <cell r="A13">
            <v>72001029</v>
          </cell>
          <cell r="B13" t="str">
            <v>#029-레더페인트- Tan</v>
          </cell>
          <cell r="C13">
            <v>7800</v>
          </cell>
          <cell r="D13" t="str">
            <v>086366710296</v>
          </cell>
          <cell r="E13">
            <v>16.2</v>
          </cell>
          <cell r="F13">
            <v>1862.9999999999995</v>
          </cell>
          <cell r="G13" t="str">
            <v>엔젤러스</v>
          </cell>
          <cell r="H13" t="str">
            <v>1-1.레더페인트</v>
          </cell>
          <cell r="J13" t="str">
            <v>#029- Paint 1oz Tan</v>
          </cell>
        </row>
        <row r="14">
          <cell r="A14">
            <v>72001040</v>
          </cell>
          <cell r="B14" t="str">
            <v>#040-레더페인트-BLUE</v>
          </cell>
          <cell r="C14">
            <v>7800</v>
          </cell>
          <cell r="D14" t="str">
            <v>086366710401</v>
          </cell>
          <cell r="E14">
            <v>16.2</v>
          </cell>
          <cell r="F14">
            <v>1862.9999999999995</v>
          </cell>
          <cell r="G14" t="str">
            <v>엔젤러스</v>
          </cell>
          <cell r="H14" t="str">
            <v>1-1.레더페인트</v>
          </cell>
          <cell r="J14" t="str">
            <v>#040-Paint 1oz BLUE</v>
          </cell>
        </row>
        <row r="15">
          <cell r="A15">
            <v>72001041</v>
          </cell>
          <cell r="B15" t="str">
            <v>#041-레더페인트-LightBLUE</v>
          </cell>
          <cell r="C15">
            <v>7800</v>
          </cell>
          <cell r="D15" t="str">
            <v>086366710418</v>
          </cell>
          <cell r="E15">
            <v>16.2</v>
          </cell>
          <cell r="F15">
            <v>1862.9999999999995</v>
          </cell>
          <cell r="G15" t="str">
            <v>엔젤러스</v>
          </cell>
          <cell r="H15" t="str">
            <v>1-1.레더페인트</v>
          </cell>
          <cell r="J15" t="str">
            <v>#041-Paint 1oz LightBLUE</v>
          </cell>
        </row>
        <row r="16">
          <cell r="A16">
            <v>72001042</v>
          </cell>
          <cell r="B16" t="str">
            <v>#042-레더페인트-NavyBlue</v>
          </cell>
          <cell r="C16">
            <v>7800</v>
          </cell>
          <cell r="D16" t="str">
            <v>086366710425</v>
          </cell>
          <cell r="E16">
            <v>16.2</v>
          </cell>
          <cell r="F16">
            <v>1862.9999999999995</v>
          </cell>
          <cell r="G16" t="str">
            <v>엔젤러스</v>
          </cell>
          <cell r="H16" t="str">
            <v>1-1.레더페인트</v>
          </cell>
          <cell r="J16" t="str">
            <v>#042-Paint 1oz NavyBlue</v>
          </cell>
        </row>
        <row r="17">
          <cell r="A17">
            <v>72001043</v>
          </cell>
          <cell r="B17" t="str">
            <v>#043-레더페인트-Turgouise</v>
          </cell>
          <cell r="C17">
            <v>7800</v>
          </cell>
          <cell r="D17" t="str">
            <v>086366710432</v>
          </cell>
          <cell r="E17">
            <v>16.2</v>
          </cell>
          <cell r="F17">
            <v>1862.9999999999995</v>
          </cell>
          <cell r="G17" t="str">
            <v>엔젤러스</v>
          </cell>
          <cell r="H17" t="str">
            <v>1-1.레더페인트</v>
          </cell>
          <cell r="J17" t="str">
            <v>#043-Paint 1oz Turgouise</v>
          </cell>
        </row>
        <row r="18">
          <cell r="A18">
            <v>72001045</v>
          </cell>
          <cell r="B18" t="str">
            <v>#045-레더페인트-Blue Turquoise</v>
          </cell>
          <cell r="C18">
            <v>7800</v>
          </cell>
          <cell r="D18" t="str">
            <v>086366710456</v>
          </cell>
          <cell r="E18">
            <v>16.2</v>
          </cell>
          <cell r="F18">
            <v>1862.9999999999995</v>
          </cell>
          <cell r="G18" t="str">
            <v>엔젤러스</v>
          </cell>
          <cell r="H18" t="str">
            <v>1-1.레더페인트</v>
          </cell>
          <cell r="J18" t="str">
            <v>#045-Paint 1oz Blue Turquoise</v>
          </cell>
        </row>
        <row r="19">
          <cell r="A19">
            <v>72001047</v>
          </cell>
          <cell r="B19" t="str">
            <v>#047-레더페인트-Purple</v>
          </cell>
          <cell r="C19">
            <v>7800</v>
          </cell>
          <cell r="D19" t="str">
            <v>086366710470</v>
          </cell>
          <cell r="E19">
            <v>16.2</v>
          </cell>
          <cell r="F19">
            <v>1862.9999999999995</v>
          </cell>
          <cell r="G19" t="str">
            <v>엔젤러스</v>
          </cell>
          <cell r="H19" t="str">
            <v>1-1.레더페인트</v>
          </cell>
          <cell r="J19" t="str">
            <v>#047-Paint 1oz Purple</v>
          </cell>
        </row>
        <row r="20">
          <cell r="A20">
            <v>72001050</v>
          </cell>
          <cell r="B20" t="str">
            <v>#050-레더페인트-Green</v>
          </cell>
          <cell r="C20">
            <v>7800</v>
          </cell>
          <cell r="D20" t="str">
            <v>086366710500</v>
          </cell>
          <cell r="E20">
            <v>16.2</v>
          </cell>
          <cell r="F20">
            <v>1862.9999999999995</v>
          </cell>
          <cell r="G20" t="str">
            <v>엔젤러스</v>
          </cell>
          <cell r="H20" t="str">
            <v>1-1.레더페인트</v>
          </cell>
          <cell r="J20" t="str">
            <v>#050-Paint 1oz Green</v>
          </cell>
        </row>
        <row r="21">
          <cell r="A21">
            <v>72001052</v>
          </cell>
          <cell r="B21" t="str">
            <v>#052-레더페인트-MidniteGreen</v>
          </cell>
          <cell r="C21">
            <v>7800</v>
          </cell>
          <cell r="D21" t="str">
            <v>086366710524</v>
          </cell>
          <cell r="E21">
            <v>16.2</v>
          </cell>
          <cell r="F21">
            <v>1862.9999999999995</v>
          </cell>
          <cell r="G21" t="str">
            <v>엔젤러스</v>
          </cell>
          <cell r="H21" t="str">
            <v>1-1.레더페인트</v>
          </cell>
          <cell r="J21" t="str">
            <v>#052-Paint 1oz MidniteGreen</v>
          </cell>
        </row>
        <row r="22">
          <cell r="A22">
            <v>72001060</v>
          </cell>
          <cell r="B22" t="str">
            <v>#060-레더페인트-Burgundy</v>
          </cell>
          <cell r="C22">
            <v>7800</v>
          </cell>
          <cell r="D22" t="str">
            <v>086366710609</v>
          </cell>
          <cell r="E22">
            <v>16.2</v>
          </cell>
          <cell r="F22">
            <v>1862.9999999999995</v>
          </cell>
          <cell r="G22" t="str">
            <v>엔젤러스</v>
          </cell>
          <cell r="H22" t="str">
            <v>1-1.레더페인트</v>
          </cell>
          <cell r="J22" t="str">
            <v>#060-Paint 1oz Burgundy</v>
          </cell>
        </row>
        <row r="23">
          <cell r="A23">
            <v>72001064</v>
          </cell>
          <cell r="B23" t="str">
            <v>#064-레더페인트-Red</v>
          </cell>
          <cell r="C23">
            <v>7800</v>
          </cell>
          <cell r="D23" t="str">
            <v>086366710647</v>
          </cell>
          <cell r="E23">
            <v>16.2</v>
          </cell>
          <cell r="F23">
            <v>1862.9999999999995</v>
          </cell>
          <cell r="G23" t="str">
            <v>엔젤러스</v>
          </cell>
          <cell r="H23" t="str">
            <v>1-1.레더페인트</v>
          </cell>
          <cell r="J23" t="str">
            <v>#064-Paint 1oz Red</v>
          </cell>
        </row>
        <row r="24">
          <cell r="A24">
            <v>72001070</v>
          </cell>
          <cell r="B24" t="str">
            <v>#070-레더페인트-Beige</v>
          </cell>
          <cell r="C24">
            <v>7800</v>
          </cell>
          <cell r="D24" t="str">
            <v>086366710708</v>
          </cell>
          <cell r="E24">
            <v>16.2</v>
          </cell>
          <cell r="F24">
            <v>1862.9999999999995</v>
          </cell>
          <cell r="G24" t="str">
            <v>엔젤러스</v>
          </cell>
          <cell r="H24" t="str">
            <v>1-1.레더페인트</v>
          </cell>
          <cell r="J24" t="str">
            <v>#070-Paint 1oz Beige</v>
          </cell>
        </row>
        <row r="25">
          <cell r="A25">
            <v>72001072</v>
          </cell>
          <cell r="B25" t="str">
            <v>#072-레더페인트-Gold</v>
          </cell>
          <cell r="C25">
            <v>7800</v>
          </cell>
          <cell r="D25" t="str">
            <v>086366710722</v>
          </cell>
          <cell r="E25">
            <v>16.2</v>
          </cell>
          <cell r="F25">
            <v>1862.9999999999995</v>
          </cell>
          <cell r="G25" t="str">
            <v>엔젤러스</v>
          </cell>
          <cell r="H25" t="str">
            <v>1-1.레더페인트</v>
          </cell>
          <cell r="J25" t="str">
            <v>#072-Paint 1oz Gold</v>
          </cell>
        </row>
        <row r="26">
          <cell r="A26">
            <v>72001075</v>
          </cell>
          <cell r="B26" t="str">
            <v>#075-레더페인트-Yellow</v>
          </cell>
          <cell r="C26">
            <v>7800</v>
          </cell>
          <cell r="D26" t="str">
            <v>086366710753</v>
          </cell>
          <cell r="E26">
            <v>16.2</v>
          </cell>
          <cell r="F26">
            <v>1862.9999999999995</v>
          </cell>
          <cell r="G26" t="str">
            <v>엔젤러스</v>
          </cell>
          <cell r="H26" t="str">
            <v>1-1.레더페인트</v>
          </cell>
          <cell r="J26" t="str">
            <v>#075-Paint 1oz Yellow</v>
          </cell>
        </row>
        <row r="27">
          <cell r="A27">
            <v>72001080</v>
          </cell>
          <cell r="B27" t="str">
            <v>#080-레더페인트-DarkGrey</v>
          </cell>
          <cell r="C27">
            <v>7800</v>
          </cell>
          <cell r="D27" t="str">
            <v>086366710807</v>
          </cell>
          <cell r="E27">
            <v>16.2</v>
          </cell>
          <cell r="F27">
            <v>1862.9999999999995</v>
          </cell>
          <cell r="G27" t="str">
            <v>엔젤러스</v>
          </cell>
          <cell r="H27" t="str">
            <v>1-1.레더페인트</v>
          </cell>
          <cell r="J27" t="str">
            <v>#080-Paint 1oz DarkGrey</v>
          </cell>
        </row>
        <row r="28">
          <cell r="A28">
            <v>72001081</v>
          </cell>
          <cell r="B28" t="str">
            <v>#081-레더페인트-Grey</v>
          </cell>
          <cell r="C28">
            <v>7800</v>
          </cell>
          <cell r="D28" t="str">
            <v>086366710814</v>
          </cell>
          <cell r="E28">
            <v>16.2</v>
          </cell>
          <cell r="F28">
            <v>1862.9999999999995</v>
          </cell>
          <cell r="G28" t="str">
            <v>엔젤러스</v>
          </cell>
          <cell r="H28" t="str">
            <v>1-1.레더페인트</v>
          </cell>
          <cell r="J28" t="str">
            <v>#081-Paint 1oz Grey</v>
          </cell>
        </row>
        <row r="29">
          <cell r="A29">
            <v>72001082</v>
          </cell>
          <cell r="B29" t="str">
            <v>#082-레더페인트-LightGrey</v>
          </cell>
          <cell r="C29">
            <v>7800</v>
          </cell>
          <cell r="D29" t="str">
            <v>086366710821</v>
          </cell>
          <cell r="E29">
            <v>16.2</v>
          </cell>
          <cell r="F29">
            <v>1862.9999999999995</v>
          </cell>
          <cell r="G29" t="str">
            <v>엔젤러스</v>
          </cell>
          <cell r="H29" t="str">
            <v>1-1.레더페인트</v>
          </cell>
          <cell r="J29" t="str">
            <v>#082-Paint 1oz LightGrey</v>
          </cell>
        </row>
        <row r="30">
          <cell r="A30">
            <v>72001093</v>
          </cell>
          <cell r="B30" t="str">
            <v>#093-레더페인트-Brick</v>
          </cell>
          <cell r="C30">
            <v>7800</v>
          </cell>
          <cell r="D30" t="str">
            <v>086366710937</v>
          </cell>
          <cell r="E30">
            <v>16.2</v>
          </cell>
          <cell r="F30">
            <v>1862.9999999999995</v>
          </cell>
          <cell r="G30" t="str">
            <v>엔젤러스</v>
          </cell>
          <cell r="H30" t="str">
            <v>1-1.레더페인트</v>
          </cell>
          <cell r="J30" t="str">
            <v>#093-Paint 1oz Brick</v>
          </cell>
        </row>
        <row r="31">
          <cell r="A31">
            <v>72001101</v>
          </cell>
          <cell r="B31" t="str">
            <v>#101-레더페인트-Flat Black</v>
          </cell>
          <cell r="C31">
            <v>7800</v>
          </cell>
          <cell r="D31" t="str">
            <v>086366711019</v>
          </cell>
          <cell r="E31">
            <v>16.2</v>
          </cell>
          <cell r="F31">
            <v>1862.9999999999995</v>
          </cell>
          <cell r="G31" t="str">
            <v>엔젤러스</v>
          </cell>
          <cell r="H31" t="str">
            <v>1-1.레더페인트</v>
          </cell>
          <cell r="J31" t="str">
            <v>#101-Paint 1oz Flat Black</v>
          </cell>
        </row>
        <row r="32">
          <cell r="A32">
            <v>72001105</v>
          </cell>
          <cell r="B32" t="str">
            <v>#105-레더페인트-Flat White</v>
          </cell>
          <cell r="C32">
            <v>7800</v>
          </cell>
          <cell r="D32" t="str">
            <v>086366711057</v>
          </cell>
          <cell r="E32">
            <v>16.2</v>
          </cell>
          <cell r="F32">
            <v>1862.9999999999995</v>
          </cell>
          <cell r="G32" t="str">
            <v>엔젤러스</v>
          </cell>
          <cell r="H32" t="str">
            <v>1-1.레더페인트</v>
          </cell>
          <cell r="J32" t="str">
            <v>#105-Paint 1oz Flat White</v>
          </cell>
        </row>
        <row r="33">
          <cell r="A33">
            <v>72001141</v>
          </cell>
          <cell r="B33" t="str">
            <v>#141-레더페인트-Copper</v>
          </cell>
          <cell r="C33">
            <v>7800</v>
          </cell>
          <cell r="D33" t="str">
            <v>086366711415</v>
          </cell>
          <cell r="E33">
            <v>16.2</v>
          </cell>
          <cell r="F33">
            <v>1862.9999999999995</v>
          </cell>
          <cell r="G33" t="str">
            <v>엔젤러스</v>
          </cell>
          <cell r="H33" t="str">
            <v>1-1.레더페인트</v>
          </cell>
          <cell r="J33" t="str">
            <v>#141-Paint 1oz Copper</v>
          </cell>
        </row>
        <row r="34">
          <cell r="A34">
            <v>72001142</v>
          </cell>
          <cell r="B34" t="str">
            <v>#142-레더페인트-Bronze</v>
          </cell>
          <cell r="C34">
            <v>7800</v>
          </cell>
          <cell r="D34" t="str">
            <v>086366711422</v>
          </cell>
          <cell r="E34">
            <v>16.2</v>
          </cell>
          <cell r="F34">
            <v>1862.9999999999995</v>
          </cell>
          <cell r="G34" t="str">
            <v>엔젤러스</v>
          </cell>
          <cell r="H34" t="str">
            <v>1-1.레더페인트</v>
          </cell>
          <cell r="J34" t="str">
            <v>#142-Paint 1oz Bronze</v>
          </cell>
        </row>
        <row r="35">
          <cell r="A35">
            <v>72001143</v>
          </cell>
          <cell r="B35" t="str">
            <v>#143-레더페인트-Pewter</v>
          </cell>
          <cell r="C35">
            <v>7800</v>
          </cell>
          <cell r="D35" t="str">
            <v>086366711439</v>
          </cell>
          <cell r="E35">
            <v>16.2</v>
          </cell>
          <cell r="F35">
            <v>1862.9999999999995</v>
          </cell>
          <cell r="G35" t="str">
            <v>엔젤러스</v>
          </cell>
          <cell r="H35" t="str">
            <v>1-1.레더페인트</v>
          </cell>
          <cell r="J35" t="str">
            <v>#143-Paint 1oz Pewter</v>
          </cell>
        </row>
        <row r="36">
          <cell r="A36">
            <v>72001150</v>
          </cell>
          <cell r="B36" t="str">
            <v>#150-레더페인트-SILVER</v>
          </cell>
          <cell r="C36">
            <v>7800</v>
          </cell>
          <cell r="D36" t="str">
            <v>086366711507</v>
          </cell>
          <cell r="E36">
            <v>16.2</v>
          </cell>
          <cell r="F36">
            <v>1862.9999999999995</v>
          </cell>
          <cell r="G36" t="str">
            <v>엔젤러스</v>
          </cell>
          <cell r="H36" t="str">
            <v>1-1.레더페인트</v>
          </cell>
          <cell r="J36" t="str">
            <v>#150-Paint 1oz SILVER</v>
          </cell>
        </row>
        <row r="37">
          <cell r="A37">
            <v>72001155</v>
          </cell>
          <cell r="B37" t="str">
            <v>#155-레더페인트-Bone</v>
          </cell>
          <cell r="C37">
            <v>7800</v>
          </cell>
          <cell r="D37" t="str">
            <v>086366711552</v>
          </cell>
          <cell r="E37">
            <v>16.2</v>
          </cell>
          <cell r="F37">
            <v>1862.9999999999995</v>
          </cell>
          <cell r="G37" t="str">
            <v>엔젤러스</v>
          </cell>
          <cell r="H37" t="str">
            <v>1-1.레더페인트</v>
          </cell>
          <cell r="J37" t="str">
            <v>#155-Paint 1oz Bone</v>
          </cell>
        </row>
        <row r="38">
          <cell r="A38">
            <v>72001156</v>
          </cell>
          <cell r="B38" t="str">
            <v>#156-레더페인트-Champagne</v>
          </cell>
          <cell r="C38">
            <v>7800</v>
          </cell>
          <cell r="D38" t="str">
            <v>086366711569</v>
          </cell>
          <cell r="E38">
            <v>16.2</v>
          </cell>
          <cell r="F38">
            <v>1862.9999999999995</v>
          </cell>
          <cell r="G38" t="str">
            <v>엔젤러스</v>
          </cell>
          <cell r="H38" t="str">
            <v>1-1.레더페인트</v>
          </cell>
          <cell r="J38" t="str">
            <v>#156-Paint 1oz Champagne</v>
          </cell>
        </row>
        <row r="39">
          <cell r="A39">
            <v>72001157</v>
          </cell>
          <cell r="B39" t="str">
            <v>#157-레더페인트-DarkBone</v>
          </cell>
          <cell r="C39">
            <v>7800</v>
          </cell>
          <cell r="D39" t="str">
            <v>086366711576</v>
          </cell>
          <cell r="E39">
            <v>16.2</v>
          </cell>
          <cell r="F39">
            <v>1862.9999999999995</v>
          </cell>
          <cell r="G39" t="str">
            <v>엔젤러스</v>
          </cell>
          <cell r="H39" t="str">
            <v>1-1.레더페인트</v>
          </cell>
          <cell r="J39" t="str">
            <v>#157-Paint 1oz DarkBone</v>
          </cell>
        </row>
        <row r="40">
          <cell r="A40">
            <v>72001159</v>
          </cell>
          <cell r="B40" t="str">
            <v>#159-레더페인트-Mist</v>
          </cell>
          <cell r="C40">
            <v>7800</v>
          </cell>
          <cell r="D40" t="str">
            <v>086366711590</v>
          </cell>
          <cell r="E40">
            <v>16.2</v>
          </cell>
          <cell r="F40">
            <v>1862.9999999999995</v>
          </cell>
          <cell r="G40" t="str">
            <v>엔젤러스</v>
          </cell>
          <cell r="H40" t="str">
            <v>1-1.레더페인트</v>
          </cell>
          <cell r="J40" t="str">
            <v>#159-Paint 1oz Mist</v>
          </cell>
        </row>
        <row r="41">
          <cell r="A41">
            <v>72001160</v>
          </cell>
          <cell r="B41" t="str">
            <v>#160-레더페인트-Vanilla</v>
          </cell>
          <cell r="C41">
            <v>7800</v>
          </cell>
          <cell r="D41" t="str">
            <v>086366711606</v>
          </cell>
          <cell r="E41">
            <v>16.2</v>
          </cell>
          <cell r="F41">
            <v>1862.9999999999995</v>
          </cell>
          <cell r="G41" t="str">
            <v>엔젤러스</v>
          </cell>
          <cell r="H41" t="str">
            <v>1-1.레더페인트</v>
          </cell>
          <cell r="J41" t="str">
            <v>#160-Paint 1oz Vanilla</v>
          </cell>
        </row>
        <row r="42">
          <cell r="A42">
            <v>72001161</v>
          </cell>
          <cell r="B42" t="str">
            <v>#161-레더페인트-Natural</v>
          </cell>
          <cell r="C42">
            <v>7800</v>
          </cell>
          <cell r="D42" t="str">
            <v>086366711613</v>
          </cell>
          <cell r="E42">
            <v>16.2</v>
          </cell>
          <cell r="F42">
            <v>1862.9999999999995</v>
          </cell>
          <cell r="G42" t="str">
            <v>엔젤러스</v>
          </cell>
          <cell r="H42" t="str">
            <v>1-1.레더페인트</v>
          </cell>
          <cell r="J42" t="str">
            <v>#161-Paint 1oz Natural</v>
          </cell>
        </row>
        <row r="43">
          <cell r="A43">
            <v>72001162</v>
          </cell>
          <cell r="B43" t="str">
            <v>#162-레더페인트-Cream</v>
          </cell>
          <cell r="C43">
            <v>7800</v>
          </cell>
          <cell r="D43" t="str">
            <v>086366711620</v>
          </cell>
          <cell r="E43">
            <v>16.2</v>
          </cell>
          <cell r="F43">
            <v>1862.9999999999995</v>
          </cell>
          <cell r="G43" t="str">
            <v>엔젤러스</v>
          </cell>
          <cell r="H43" t="str">
            <v>1-1.레더페인트</v>
          </cell>
          <cell r="J43" t="str">
            <v>#162-Paint 1oz Cream</v>
          </cell>
        </row>
        <row r="44">
          <cell r="A44">
            <v>72001163</v>
          </cell>
          <cell r="B44" t="str">
            <v>#163-레더페인트-CapazioTan</v>
          </cell>
          <cell r="C44">
            <v>7800</v>
          </cell>
          <cell r="D44" t="str">
            <v>086366711637</v>
          </cell>
          <cell r="E44">
            <v>16.2</v>
          </cell>
          <cell r="F44">
            <v>1862.9999999999995</v>
          </cell>
          <cell r="G44" t="str">
            <v>엔젤러스</v>
          </cell>
          <cell r="H44" t="str">
            <v>1-1.레더페인트</v>
          </cell>
          <cell r="J44" t="str">
            <v>#163-Paint 1oz CapazioTan</v>
          </cell>
        </row>
        <row r="45">
          <cell r="A45">
            <v>72001165</v>
          </cell>
          <cell r="B45" t="str">
            <v>#165-레더페인트-BeigeTaupe</v>
          </cell>
          <cell r="C45">
            <v>7800</v>
          </cell>
          <cell r="D45" t="str">
            <v>086366711651</v>
          </cell>
          <cell r="E45">
            <v>16.2</v>
          </cell>
          <cell r="F45">
            <v>1862.9999999999995</v>
          </cell>
          <cell r="G45" t="str">
            <v>엔젤러스</v>
          </cell>
          <cell r="H45" t="str">
            <v>1-1.레더페인트</v>
          </cell>
          <cell r="J45" t="str">
            <v>#165-Paint 1oz BeigeTaupe</v>
          </cell>
        </row>
        <row r="46">
          <cell r="A46">
            <v>72001166</v>
          </cell>
          <cell r="B46" t="str">
            <v>#166-레더페인트-GreyTaupe</v>
          </cell>
          <cell r="C46">
            <v>7800</v>
          </cell>
          <cell r="D46" t="str">
            <v>086366711668</v>
          </cell>
          <cell r="E46">
            <v>16.2</v>
          </cell>
          <cell r="F46">
            <v>1862.9999999999995</v>
          </cell>
          <cell r="G46" t="str">
            <v>엔젤러스</v>
          </cell>
          <cell r="H46" t="str">
            <v>1-1.레더페인트</v>
          </cell>
          <cell r="J46" t="str">
            <v>#166-Paint 1oz GreyTaupe</v>
          </cell>
        </row>
        <row r="47">
          <cell r="A47">
            <v>72001167</v>
          </cell>
          <cell r="B47" t="str">
            <v>#167-레더페인트-Taupe</v>
          </cell>
          <cell r="C47">
            <v>7800</v>
          </cell>
          <cell r="D47" t="str">
            <v>086366711675</v>
          </cell>
          <cell r="E47">
            <v>16.2</v>
          </cell>
          <cell r="F47">
            <v>1862.9999999999995</v>
          </cell>
          <cell r="G47" t="str">
            <v>엔젤러스</v>
          </cell>
          <cell r="H47" t="str">
            <v>1-1.레더페인트</v>
          </cell>
          <cell r="J47" t="str">
            <v>#167-Paint 1oz Taupe</v>
          </cell>
        </row>
        <row r="48">
          <cell r="A48">
            <v>72001168</v>
          </cell>
          <cell r="B48" t="str">
            <v>#168-레더페인트-DarkTaupe</v>
          </cell>
          <cell r="C48">
            <v>7800</v>
          </cell>
          <cell r="D48" t="str">
            <v>086366711682</v>
          </cell>
          <cell r="E48">
            <v>16.2</v>
          </cell>
          <cell r="F48">
            <v>1862.9999999999995</v>
          </cell>
          <cell r="G48" t="str">
            <v>엔젤러스</v>
          </cell>
          <cell r="H48" t="str">
            <v>1-1.레더페인트</v>
          </cell>
          <cell r="J48" t="str">
            <v>#168-Paint 1oz DarkTaupe</v>
          </cell>
        </row>
        <row r="49">
          <cell r="A49">
            <v>72001169</v>
          </cell>
          <cell r="B49" t="str">
            <v>#169-레더페인트-Mauve</v>
          </cell>
          <cell r="C49">
            <v>7800</v>
          </cell>
          <cell r="D49" t="str">
            <v>086366711699</v>
          </cell>
          <cell r="E49">
            <v>16.2</v>
          </cell>
          <cell r="F49">
            <v>1862.9999999999995</v>
          </cell>
          <cell r="G49" t="str">
            <v>엔젤러스</v>
          </cell>
          <cell r="H49" t="str">
            <v>1-1.레더페인트</v>
          </cell>
          <cell r="J49" t="str">
            <v>#169-Paint 1oz Mauve</v>
          </cell>
        </row>
        <row r="50">
          <cell r="A50">
            <v>72001170</v>
          </cell>
          <cell r="B50" t="str">
            <v>#170-레더페인트-Avocado</v>
          </cell>
          <cell r="C50">
            <v>7800</v>
          </cell>
          <cell r="D50" t="str">
            <v>086366711705</v>
          </cell>
          <cell r="E50">
            <v>16.2</v>
          </cell>
          <cell r="F50">
            <v>1862.9999999999995</v>
          </cell>
          <cell r="G50" t="str">
            <v>엔젤러스</v>
          </cell>
          <cell r="H50" t="str">
            <v>1-1.레더페인트</v>
          </cell>
          <cell r="J50" t="str">
            <v>#170-Paint 1oz Avocado</v>
          </cell>
        </row>
        <row r="51">
          <cell r="A51">
            <v>72001171</v>
          </cell>
          <cell r="B51" t="str">
            <v>#171-레더페인트-DarkGreen</v>
          </cell>
          <cell r="C51">
            <v>7800</v>
          </cell>
          <cell r="D51" t="str">
            <v>086366711712</v>
          </cell>
          <cell r="E51">
            <v>16.2</v>
          </cell>
          <cell r="F51">
            <v>1862.9999999999995</v>
          </cell>
          <cell r="G51" t="str">
            <v>엔젤러스</v>
          </cell>
          <cell r="H51" t="str">
            <v>1-1.레더페인트</v>
          </cell>
          <cell r="J51" t="str">
            <v>#171-Paint 1oz DarkGreen</v>
          </cell>
        </row>
        <row r="52">
          <cell r="A52">
            <v>72001172</v>
          </cell>
          <cell r="B52" t="str">
            <v>#172-레더페인트-Light Green</v>
          </cell>
          <cell r="C52">
            <v>7800</v>
          </cell>
          <cell r="D52" t="str">
            <v>086366711729</v>
          </cell>
          <cell r="E52">
            <v>16.2</v>
          </cell>
          <cell r="F52">
            <v>1862.9999999999995</v>
          </cell>
          <cell r="G52" t="str">
            <v>엔젤러스</v>
          </cell>
          <cell r="H52" t="str">
            <v>1-1.레더페인트</v>
          </cell>
          <cell r="J52" t="str">
            <v>#172-Paint 1oz Light Green</v>
          </cell>
        </row>
        <row r="53">
          <cell r="A53">
            <v>72001174</v>
          </cell>
          <cell r="B53" t="str">
            <v>#174-레더페인트-GiftBoxBlue</v>
          </cell>
          <cell r="C53">
            <v>7800</v>
          </cell>
          <cell r="D53" t="str">
            <v>086366711743</v>
          </cell>
          <cell r="E53">
            <v>16.2</v>
          </cell>
          <cell r="F53">
            <v>1862.9999999999995</v>
          </cell>
          <cell r="G53" t="str">
            <v>엔젤러스</v>
          </cell>
          <cell r="H53" t="str">
            <v>1-1.레더페인트</v>
          </cell>
          <cell r="J53" t="str">
            <v>#174-Paint 1oz GiftBoxBlue</v>
          </cell>
        </row>
        <row r="54">
          <cell r="A54">
            <v>72001175</v>
          </cell>
          <cell r="B54" t="str">
            <v>#175-레더페인트-Lylac</v>
          </cell>
          <cell r="C54">
            <v>7800</v>
          </cell>
          <cell r="D54" t="str">
            <v>086366711750</v>
          </cell>
          <cell r="E54">
            <v>16.2</v>
          </cell>
          <cell r="F54">
            <v>1862.9999999999995</v>
          </cell>
          <cell r="G54" t="str">
            <v>엔젤러스</v>
          </cell>
          <cell r="H54" t="str">
            <v>1-1.레더페인트</v>
          </cell>
          <cell r="J54" t="str">
            <v>#175-Paint 1oz Lylac</v>
          </cell>
        </row>
        <row r="55">
          <cell r="A55">
            <v>72001176</v>
          </cell>
          <cell r="B55" t="str">
            <v>#176-레더페인트-PaleBlue</v>
          </cell>
          <cell r="C55">
            <v>7800</v>
          </cell>
          <cell r="D55" t="str">
            <v>086366711767</v>
          </cell>
          <cell r="E55">
            <v>16.2</v>
          </cell>
          <cell r="F55">
            <v>1862.9999999999995</v>
          </cell>
          <cell r="G55" t="str">
            <v>엔젤러스</v>
          </cell>
          <cell r="H55" t="str">
            <v>1-1.레더페인트</v>
          </cell>
          <cell r="J55" t="str">
            <v>#176-Paint 1oz PaleBlue</v>
          </cell>
        </row>
        <row r="56">
          <cell r="A56">
            <v>72001177</v>
          </cell>
          <cell r="B56" t="str">
            <v>#177-레더페인트-Sapphire</v>
          </cell>
          <cell r="C56">
            <v>7800</v>
          </cell>
          <cell r="D56" t="str">
            <v>086366711778</v>
          </cell>
          <cell r="E56">
            <v>16.2</v>
          </cell>
          <cell r="F56">
            <v>1862.9999999999995</v>
          </cell>
          <cell r="G56" t="str">
            <v>엔젤러스</v>
          </cell>
          <cell r="H56" t="str">
            <v>1-1.레더페인트</v>
          </cell>
          <cell r="J56" t="str">
            <v>#177-Paint 1oz Sapphire</v>
          </cell>
        </row>
        <row r="57">
          <cell r="A57">
            <v>72001178</v>
          </cell>
          <cell r="B57" t="str">
            <v>#178-레더페인트-Violet</v>
          </cell>
          <cell r="C57">
            <v>7800</v>
          </cell>
          <cell r="D57" t="str">
            <v>086366711781</v>
          </cell>
          <cell r="E57">
            <v>16.2</v>
          </cell>
          <cell r="F57">
            <v>1862.9999999999995</v>
          </cell>
          <cell r="G57" t="str">
            <v>엔젤러스</v>
          </cell>
          <cell r="H57" t="str">
            <v>1-1.레더페인트</v>
          </cell>
          <cell r="J57" t="str">
            <v>#178-Paint 1oz Violet</v>
          </cell>
        </row>
        <row r="58">
          <cell r="A58">
            <v>72001179</v>
          </cell>
          <cell r="B58" t="str">
            <v>#179-레더페인트-DarkBlue</v>
          </cell>
          <cell r="C58">
            <v>7800</v>
          </cell>
          <cell r="D58" t="str">
            <v>086366711798</v>
          </cell>
          <cell r="E58">
            <v>16.2</v>
          </cell>
          <cell r="F58">
            <v>1862.9999999999995</v>
          </cell>
          <cell r="G58" t="str">
            <v>엔젤러스</v>
          </cell>
          <cell r="H58" t="str">
            <v>1-1.레더페인트</v>
          </cell>
          <cell r="J58" t="str">
            <v>#179-Paint 1oz DarkBlue</v>
          </cell>
        </row>
        <row r="59">
          <cell r="A59">
            <v>72001180</v>
          </cell>
          <cell r="B59" t="str">
            <v>#180-레더페인트-Cognac</v>
          </cell>
          <cell r="C59">
            <v>7800</v>
          </cell>
          <cell r="D59" t="str">
            <v>086366711804</v>
          </cell>
          <cell r="E59">
            <v>16.2</v>
          </cell>
          <cell r="F59">
            <v>1862.9999999999995</v>
          </cell>
          <cell r="G59" t="str">
            <v>엔젤러스</v>
          </cell>
          <cell r="H59" t="str">
            <v>1-1.레더페인트</v>
          </cell>
          <cell r="J59" t="str">
            <v>#180-Paint 1oz Cognac</v>
          </cell>
        </row>
        <row r="60">
          <cell r="A60">
            <v>72001181</v>
          </cell>
          <cell r="B60" t="str">
            <v>#181-레더페인트-RichBrown</v>
          </cell>
          <cell r="C60">
            <v>7800</v>
          </cell>
          <cell r="D60" t="str">
            <v>086366711811</v>
          </cell>
          <cell r="E60">
            <v>16.2</v>
          </cell>
          <cell r="F60">
            <v>1862.9999999999995</v>
          </cell>
          <cell r="G60" t="str">
            <v>엔젤러스</v>
          </cell>
          <cell r="H60" t="str">
            <v>1-1.레더페인트</v>
          </cell>
          <cell r="J60" t="str">
            <v>#181-Paint 1oz RichBrown</v>
          </cell>
        </row>
        <row r="61">
          <cell r="A61">
            <v>72001182</v>
          </cell>
          <cell r="B61" t="str">
            <v>#182-레더페인트-Sand</v>
          </cell>
          <cell r="C61">
            <v>7800</v>
          </cell>
          <cell r="D61" t="str">
            <v>086366711828</v>
          </cell>
          <cell r="E61">
            <v>16.2</v>
          </cell>
          <cell r="F61">
            <v>1862.9999999999995</v>
          </cell>
          <cell r="G61" t="str">
            <v>엔젤러스</v>
          </cell>
          <cell r="H61" t="str">
            <v>1-1.레더페인트</v>
          </cell>
          <cell r="J61" t="str">
            <v>#182-Paint 1oz Sand</v>
          </cell>
        </row>
        <row r="62">
          <cell r="A62">
            <v>72001183</v>
          </cell>
          <cell r="B62" t="str">
            <v>#183-레더페인트-TerraCottaRed</v>
          </cell>
          <cell r="C62">
            <v>7800</v>
          </cell>
          <cell r="D62" t="str">
            <v>086366711835</v>
          </cell>
          <cell r="E62">
            <v>16.2</v>
          </cell>
          <cell r="F62">
            <v>1862.9999999999995</v>
          </cell>
          <cell r="G62" t="str">
            <v>엔젤러스</v>
          </cell>
          <cell r="H62" t="str">
            <v>1-1.레더페인트</v>
          </cell>
          <cell r="J62" t="str">
            <v>#183-Paint 1oz TerraCottaRed</v>
          </cell>
        </row>
        <row r="63">
          <cell r="A63">
            <v>72001184</v>
          </cell>
          <cell r="B63" t="str">
            <v>#184-레더페인트-AutumnRed</v>
          </cell>
          <cell r="C63">
            <v>7800</v>
          </cell>
          <cell r="D63" t="str">
            <v>086366711842</v>
          </cell>
          <cell r="E63">
            <v>16.2</v>
          </cell>
          <cell r="F63">
            <v>1862.9999999999995</v>
          </cell>
          <cell r="G63" t="str">
            <v>엔젤러스</v>
          </cell>
          <cell r="H63" t="str">
            <v>1-1.레더페인트</v>
          </cell>
          <cell r="J63" t="str">
            <v>#184-Paint 1oz AutumnRed</v>
          </cell>
        </row>
        <row r="64">
          <cell r="A64">
            <v>72001185</v>
          </cell>
          <cell r="B64" t="str">
            <v>#185-레더페인트-FireRed</v>
          </cell>
          <cell r="C64">
            <v>7800</v>
          </cell>
          <cell r="D64" t="str">
            <v>086366711859</v>
          </cell>
          <cell r="E64">
            <v>16.2</v>
          </cell>
          <cell r="F64">
            <v>1862.9999999999995</v>
          </cell>
          <cell r="G64" t="str">
            <v>엔젤러스</v>
          </cell>
          <cell r="H64" t="str">
            <v>1-1.레더페인트</v>
          </cell>
          <cell r="J64" t="str">
            <v>#185-Paint 1oz FireRed</v>
          </cell>
        </row>
        <row r="65">
          <cell r="A65">
            <v>72001186</v>
          </cell>
          <cell r="B65" t="str">
            <v>#186-레더페인트-HotPink</v>
          </cell>
          <cell r="C65">
            <v>7800</v>
          </cell>
          <cell r="D65" t="str">
            <v>086366711866</v>
          </cell>
          <cell r="E65">
            <v>16.2</v>
          </cell>
          <cell r="F65">
            <v>1862.9999999999995</v>
          </cell>
          <cell r="G65" t="str">
            <v>엔젤러스</v>
          </cell>
          <cell r="H65" t="str">
            <v>1-1.레더페인트</v>
          </cell>
          <cell r="J65" t="str">
            <v>#186-Paint 1oz HotPink</v>
          </cell>
        </row>
        <row r="66">
          <cell r="A66">
            <v>72001187</v>
          </cell>
          <cell r="B66" t="str">
            <v>#187-레더페인트-Magenta</v>
          </cell>
          <cell r="C66">
            <v>7800</v>
          </cell>
          <cell r="D66" t="str">
            <v>086366711873</v>
          </cell>
          <cell r="E66">
            <v>16.2</v>
          </cell>
          <cell r="F66">
            <v>1862.9999999999995</v>
          </cell>
          <cell r="G66" t="str">
            <v>엔젤러스</v>
          </cell>
          <cell r="H66" t="str">
            <v>1-1.레더페인트</v>
          </cell>
          <cell r="J66" t="str">
            <v>#187-Paint 1oz Magenta</v>
          </cell>
        </row>
        <row r="67">
          <cell r="A67">
            <v>72001188</v>
          </cell>
          <cell r="B67" t="str">
            <v>#188-레더페인트-Pink</v>
          </cell>
          <cell r="C67">
            <v>7800</v>
          </cell>
          <cell r="D67" t="str">
            <v>086366711880</v>
          </cell>
          <cell r="E67">
            <v>16.2</v>
          </cell>
          <cell r="F67">
            <v>1862.9999999999995</v>
          </cell>
          <cell r="G67" t="str">
            <v>엔젤러스</v>
          </cell>
          <cell r="H67" t="str">
            <v>1-1.레더페인트</v>
          </cell>
          <cell r="J67" t="str">
            <v>#188-Paint 1oz Pink</v>
          </cell>
        </row>
        <row r="68">
          <cell r="A68">
            <v>72001189</v>
          </cell>
          <cell r="B68" t="str">
            <v>#189-레더페인트-Petal Pink</v>
          </cell>
          <cell r="C68">
            <v>7800</v>
          </cell>
          <cell r="D68" t="str">
            <v>086366711897</v>
          </cell>
          <cell r="E68">
            <v>16.2</v>
          </cell>
          <cell r="F68">
            <v>1862.9999999999995</v>
          </cell>
          <cell r="G68" t="str">
            <v>엔젤러스</v>
          </cell>
          <cell r="H68" t="str">
            <v>1-1.레더페인트</v>
          </cell>
          <cell r="J68" t="str">
            <v>#189-Paint 1oz Petal Pink</v>
          </cell>
        </row>
        <row r="69">
          <cell r="A69">
            <v>72001190</v>
          </cell>
          <cell r="B69" t="str">
            <v>#190-레더페인트-ScaletRed</v>
          </cell>
          <cell r="C69">
            <v>7800</v>
          </cell>
          <cell r="D69" t="str">
            <v>086366711903</v>
          </cell>
          <cell r="E69">
            <v>16.2</v>
          </cell>
          <cell r="F69">
            <v>1862.9999999999995</v>
          </cell>
          <cell r="G69" t="str">
            <v>엔젤러스</v>
          </cell>
          <cell r="H69" t="str">
            <v>1-1.레더페인트</v>
          </cell>
          <cell r="J69" t="str">
            <v>#190-Paint 1oz ScaletRed</v>
          </cell>
        </row>
        <row r="70">
          <cell r="A70">
            <v>72001191</v>
          </cell>
          <cell r="B70" t="str">
            <v>#191-레더페인트-Shell Pink</v>
          </cell>
          <cell r="C70">
            <v>7800</v>
          </cell>
          <cell r="D70" t="str">
            <v>086366711910</v>
          </cell>
          <cell r="E70">
            <v>16.2</v>
          </cell>
          <cell r="F70">
            <v>1862.9999999999995</v>
          </cell>
          <cell r="G70" t="str">
            <v>엔젤러스</v>
          </cell>
          <cell r="H70" t="str">
            <v>1-1.레더페인트</v>
          </cell>
          <cell r="J70" t="str">
            <v>#191-Paint 1oz Shell Pink</v>
          </cell>
        </row>
        <row r="71">
          <cell r="A71">
            <v>72001194</v>
          </cell>
          <cell r="B71" t="str">
            <v>#194-레더페인트-Caramel</v>
          </cell>
          <cell r="C71">
            <v>7800</v>
          </cell>
          <cell r="D71" t="str">
            <v>086366711941</v>
          </cell>
          <cell r="E71">
            <v>16.2</v>
          </cell>
          <cell r="F71">
            <v>1862.9999999999995</v>
          </cell>
          <cell r="G71" t="str">
            <v>엔젤러스</v>
          </cell>
          <cell r="H71" t="str">
            <v>1-1.레더페인트</v>
          </cell>
          <cell r="J71" t="str">
            <v>#194-Paint 1oz Caramel</v>
          </cell>
        </row>
        <row r="72">
          <cell r="A72">
            <v>72001196</v>
          </cell>
          <cell r="B72" t="str">
            <v>#196-레더페인트-Mustard</v>
          </cell>
          <cell r="C72">
            <v>7800</v>
          </cell>
          <cell r="D72" t="str">
            <v>086366711965</v>
          </cell>
          <cell r="E72">
            <v>16.2</v>
          </cell>
          <cell r="F72">
            <v>1862.9999999999995</v>
          </cell>
          <cell r="G72" t="str">
            <v>엔젤러스</v>
          </cell>
          <cell r="H72" t="str">
            <v>1-1.레더페인트</v>
          </cell>
          <cell r="J72" t="str">
            <v>#196-Paint 1oz Mustard</v>
          </cell>
        </row>
        <row r="73">
          <cell r="A73">
            <v>72001197</v>
          </cell>
          <cell r="B73" t="str">
            <v>#197-레더페인트-PaleYellow</v>
          </cell>
          <cell r="C73">
            <v>7800</v>
          </cell>
          <cell r="D73" t="str">
            <v>086366711972</v>
          </cell>
          <cell r="E73">
            <v>16.2</v>
          </cell>
          <cell r="F73">
            <v>1862.9999999999995</v>
          </cell>
          <cell r="G73" t="str">
            <v>엔젤러스</v>
          </cell>
          <cell r="H73" t="str">
            <v>1-1.레더페인트</v>
          </cell>
          <cell r="J73" t="str">
            <v>#197-Paint 1oz PaleYellow</v>
          </cell>
        </row>
        <row r="74">
          <cell r="A74">
            <v>72001198</v>
          </cell>
          <cell r="B74" t="str">
            <v>#198-레더페인트-Buttercup</v>
          </cell>
          <cell r="C74">
            <v>7800</v>
          </cell>
          <cell r="D74" t="str">
            <v>086366711989</v>
          </cell>
          <cell r="E74">
            <v>16.2</v>
          </cell>
          <cell r="F74">
            <v>1862.9999999999995</v>
          </cell>
          <cell r="G74" t="str">
            <v>엔젤러스</v>
          </cell>
          <cell r="H74" t="str">
            <v>1-1.레더페인트</v>
          </cell>
          <cell r="J74" t="str">
            <v>#198-Paint 1ozButtercup</v>
          </cell>
        </row>
        <row r="75">
          <cell r="A75">
            <v>72001260</v>
          </cell>
          <cell r="B75" t="str">
            <v>#260-레더페인트-Chili Red</v>
          </cell>
          <cell r="C75">
            <v>7800</v>
          </cell>
          <cell r="D75" t="str">
            <v>086366712603</v>
          </cell>
          <cell r="E75">
            <v>16.2</v>
          </cell>
          <cell r="F75">
            <v>1862.9999999999995</v>
          </cell>
          <cell r="G75" t="str">
            <v>엔젤러스</v>
          </cell>
          <cell r="H75" t="str">
            <v>1-1.레더페인트</v>
          </cell>
          <cell r="J75" t="str">
            <v>#260-Paint 1oz Chili Red</v>
          </cell>
        </row>
        <row r="76">
          <cell r="A76">
            <v>72001261</v>
          </cell>
          <cell r="B76" t="str">
            <v>#261-레더페인트-South Beach</v>
          </cell>
          <cell r="C76">
            <v>7800</v>
          </cell>
          <cell r="D76" t="str">
            <v>086366712610</v>
          </cell>
          <cell r="E76">
            <v>16.2</v>
          </cell>
          <cell r="F76">
            <v>1862.9999999999995</v>
          </cell>
          <cell r="G76" t="str">
            <v>엔젤러스</v>
          </cell>
          <cell r="H76" t="str">
            <v>1-1.레더페인트</v>
          </cell>
          <cell r="J76" t="str">
            <v>#261-Paint 1oz South Beach</v>
          </cell>
        </row>
        <row r="77">
          <cell r="A77">
            <v>72001262</v>
          </cell>
          <cell r="B77" t="str">
            <v>#262-레더페인트-Play in the Sand</v>
          </cell>
          <cell r="C77">
            <v>7800</v>
          </cell>
          <cell r="D77" t="str">
            <v>086366712627</v>
          </cell>
          <cell r="E77">
            <v>16.2</v>
          </cell>
          <cell r="F77">
            <v>1862.9999999999995</v>
          </cell>
          <cell r="G77" t="str">
            <v>엔젤러스</v>
          </cell>
          <cell r="H77" t="str">
            <v>1-1.레더페인트</v>
          </cell>
          <cell r="J77" t="str">
            <v>#262-Paint 1oz Play in the Sand</v>
          </cell>
        </row>
        <row r="78">
          <cell r="A78">
            <v>72001263</v>
          </cell>
          <cell r="B78" t="str">
            <v>#263-레더페인트-Grinch Green</v>
          </cell>
          <cell r="C78">
            <v>7800</v>
          </cell>
          <cell r="D78" t="str">
            <v>086366712634</v>
          </cell>
          <cell r="E78">
            <v>16.2</v>
          </cell>
          <cell r="F78">
            <v>1862.9999999999995</v>
          </cell>
          <cell r="G78" t="str">
            <v>엔젤러스</v>
          </cell>
          <cell r="H78" t="str">
            <v>1-1.레더페인트</v>
          </cell>
          <cell r="J78" t="str">
            <v>#263-Paint 1oz Grinch Green</v>
          </cell>
        </row>
        <row r="79">
          <cell r="A79">
            <v>72001264</v>
          </cell>
          <cell r="B79" t="str">
            <v>#264-레더페인트-Putty</v>
          </cell>
          <cell r="C79">
            <v>7800</v>
          </cell>
          <cell r="D79" t="str">
            <v>086366712641</v>
          </cell>
          <cell r="E79">
            <v>16.2</v>
          </cell>
          <cell r="F79">
            <v>1862.9999999999995</v>
          </cell>
          <cell r="G79" t="str">
            <v>엔젤러스</v>
          </cell>
          <cell r="H79" t="str">
            <v>1-1.레더페인트</v>
          </cell>
          <cell r="J79" t="str">
            <v>#264-Paint 1oz Putty</v>
          </cell>
        </row>
        <row r="80">
          <cell r="A80">
            <v>72001265</v>
          </cell>
          <cell r="B80" t="str">
            <v>#265-레더페인트-Tangerine</v>
          </cell>
          <cell r="C80">
            <v>7800</v>
          </cell>
          <cell r="D80" t="str">
            <v>086366712658</v>
          </cell>
          <cell r="E80">
            <v>16.2</v>
          </cell>
          <cell r="F80">
            <v>1862.9999999999995</v>
          </cell>
          <cell r="G80" t="str">
            <v>엔젤러스</v>
          </cell>
          <cell r="H80" t="str">
            <v>1-1.레더페인트</v>
          </cell>
          <cell r="J80" t="str">
            <v>#265-Paint 1oz Tangerine</v>
          </cell>
        </row>
        <row r="81">
          <cell r="A81">
            <v>72001266</v>
          </cell>
          <cell r="B81" t="str">
            <v>#266-레더페인트-Georgia Peach</v>
          </cell>
          <cell r="C81">
            <v>7800</v>
          </cell>
          <cell r="D81" t="str">
            <v>086366712665</v>
          </cell>
          <cell r="E81">
            <v>16.2</v>
          </cell>
          <cell r="F81">
            <v>1862.9999999999995</v>
          </cell>
          <cell r="G81" t="str">
            <v>엔젤러스</v>
          </cell>
          <cell r="H81" t="str">
            <v>1-1.레더페인트</v>
          </cell>
          <cell r="J81" t="str">
            <v>#266-Paint 1oz Georgia Peach</v>
          </cell>
        </row>
        <row r="82">
          <cell r="A82">
            <v>72001267</v>
          </cell>
          <cell r="B82" t="str">
            <v>#267-레더페인트-Salmon</v>
          </cell>
          <cell r="C82">
            <v>7800</v>
          </cell>
          <cell r="D82" t="str">
            <v>086366712672</v>
          </cell>
          <cell r="E82">
            <v>16.2</v>
          </cell>
          <cell r="F82">
            <v>1862.9999999999995</v>
          </cell>
          <cell r="G82" t="str">
            <v>엔젤러스</v>
          </cell>
          <cell r="H82" t="str">
            <v>1-1.레더페인트</v>
          </cell>
          <cell r="J82" t="str">
            <v>#267-Paint 1oz Salmon</v>
          </cell>
        </row>
        <row r="83">
          <cell r="A83">
            <v>72001268</v>
          </cell>
          <cell r="B83" t="str">
            <v>#268-레더페인트-Rasberry</v>
          </cell>
          <cell r="C83">
            <v>7800</v>
          </cell>
          <cell r="D83" t="str">
            <v>086366712689</v>
          </cell>
          <cell r="E83">
            <v>16.2</v>
          </cell>
          <cell r="F83">
            <v>1862.9999999999995</v>
          </cell>
          <cell r="G83" t="str">
            <v>엔젤러스</v>
          </cell>
          <cell r="H83" t="str">
            <v>1-1.레더페인트</v>
          </cell>
          <cell r="J83" t="str">
            <v>#268-Paint 1oz Rasberry</v>
          </cell>
        </row>
        <row r="84">
          <cell r="A84">
            <v>72001269</v>
          </cell>
          <cell r="B84" t="str">
            <v>#269-레더페인트-Mint</v>
          </cell>
          <cell r="C84">
            <v>7800</v>
          </cell>
          <cell r="D84" t="str">
            <v>086366712696</v>
          </cell>
          <cell r="E84">
            <v>16.2</v>
          </cell>
          <cell r="F84">
            <v>1862.9999999999995</v>
          </cell>
          <cell r="G84" t="str">
            <v>엔젤러스</v>
          </cell>
          <cell r="H84" t="str">
            <v>1-1.레더페인트</v>
          </cell>
          <cell r="J84" t="str">
            <v>#269-Paint 1oz Mint</v>
          </cell>
        </row>
        <row r="85">
          <cell r="A85">
            <v>72001270</v>
          </cell>
          <cell r="B85" t="str">
            <v>#270-레더페인트-Vachetta</v>
          </cell>
          <cell r="C85">
            <v>7800</v>
          </cell>
          <cell r="D85" t="str">
            <v>086366712702</v>
          </cell>
          <cell r="E85">
            <v>16.2</v>
          </cell>
          <cell r="F85">
            <v>1862.9999999999995</v>
          </cell>
          <cell r="G85" t="str">
            <v>엔젤러스</v>
          </cell>
          <cell r="H85" t="str">
            <v>1-1.레더페인트</v>
          </cell>
          <cell r="J85" t="str">
            <v>#270-Paint 1oz Vachetta</v>
          </cell>
        </row>
        <row r="86">
          <cell r="A86">
            <v>72001272</v>
          </cell>
          <cell r="B86" t="str">
            <v>#272-레더페인트-Olive</v>
          </cell>
          <cell r="C86">
            <v>7800</v>
          </cell>
          <cell r="D86" t="str">
            <v>086366712726</v>
          </cell>
          <cell r="E86">
            <v>16.2</v>
          </cell>
          <cell r="F86">
            <v>1862.9999999999995</v>
          </cell>
          <cell r="G86" t="str">
            <v>엔젤러스</v>
          </cell>
          <cell r="H86" t="str">
            <v>1-1.레더페인트</v>
          </cell>
          <cell r="J86" t="str">
            <v>#272-Paint 1oz Olive</v>
          </cell>
        </row>
        <row r="87">
          <cell r="A87">
            <v>72001273</v>
          </cell>
          <cell r="B87" t="str">
            <v>#273-레더페인트-Bowler Brown</v>
          </cell>
          <cell r="C87">
            <v>7800</v>
          </cell>
          <cell r="D87">
            <v>86366712733</v>
          </cell>
          <cell r="E87">
            <v>16.2</v>
          </cell>
          <cell r="F87">
            <v>1862.9999999999995</v>
          </cell>
          <cell r="G87" t="str">
            <v>엔젤러스</v>
          </cell>
          <cell r="H87" t="str">
            <v>1-1.레더페인트</v>
          </cell>
          <cell r="J87" t="str">
            <v>#273-Paint 1oz Bowler Brown</v>
          </cell>
        </row>
        <row r="88">
          <cell r="A88">
            <v>72001274</v>
          </cell>
          <cell r="B88" t="str">
            <v>#274-레더페인트-Luggage Brown</v>
          </cell>
          <cell r="C88">
            <v>7800</v>
          </cell>
          <cell r="D88">
            <v>86366712740</v>
          </cell>
          <cell r="E88">
            <v>16.2</v>
          </cell>
          <cell r="F88">
            <v>1862.9999999999995</v>
          </cell>
          <cell r="G88" t="str">
            <v>엔젤러스</v>
          </cell>
          <cell r="H88" t="str">
            <v>1-1.레더페인트</v>
          </cell>
          <cell r="J88" t="str">
            <v>#274-Paint 1oz Luggage Brown</v>
          </cell>
        </row>
        <row r="89">
          <cell r="A89">
            <v>72001275</v>
          </cell>
          <cell r="B89" t="str">
            <v>#275-레더페인트-Satchel Tan</v>
          </cell>
          <cell r="C89">
            <v>7800</v>
          </cell>
          <cell r="D89">
            <v>86366712757</v>
          </cell>
          <cell r="E89">
            <v>16.2</v>
          </cell>
          <cell r="F89">
            <v>1862.9999999999995</v>
          </cell>
          <cell r="G89" t="str">
            <v>엔젤러스</v>
          </cell>
          <cell r="H89" t="str">
            <v>1-1.레더페인트</v>
          </cell>
          <cell r="J89" t="str">
            <v>#275-Paint 1oz Satchel Tan</v>
          </cell>
        </row>
        <row r="91">
          <cell r="A91">
            <v>72701310</v>
          </cell>
          <cell r="B91" t="str">
            <v>콜렉터에디션-#310-aqua</v>
          </cell>
          <cell r="C91">
            <v>8800</v>
          </cell>
          <cell r="D91" t="str">
            <v>086366713105</v>
          </cell>
          <cell r="E91">
            <v>20.399999999999999</v>
          </cell>
          <cell r="F91">
            <v>2346</v>
          </cell>
          <cell r="G91" t="str">
            <v>엔젤러스</v>
          </cell>
          <cell r="H91" t="str">
            <v>1-2.콜렉터에디션</v>
          </cell>
          <cell r="J91" t="str">
            <v>#310-Collector Edition-aqua</v>
          </cell>
        </row>
        <row r="92">
          <cell r="A92">
            <v>72701312</v>
          </cell>
          <cell r="B92" t="str">
            <v>콜렉터에디션-#312-Blaze</v>
          </cell>
          <cell r="C92">
            <v>8800</v>
          </cell>
          <cell r="D92" t="str">
            <v>086366713129</v>
          </cell>
          <cell r="E92">
            <v>20.399999999999999</v>
          </cell>
          <cell r="F92">
            <v>2346</v>
          </cell>
          <cell r="G92" t="str">
            <v>엔젤러스</v>
          </cell>
          <cell r="H92" t="str">
            <v>1-2.콜렉터에디션</v>
          </cell>
          <cell r="J92" t="str">
            <v>#312-Collector Edition-Blaze</v>
          </cell>
        </row>
        <row r="93">
          <cell r="A93">
            <v>72701313</v>
          </cell>
          <cell r="B93" t="str">
            <v>콜렉터에디션-#313-Concord</v>
          </cell>
          <cell r="C93">
            <v>8800</v>
          </cell>
          <cell r="D93" t="str">
            <v>086366713136</v>
          </cell>
          <cell r="E93">
            <v>20.399999999999999</v>
          </cell>
          <cell r="F93">
            <v>2346</v>
          </cell>
          <cell r="G93" t="str">
            <v>엔젤러스</v>
          </cell>
          <cell r="H93" t="str">
            <v>1-2.콜렉터에디션</v>
          </cell>
          <cell r="J93" t="str">
            <v>#313-Collector Edition-Concord</v>
          </cell>
        </row>
        <row r="94">
          <cell r="A94">
            <v>72701314</v>
          </cell>
          <cell r="B94" t="str">
            <v>콜렉터에디션-#314-Collector Edition  White Cement</v>
          </cell>
          <cell r="C94">
            <v>8800</v>
          </cell>
          <cell r="D94" t="str">
            <v>086366713143</v>
          </cell>
          <cell r="E94">
            <v>20.399999999999999</v>
          </cell>
          <cell r="F94">
            <v>2346</v>
          </cell>
          <cell r="G94" t="str">
            <v>엔젤러스</v>
          </cell>
          <cell r="H94" t="str">
            <v>1-2.콜렉터에디션</v>
          </cell>
          <cell r="J94" t="str">
            <v>#314-Collector Edition  White Cement</v>
          </cell>
        </row>
        <row r="95">
          <cell r="A95">
            <v>72701315</v>
          </cell>
          <cell r="B95" t="str">
            <v>콜렉터에디션-#315-Collector Edition  Volt</v>
          </cell>
          <cell r="C95">
            <v>8800</v>
          </cell>
          <cell r="D95" t="str">
            <v>086366713150</v>
          </cell>
          <cell r="E95">
            <v>20.399999999999999</v>
          </cell>
          <cell r="F95">
            <v>2346</v>
          </cell>
          <cell r="G95" t="str">
            <v>엔젤러스</v>
          </cell>
          <cell r="H95" t="str">
            <v>1-2.콜렉터에디션</v>
          </cell>
          <cell r="J95" t="str">
            <v>#315-Collector Edition  Volt</v>
          </cell>
        </row>
        <row r="96">
          <cell r="A96">
            <v>72701317</v>
          </cell>
          <cell r="B96" t="str">
            <v>콜렉터에디션-#317-Emerald</v>
          </cell>
          <cell r="C96">
            <v>8800</v>
          </cell>
          <cell r="D96" t="str">
            <v>086366713174</v>
          </cell>
          <cell r="E96">
            <v>20.399999999999999</v>
          </cell>
          <cell r="F96">
            <v>2346</v>
          </cell>
          <cell r="G96" t="str">
            <v>엔젤러스</v>
          </cell>
          <cell r="H96" t="str">
            <v>1-2.콜렉터에디션</v>
          </cell>
          <cell r="J96" t="str">
            <v>#317-Collector Edition-Emerald</v>
          </cell>
        </row>
        <row r="97">
          <cell r="A97">
            <v>72701319</v>
          </cell>
          <cell r="B97" t="str">
            <v>콜렉터에디션-#319-Infrared</v>
          </cell>
          <cell r="C97">
            <v>8800</v>
          </cell>
          <cell r="D97" t="str">
            <v>086366713198</v>
          </cell>
          <cell r="E97">
            <v>20.399999999999999</v>
          </cell>
          <cell r="F97">
            <v>2346</v>
          </cell>
          <cell r="G97" t="str">
            <v>엔젤러스</v>
          </cell>
          <cell r="H97" t="str">
            <v>1-2.콜렉터에디션</v>
          </cell>
          <cell r="J97" t="str">
            <v>#319-Collector Edition-Infrared</v>
          </cell>
        </row>
        <row r="98">
          <cell r="A98">
            <v>72701321</v>
          </cell>
          <cell r="B98" t="str">
            <v>콜렉터에디션-#321-Maize</v>
          </cell>
          <cell r="C98">
            <v>8800</v>
          </cell>
          <cell r="D98" t="str">
            <v>086366713211</v>
          </cell>
          <cell r="E98">
            <v>20.399999999999999</v>
          </cell>
          <cell r="F98">
            <v>2346</v>
          </cell>
          <cell r="G98" t="str">
            <v>엔젤러스</v>
          </cell>
          <cell r="H98" t="str">
            <v>1-2.콜렉터에디션</v>
          </cell>
          <cell r="J98" t="str">
            <v>#321-Collector Edition-Maize</v>
          </cell>
        </row>
        <row r="99">
          <cell r="A99">
            <v>72701323</v>
          </cell>
          <cell r="B99" t="str">
            <v>콜렉터에디션-#323-Mid Navy 8</v>
          </cell>
          <cell r="C99">
            <v>8800</v>
          </cell>
          <cell r="D99" t="str">
            <v>086366713235</v>
          </cell>
          <cell r="E99">
            <v>20.399999999999999</v>
          </cell>
          <cell r="F99">
            <v>2346</v>
          </cell>
          <cell r="G99" t="str">
            <v>엔젤러스</v>
          </cell>
          <cell r="H99" t="str">
            <v>1-2.콜렉터에디션</v>
          </cell>
          <cell r="J99" t="str">
            <v>#323-Collector Edition-Mid Navy 8</v>
          </cell>
        </row>
        <row r="100">
          <cell r="A100">
            <v>72701324</v>
          </cell>
          <cell r="B100" t="str">
            <v>콜렉터에디션-#324-Millitary Blue</v>
          </cell>
          <cell r="C100">
            <v>8800</v>
          </cell>
          <cell r="D100" t="str">
            <v>086366713242</v>
          </cell>
          <cell r="E100">
            <v>20.399999999999999</v>
          </cell>
          <cell r="F100">
            <v>2346</v>
          </cell>
          <cell r="G100" t="str">
            <v>엔젤러스</v>
          </cell>
          <cell r="H100" t="str">
            <v>1-2.콜렉터에디션</v>
          </cell>
          <cell r="J100" t="str">
            <v>#324-Collector Edition-Millitary Blue</v>
          </cell>
        </row>
        <row r="101">
          <cell r="A101">
            <v>72701326</v>
          </cell>
          <cell r="B101" t="str">
            <v>콜렉터에디션-#326-Royal5</v>
          </cell>
          <cell r="C101">
            <v>8800</v>
          </cell>
          <cell r="D101" t="str">
            <v>086366713266</v>
          </cell>
          <cell r="E101">
            <v>20.399999999999999</v>
          </cell>
          <cell r="F101">
            <v>2346</v>
          </cell>
          <cell r="G101" t="str">
            <v>엔젤러스</v>
          </cell>
          <cell r="H101" t="str">
            <v>1-2.콜렉터에디션</v>
          </cell>
          <cell r="J101" t="str">
            <v>#326-Collector Edition-Royal5</v>
          </cell>
        </row>
        <row r="102">
          <cell r="A102">
            <v>72701329</v>
          </cell>
          <cell r="B102" t="str">
            <v>콜렉터에디션-#329-Tru Blue</v>
          </cell>
          <cell r="C102">
            <v>8800</v>
          </cell>
          <cell r="D102" t="str">
            <v>086366713297</v>
          </cell>
          <cell r="E102">
            <v>20.399999999999999</v>
          </cell>
          <cell r="F102">
            <v>2346</v>
          </cell>
          <cell r="G102" t="str">
            <v>엔젤러스</v>
          </cell>
          <cell r="H102" t="str">
            <v>1-2.콜렉터에디션</v>
          </cell>
          <cell r="J102" t="str">
            <v>#329-Collector Edition-Tru Blue</v>
          </cell>
        </row>
        <row r="103">
          <cell r="A103">
            <v>72701330</v>
          </cell>
          <cell r="B103" t="str">
            <v>콜렉터에디션-#330-Collector Edition Varsity</v>
          </cell>
          <cell r="C103">
            <v>8800</v>
          </cell>
          <cell r="D103" t="str">
            <v>086366713303</v>
          </cell>
          <cell r="E103">
            <v>20.399999999999999</v>
          </cell>
          <cell r="F103">
            <v>2346</v>
          </cell>
          <cell r="G103" t="str">
            <v>엔젤러스</v>
          </cell>
          <cell r="H103" t="str">
            <v>1-2.콜렉터에디션</v>
          </cell>
          <cell r="J103" t="str">
            <v>#330-Collector Edition Varsity</v>
          </cell>
        </row>
        <row r="104">
          <cell r="A104">
            <v>72701331</v>
          </cell>
          <cell r="B104" t="str">
            <v>콜렉터에디션-#331-Miami Vice</v>
          </cell>
          <cell r="C104">
            <v>8800</v>
          </cell>
          <cell r="D104" t="str">
            <v>086366713310</v>
          </cell>
          <cell r="E104">
            <v>20.399999999999999</v>
          </cell>
          <cell r="F104">
            <v>2346</v>
          </cell>
          <cell r="G104" t="str">
            <v>엔젤러스</v>
          </cell>
          <cell r="H104" t="str">
            <v>1-2.콜렉터에디션</v>
          </cell>
          <cell r="J104" t="str">
            <v>#331-Collector Edition-Miami Vice</v>
          </cell>
        </row>
        <row r="105">
          <cell r="A105">
            <v>72701332</v>
          </cell>
          <cell r="B105" t="str">
            <v>콜렉터에디션-#332-Melo2</v>
          </cell>
          <cell r="C105">
            <v>8800</v>
          </cell>
          <cell r="D105" t="str">
            <v>086366713327</v>
          </cell>
          <cell r="E105">
            <v>20.399999999999999</v>
          </cell>
          <cell r="F105">
            <v>2346</v>
          </cell>
          <cell r="G105" t="str">
            <v>엔젤러스</v>
          </cell>
          <cell r="H105" t="str">
            <v>1-2.콜렉터에디션</v>
          </cell>
          <cell r="J105" t="str">
            <v>#332-Collector Edition-Melo2</v>
          </cell>
        </row>
        <row r="106">
          <cell r="A106">
            <v>72701333</v>
          </cell>
          <cell r="B106" t="str">
            <v>콜렉터에디션-#333-DTRT Yellow</v>
          </cell>
          <cell r="C106">
            <v>8800</v>
          </cell>
          <cell r="D106" t="str">
            <v>086366713334</v>
          </cell>
          <cell r="E106">
            <v>20.399999999999999</v>
          </cell>
          <cell r="F106">
            <v>2346</v>
          </cell>
          <cell r="G106" t="str">
            <v>엔젤러스</v>
          </cell>
          <cell r="H106" t="str">
            <v>1-2.콜렉터에디션</v>
          </cell>
          <cell r="J106" t="str">
            <v>#333-Collector Edition-DTRT Yellow</v>
          </cell>
        </row>
        <row r="107">
          <cell r="A107">
            <v>72701334</v>
          </cell>
          <cell r="B107" t="str">
            <v>콜렉터에디션-#334-Play 8 Grey</v>
          </cell>
          <cell r="C107">
            <v>8800</v>
          </cell>
          <cell r="D107" t="str">
            <v>086366713341</v>
          </cell>
          <cell r="E107">
            <v>20.399999999999999</v>
          </cell>
          <cell r="F107">
            <v>2346</v>
          </cell>
          <cell r="G107" t="str">
            <v>엔젤러스</v>
          </cell>
          <cell r="H107" t="str">
            <v>1-2.콜렉터에디션</v>
          </cell>
          <cell r="J107" t="str">
            <v>#334-Collector Edition-Play 8 Grey</v>
          </cell>
        </row>
        <row r="108">
          <cell r="A108">
            <v>72701335</v>
          </cell>
          <cell r="B108" t="str">
            <v>콜렉터에디션-#335-Yeezy</v>
          </cell>
          <cell r="C108">
            <v>8800</v>
          </cell>
          <cell r="D108" t="str">
            <v>086366713358</v>
          </cell>
          <cell r="E108">
            <v>20.399999999999999</v>
          </cell>
          <cell r="F108">
            <v>2346</v>
          </cell>
          <cell r="G108" t="str">
            <v>엔젤러스</v>
          </cell>
          <cell r="H108" t="str">
            <v>1-2.콜렉터에디션</v>
          </cell>
          <cell r="J108" t="str">
            <v>#335-Collector Edition-Yeezy</v>
          </cell>
        </row>
        <row r="109">
          <cell r="A109">
            <v>72701336</v>
          </cell>
          <cell r="B109" t="str">
            <v>콜렉터에디션-#336-Collector Edition  Maroon</v>
          </cell>
          <cell r="C109">
            <v>8800</v>
          </cell>
          <cell r="D109" t="str">
            <v>086366713365</v>
          </cell>
          <cell r="E109">
            <v>20.399999999999999</v>
          </cell>
          <cell r="F109">
            <v>2346</v>
          </cell>
          <cell r="G109" t="str">
            <v>엔젤러스</v>
          </cell>
          <cell r="H109" t="str">
            <v>1-2.콜렉터에디션</v>
          </cell>
          <cell r="J109" t="str">
            <v>#336-Collector Edition  Maroon</v>
          </cell>
        </row>
        <row r="110">
          <cell r="A110">
            <v>72701337</v>
          </cell>
          <cell r="B110" t="str">
            <v>콜렉터에디션-#337-Grape5</v>
          </cell>
          <cell r="C110">
            <v>8800</v>
          </cell>
          <cell r="D110" t="str">
            <v>086366713372</v>
          </cell>
          <cell r="E110">
            <v>20.399999999999999</v>
          </cell>
          <cell r="F110">
            <v>2346</v>
          </cell>
          <cell r="G110" t="str">
            <v>엔젤러스</v>
          </cell>
          <cell r="H110" t="str">
            <v>1-2.콜렉터에디션</v>
          </cell>
          <cell r="J110" t="str">
            <v>#337-Collector Edition-Grape5</v>
          </cell>
        </row>
        <row r="111">
          <cell r="A111">
            <v>72701338</v>
          </cell>
          <cell r="B111" t="str">
            <v>콜렉터에디션-#338-Squadron</v>
          </cell>
          <cell r="C111">
            <v>8800</v>
          </cell>
          <cell r="D111" t="str">
            <v>086366713389</v>
          </cell>
          <cell r="E111">
            <v>20.399999999999999</v>
          </cell>
          <cell r="F111">
            <v>2346</v>
          </cell>
          <cell r="G111" t="str">
            <v>엔젤러스</v>
          </cell>
          <cell r="H111" t="str">
            <v>1-2.콜렉터에디션</v>
          </cell>
          <cell r="J111" t="str">
            <v>#338-Collector Edition  Squadron</v>
          </cell>
        </row>
        <row r="112">
          <cell r="A112">
            <v>72701339</v>
          </cell>
          <cell r="B112" t="str">
            <v>콜렉터에디션-#339-French Blue</v>
          </cell>
          <cell r="C112">
            <v>8800</v>
          </cell>
          <cell r="D112" t="str">
            <v>086366713396</v>
          </cell>
          <cell r="E112">
            <v>20.399999999999999</v>
          </cell>
          <cell r="F112">
            <v>2346</v>
          </cell>
          <cell r="G112" t="str">
            <v>엔젤러스</v>
          </cell>
          <cell r="H112" t="str">
            <v>1-2.콜렉터에디션</v>
          </cell>
          <cell r="J112" t="str">
            <v>#339-Collector Edition  French Blue</v>
          </cell>
        </row>
        <row r="113">
          <cell r="A113">
            <v>72701341</v>
          </cell>
          <cell r="B113" t="str">
            <v>콜렉터에디션-#341-gamma Blue</v>
          </cell>
          <cell r="C113">
            <v>8800</v>
          </cell>
          <cell r="D113" t="str">
            <v>086366713419</v>
          </cell>
          <cell r="E113">
            <v>20.399999999999999</v>
          </cell>
          <cell r="F113">
            <v>2346</v>
          </cell>
          <cell r="G113" t="str">
            <v>엔젤러스</v>
          </cell>
          <cell r="H113" t="str">
            <v>1-2.콜렉터에디션</v>
          </cell>
          <cell r="J113" t="str">
            <v>#341-Collector Edition  gamma Blue</v>
          </cell>
        </row>
        <row r="114">
          <cell r="A114">
            <v>72701342</v>
          </cell>
          <cell r="B114" t="str">
            <v>콜렉터에디션-#342-Joker Green</v>
          </cell>
          <cell r="C114">
            <v>8800</v>
          </cell>
          <cell r="D114" t="str">
            <v>086366713426</v>
          </cell>
          <cell r="E114">
            <v>20.399999999999999</v>
          </cell>
          <cell r="F114">
            <v>2346</v>
          </cell>
          <cell r="G114" t="str">
            <v>엔젤러스</v>
          </cell>
          <cell r="H114" t="str">
            <v>1-2.콜렉터에디션</v>
          </cell>
          <cell r="J114" t="str">
            <v>#342-Collector Edition  Joker Green</v>
          </cell>
        </row>
        <row r="115">
          <cell r="A115">
            <v>72701343</v>
          </cell>
          <cell r="B115" t="str">
            <v>콜렉터에디션-#343-Tour Yellow</v>
          </cell>
          <cell r="C115">
            <v>8800</v>
          </cell>
          <cell r="D115" t="str">
            <v>086366713433</v>
          </cell>
          <cell r="E115">
            <v>20.399999999999999</v>
          </cell>
          <cell r="F115">
            <v>2346</v>
          </cell>
          <cell r="G115" t="str">
            <v>엔젤러스</v>
          </cell>
          <cell r="H115" t="str">
            <v>1-2.콜렉터에디션</v>
          </cell>
          <cell r="J115" t="str">
            <v>#343-Collector Edition Tour Yellow</v>
          </cell>
        </row>
        <row r="116">
          <cell r="A116">
            <v>72701344</v>
          </cell>
          <cell r="B116" t="str">
            <v>콜렉터에디션-#344-Thunder Yellow</v>
          </cell>
          <cell r="C116">
            <v>8800</v>
          </cell>
          <cell r="D116" t="str">
            <v>086366713440</v>
          </cell>
          <cell r="E116">
            <v>20.399999999999999</v>
          </cell>
          <cell r="F116">
            <v>2346</v>
          </cell>
          <cell r="G116" t="str">
            <v>엔젤러스</v>
          </cell>
          <cell r="H116" t="str">
            <v>1-2.콜렉터에디션</v>
          </cell>
          <cell r="J116" t="str">
            <v>#344-Collector Edition  Thunder Yellow</v>
          </cell>
        </row>
        <row r="117">
          <cell r="A117">
            <v>72701345</v>
          </cell>
          <cell r="B117" t="str">
            <v>콜렉터에디션-#345-InfraRed 2014</v>
          </cell>
          <cell r="C117">
            <v>8800</v>
          </cell>
          <cell r="D117" t="str">
            <v>086366713457</v>
          </cell>
          <cell r="E117">
            <v>20.399999999999999</v>
          </cell>
          <cell r="F117">
            <v>2346</v>
          </cell>
          <cell r="G117" t="str">
            <v>엔젤러스</v>
          </cell>
          <cell r="H117" t="str">
            <v>1-2.콜렉터에디션</v>
          </cell>
          <cell r="J117" t="str">
            <v>#345-Collector Edition  InfraRed 2014</v>
          </cell>
        </row>
        <row r="118">
          <cell r="A118">
            <v>72701346</v>
          </cell>
          <cell r="B118" t="str">
            <v>콜렉터에디션-#346-Shattered Orange</v>
          </cell>
          <cell r="C118">
            <v>8800</v>
          </cell>
          <cell r="D118">
            <v>86366713464</v>
          </cell>
          <cell r="E118">
            <v>20.399999999999999</v>
          </cell>
          <cell r="F118">
            <v>2346</v>
          </cell>
          <cell r="G118" t="str">
            <v>엔젤러스</v>
          </cell>
          <cell r="H118" t="str">
            <v>1-2.콜렉터에디션</v>
          </cell>
        </row>
        <row r="119">
          <cell r="A119">
            <v>72701347</v>
          </cell>
          <cell r="B119" t="str">
            <v>콜렉터에디션-#347-Uni Blue</v>
          </cell>
          <cell r="C119">
            <v>8800</v>
          </cell>
          <cell r="D119">
            <v>86366713471</v>
          </cell>
          <cell r="E119">
            <v>20.399999999999999</v>
          </cell>
          <cell r="F119">
            <v>2346</v>
          </cell>
          <cell r="G119" t="str">
            <v>엔젤러스</v>
          </cell>
          <cell r="H119" t="str">
            <v>1-2.콜렉터에디션</v>
          </cell>
        </row>
        <row r="120">
          <cell r="A120">
            <v>72701348</v>
          </cell>
          <cell r="B120" t="str">
            <v>콜렉터에디션-#348-Shadow Grey</v>
          </cell>
          <cell r="C120">
            <v>8800</v>
          </cell>
          <cell r="D120">
            <v>86366713488</v>
          </cell>
          <cell r="E120">
            <v>20.399999999999999</v>
          </cell>
          <cell r="F120">
            <v>2346</v>
          </cell>
          <cell r="G120" t="str">
            <v>엔젤러스</v>
          </cell>
          <cell r="H120" t="str">
            <v>1-2.콜렉터에디션</v>
          </cell>
        </row>
        <row r="122">
          <cell r="A122">
            <v>72501120</v>
          </cell>
          <cell r="B122" t="str">
            <v>네온페인트-#120-Rio Red</v>
          </cell>
          <cell r="C122">
            <v>8800</v>
          </cell>
          <cell r="D122" t="str">
            <v>086366711200</v>
          </cell>
          <cell r="E122">
            <v>16.8</v>
          </cell>
          <cell r="F122">
            <v>1932.0000000000002</v>
          </cell>
          <cell r="G122" t="str">
            <v>엔젤러스</v>
          </cell>
          <cell r="H122" t="str">
            <v>1-3.네온페인트</v>
          </cell>
          <cell r="J122" t="str">
            <v>#120-Neon Acrylic Leather Paint Rio Red</v>
          </cell>
        </row>
        <row r="123">
          <cell r="A123">
            <v>72501121</v>
          </cell>
          <cell r="B123" t="str">
            <v>네온페인트-#121-TahitianPink</v>
          </cell>
          <cell r="C123">
            <v>8800</v>
          </cell>
          <cell r="D123" t="str">
            <v>086366711217</v>
          </cell>
          <cell r="E123">
            <v>16.8</v>
          </cell>
          <cell r="F123">
            <v>1932.0000000000002</v>
          </cell>
          <cell r="G123" t="str">
            <v>엔젤러스</v>
          </cell>
          <cell r="H123" t="str">
            <v>1-3.네온페인트</v>
          </cell>
          <cell r="J123" t="str">
            <v>#121-Neon Acrylic Leather Paint TahitianPink</v>
          </cell>
        </row>
        <row r="124">
          <cell r="A124">
            <v>72501122</v>
          </cell>
          <cell r="B124" t="str">
            <v>네온페인트-#122-JamaicanJoyPink</v>
          </cell>
          <cell r="C124">
            <v>8800</v>
          </cell>
          <cell r="D124" t="str">
            <v>086366711224</v>
          </cell>
          <cell r="E124">
            <v>16.8</v>
          </cell>
          <cell r="F124">
            <v>1932.0000000000002</v>
          </cell>
          <cell r="G124" t="str">
            <v>엔젤러스</v>
          </cell>
          <cell r="H124" t="str">
            <v>1-3.네온페인트</v>
          </cell>
          <cell r="J124" t="str">
            <v>#122-Neon Acrylic Leather Paint JamaicanJoyPink</v>
          </cell>
        </row>
        <row r="125">
          <cell r="A125">
            <v>72501123</v>
          </cell>
          <cell r="B125" t="str">
            <v>네온페인트-#123-ParisianPink</v>
          </cell>
          <cell r="C125">
            <v>8800</v>
          </cell>
          <cell r="D125" t="str">
            <v>086366711231</v>
          </cell>
          <cell r="E125">
            <v>16.8</v>
          </cell>
          <cell r="F125">
            <v>1932.0000000000002</v>
          </cell>
          <cell r="G125" t="str">
            <v>엔젤러스</v>
          </cell>
          <cell r="H125" t="str">
            <v>1-3.네온페인트</v>
          </cell>
          <cell r="J125" t="str">
            <v>#123-Neon Acrylic Leather Paint ParisianPink</v>
          </cell>
        </row>
        <row r="126">
          <cell r="A126">
            <v>72501124</v>
          </cell>
          <cell r="B126" t="str">
            <v>네온페인트-#124-ParadisePurple</v>
          </cell>
          <cell r="C126">
            <v>8800</v>
          </cell>
          <cell r="D126" t="str">
            <v>086366711248</v>
          </cell>
          <cell r="E126">
            <v>16.8</v>
          </cell>
          <cell r="F126">
            <v>1932.0000000000002</v>
          </cell>
          <cell r="G126" t="str">
            <v>엔젤러스</v>
          </cell>
          <cell r="H126" t="str">
            <v>1-3.네온페인트</v>
          </cell>
          <cell r="J126" t="str">
            <v>#124-Neon Acrylic Leather Paint ParadisePurple</v>
          </cell>
        </row>
        <row r="127">
          <cell r="A127">
            <v>72501125</v>
          </cell>
          <cell r="B127" t="str">
            <v>네온페인트-#125-AmazonGreen</v>
          </cell>
          <cell r="C127">
            <v>8800</v>
          </cell>
          <cell r="D127" t="str">
            <v>086366711255</v>
          </cell>
          <cell r="E127">
            <v>16.8</v>
          </cell>
          <cell r="F127">
            <v>1932.0000000000002</v>
          </cell>
          <cell r="G127" t="str">
            <v>엔젤러스</v>
          </cell>
          <cell r="H127" t="str">
            <v>1-3.네온페인트</v>
          </cell>
          <cell r="J127" t="str">
            <v>#125-Neon Acrylic Leather Paint AmazonGreen</v>
          </cell>
        </row>
        <row r="128">
          <cell r="A128">
            <v>72501126</v>
          </cell>
          <cell r="B128" t="str">
            <v>네온페인트-#126-PlposicleGreen</v>
          </cell>
          <cell r="C128">
            <v>8800</v>
          </cell>
          <cell r="D128" t="str">
            <v>086366711262</v>
          </cell>
          <cell r="E128">
            <v>16.8</v>
          </cell>
          <cell r="F128">
            <v>1932.0000000000002</v>
          </cell>
          <cell r="G128" t="str">
            <v>엔젤러스</v>
          </cell>
          <cell r="H128" t="str">
            <v>1-3.네온페인트</v>
          </cell>
          <cell r="J128" t="str">
            <v>#126-Neon Acrylic Leather Pain PlposicleGreen</v>
          </cell>
        </row>
        <row r="129">
          <cell r="A129">
            <v>72501127</v>
          </cell>
          <cell r="B129" t="str">
            <v>네온페인트-#127-TropicSunYellow</v>
          </cell>
          <cell r="C129">
            <v>8800</v>
          </cell>
          <cell r="D129" t="str">
            <v>086366711279</v>
          </cell>
          <cell r="E129">
            <v>16.8</v>
          </cell>
          <cell r="F129">
            <v>1932.0000000000002</v>
          </cell>
          <cell r="G129" t="str">
            <v>엔젤러스</v>
          </cell>
          <cell r="H129" t="str">
            <v>1-3.네온페인트</v>
          </cell>
          <cell r="J129" t="str">
            <v>#127-Neon Acrylic Leather Paint TropicSunYellow</v>
          </cell>
        </row>
        <row r="130">
          <cell r="A130">
            <v>72501128</v>
          </cell>
          <cell r="B130" t="str">
            <v>네온페인트-#128-SunsetYellow</v>
          </cell>
          <cell r="C130">
            <v>8800</v>
          </cell>
          <cell r="D130" t="str">
            <v>086366711286</v>
          </cell>
          <cell r="E130">
            <v>16.8</v>
          </cell>
          <cell r="F130">
            <v>1932.0000000000002</v>
          </cell>
          <cell r="G130" t="str">
            <v>엔젤러스</v>
          </cell>
          <cell r="H130" t="str">
            <v>1-3.네온페인트</v>
          </cell>
          <cell r="J130" t="str">
            <v>#128-Neon Acrylic Leather Pain SunsetYellow</v>
          </cell>
        </row>
        <row r="131">
          <cell r="A131">
            <v>72501129</v>
          </cell>
          <cell r="B131" t="str">
            <v>네온페인트-#129-FlamingOrange</v>
          </cell>
          <cell r="C131">
            <v>8800</v>
          </cell>
          <cell r="D131" t="str">
            <v>086366711293</v>
          </cell>
          <cell r="E131">
            <v>16.8</v>
          </cell>
          <cell r="F131">
            <v>1932.0000000000002</v>
          </cell>
          <cell r="G131" t="str">
            <v>엔젤러스</v>
          </cell>
          <cell r="H131" t="str">
            <v>1-3.네온페인트</v>
          </cell>
          <cell r="J131" t="str">
            <v>#129-Neon Acrylic Leather Paint FlamingOrange</v>
          </cell>
        </row>
        <row r="132">
          <cell r="A132">
            <v>72501130</v>
          </cell>
          <cell r="B132" t="str">
            <v>네온페인트-#130-LavaOrange</v>
          </cell>
          <cell r="C132">
            <v>8800</v>
          </cell>
          <cell r="D132" t="str">
            <v>086366711309</v>
          </cell>
          <cell r="E132">
            <v>16.8</v>
          </cell>
          <cell r="F132">
            <v>1932.0000000000002</v>
          </cell>
          <cell r="G132" t="str">
            <v>엔젤러스</v>
          </cell>
          <cell r="H132" t="str">
            <v>1-3.네온페인트</v>
          </cell>
          <cell r="J132" t="str">
            <v>#130-Neon Acrylic Leather Paint LavaOrange</v>
          </cell>
        </row>
        <row r="133">
          <cell r="A133">
            <v>72501131</v>
          </cell>
          <cell r="B133" t="str">
            <v>네온페인트-#131-BahamaBlue</v>
          </cell>
          <cell r="C133">
            <v>8800</v>
          </cell>
          <cell r="D133" t="str">
            <v>086366711316</v>
          </cell>
          <cell r="E133">
            <v>16.8</v>
          </cell>
          <cell r="F133">
            <v>1932.0000000000002</v>
          </cell>
          <cell r="G133" t="str">
            <v>엔젤러스</v>
          </cell>
          <cell r="H133" t="str">
            <v>1-3.네온페인트</v>
          </cell>
          <cell r="J133" t="str">
            <v>#131-Neon Acrylic Leather Paint BahamaBlue</v>
          </cell>
        </row>
        <row r="135">
          <cell r="A135">
            <v>73301451</v>
          </cell>
          <cell r="B135" t="str">
            <v>펄레슨트-#451-Riot Red</v>
          </cell>
          <cell r="C135">
            <v>7800</v>
          </cell>
          <cell r="D135" t="str">
            <v>086366714515</v>
          </cell>
          <cell r="E135">
            <v>18.600000000000001</v>
          </cell>
          <cell r="F135">
            <v>2139</v>
          </cell>
          <cell r="G135" t="str">
            <v>엔젤러스</v>
          </cell>
          <cell r="H135" t="str">
            <v>1-4.펄레슨트페인트</v>
          </cell>
          <cell r="J135" t="str">
            <v>Pearlescent Paint Riot Red 1 oz.</v>
          </cell>
        </row>
        <row r="136">
          <cell r="A136">
            <v>73301452</v>
          </cell>
          <cell r="B136" t="str">
            <v>펄레슨트-#452-Pacific Blue</v>
          </cell>
          <cell r="C136">
            <v>7800</v>
          </cell>
          <cell r="D136" t="str">
            <v>086366714522</v>
          </cell>
          <cell r="E136">
            <v>18.600000000000001</v>
          </cell>
          <cell r="F136">
            <v>2139</v>
          </cell>
          <cell r="G136" t="str">
            <v>엔젤러스</v>
          </cell>
          <cell r="H136" t="str">
            <v>1-4.펄레슨트페인트</v>
          </cell>
          <cell r="J136" t="str">
            <v>Pearlescent Paint Pacific Blue 1 oz.</v>
          </cell>
        </row>
        <row r="137">
          <cell r="A137">
            <v>73301453</v>
          </cell>
          <cell r="B137" t="str">
            <v>펄레슨트-#453-Prince Purple</v>
          </cell>
          <cell r="C137">
            <v>7800</v>
          </cell>
          <cell r="D137" t="str">
            <v>086366714539</v>
          </cell>
          <cell r="E137">
            <v>18.600000000000001</v>
          </cell>
          <cell r="F137">
            <v>2139</v>
          </cell>
          <cell r="G137" t="str">
            <v>엔젤러스</v>
          </cell>
          <cell r="H137" t="str">
            <v>1-4.펄레슨트페인트</v>
          </cell>
          <cell r="J137" t="str">
            <v>Pearlescent Paint Prince Purple 1 oz.</v>
          </cell>
        </row>
        <row r="138">
          <cell r="A138">
            <v>73301454</v>
          </cell>
          <cell r="B138" t="str">
            <v>펄레슨트-#454-Sterling Silver</v>
          </cell>
          <cell r="C138">
            <v>7800</v>
          </cell>
          <cell r="D138" t="str">
            <v>086366714546</v>
          </cell>
          <cell r="E138">
            <v>18.600000000000001</v>
          </cell>
          <cell r="F138">
            <v>2139</v>
          </cell>
          <cell r="G138" t="str">
            <v>엔젤러스</v>
          </cell>
          <cell r="H138" t="str">
            <v>1-4.펄레슨트페인트</v>
          </cell>
          <cell r="J138" t="str">
            <v>Pearlescent Paint Sterling Silver 1 oz.</v>
          </cell>
        </row>
        <row r="139">
          <cell r="A139">
            <v>73301455</v>
          </cell>
          <cell r="B139" t="str">
            <v>펄레슨트-#455-18K Gold</v>
          </cell>
          <cell r="C139">
            <v>7800</v>
          </cell>
          <cell r="D139" t="str">
            <v>086366714553</v>
          </cell>
          <cell r="E139">
            <v>18.600000000000001</v>
          </cell>
          <cell r="F139">
            <v>2139</v>
          </cell>
          <cell r="G139" t="str">
            <v>엔젤러스</v>
          </cell>
          <cell r="H139" t="str">
            <v>1-4.펄레슨트페인트</v>
          </cell>
          <cell r="J139" t="str">
            <v>Pearlescent Paint 18K Gold 1 oz.</v>
          </cell>
        </row>
        <row r="140">
          <cell r="A140">
            <v>73301456</v>
          </cell>
          <cell r="B140" t="str">
            <v>펄레슨트-#456-Rose Gold</v>
          </cell>
          <cell r="C140">
            <v>7800</v>
          </cell>
          <cell r="D140" t="str">
            <v>086366714560</v>
          </cell>
          <cell r="E140">
            <v>18.600000000000001</v>
          </cell>
          <cell r="F140">
            <v>2139</v>
          </cell>
          <cell r="G140" t="str">
            <v>엔젤러스</v>
          </cell>
          <cell r="H140" t="str">
            <v>1-4.펄레슨트페인트</v>
          </cell>
          <cell r="J140" t="str">
            <v>Pearlescent Paint Rose Gold 1 oz.</v>
          </cell>
        </row>
        <row r="141">
          <cell r="A141">
            <v>73301457</v>
          </cell>
          <cell r="B141" t="str">
            <v>펄레슨트-#457-Emerald Green</v>
          </cell>
          <cell r="C141">
            <v>7800</v>
          </cell>
          <cell r="D141" t="str">
            <v>086366714577</v>
          </cell>
          <cell r="E141">
            <v>18.600000000000001</v>
          </cell>
          <cell r="F141">
            <v>2139</v>
          </cell>
          <cell r="G141" t="str">
            <v>엔젤러스</v>
          </cell>
          <cell r="H141" t="str">
            <v>1-4.펄레슨트페인트</v>
          </cell>
          <cell r="J141" t="str">
            <v>Pearlescent Paint Emerald Green 1 oz.</v>
          </cell>
        </row>
        <row r="143">
          <cell r="A143">
            <v>73001205</v>
          </cell>
          <cell r="B143" t="str">
            <v>글리터라이트-#205-White Sugar</v>
          </cell>
          <cell r="C143">
            <v>10000</v>
          </cell>
          <cell r="D143" t="str">
            <v>086366732052</v>
          </cell>
          <cell r="E143">
            <v>24</v>
          </cell>
          <cell r="F143">
            <v>2760</v>
          </cell>
          <cell r="G143" t="str">
            <v>엔젤러스</v>
          </cell>
          <cell r="H143" t="str">
            <v>1-5.글리터라이트</v>
          </cell>
          <cell r="J143" t="str">
            <v>#205-Glitterlites White Sugar</v>
          </cell>
        </row>
        <row r="144">
          <cell r="A144">
            <v>73001220</v>
          </cell>
          <cell r="B144" t="str">
            <v>글리터라이트-#220-Sky DesertGold</v>
          </cell>
          <cell r="C144">
            <v>10000</v>
          </cell>
          <cell r="D144" t="str">
            <v>086366732205</v>
          </cell>
          <cell r="E144">
            <v>24</v>
          </cell>
          <cell r="F144">
            <v>2760</v>
          </cell>
          <cell r="G144" t="str">
            <v>엔젤러스</v>
          </cell>
          <cell r="H144" t="str">
            <v>1-5.글리터라이트</v>
          </cell>
          <cell r="J144" t="str">
            <v>#220-Glitterlites Sky DesertGold</v>
          </cell>
        </row>
        <row r="145">
          <cell r="A145">
            <v>73001221</v>
          </cell>
          <cell r="B145" t="str">
            <v>글리터라이트-#221-Penny Copper</v>
          </cell>
          <cell r="C145">
            <v>10000</v>
          </cell>
          <cell r="D145" t="str">
            <v>086366732212</v>
          </cell>
          <cell r="E145">
            <v>24</v>
          </cell>
          <cell r="F145">
            <v>2760</v>
          </cell>
          <cell r="G145" t="str">
            <v>엔젤러스</v>
          </cell>
          <cell r="H145" t="str">
            <v>1-5.글리터라이트</v>
          </cell>
          <cell r="J145" t="str">
            <v>#221-Glitterlites Penny Copper</v>
          </cell>
        </row>
        <row r="146">
          <cell r="A146">
            <v>73001222</v>
          </cell>
          <cell r="B146" t="str">
            <v>글리터라이트-#222-Silver Spark</v>
          </cell>
          <cell r="C146">
            <v>10000</v>
          </cell>
          <cell r="D146" t="str">
            <v>086366732229</v>
          </cell>
          <cell r="E146">
            <v>24</v>
          </cell>
          <cell r="F146">
            <v>2760</v>
          </cell>
          <cell r="G146" t="str">
            <v>엔젤러스</v>
          </cell>
          <cell r="H146" t="str">
            <v>1-5.글리터라이트</v>
          </cell>
          <cell r="J146" t="str">
            <v>#222-Glitterlites Silver Spark</v>
          </cell>
        </row>
        <row r="147">
          <cell r="A147">
            <v>73001223</v>
          </cell>
          <cell r="B147" t="str">
            <v>글리터라이트-#223-GunMetal</v>
          </cell>
          <cell r="C147">
            <v>10000</v>
          </cell>
          <cell r="D147" t="str">
            <v>086366732236</v>
          </cell>
          <cell r="E147">
            <v>24</v>
          </cell>
          <cell r="F147">
            <v>2760</v>
          </cell>
          <cell r="G147" t="str">
            <v>엔젤러스</v>
          </cell>
          <cell r="H147" t="str">
            <v>1-5.글리터라이트</v>
          </cell>
          <cell r="J147" t="str">
            <v>#223-Glitterlites Gummetal</v>
          </cell>
        </row>
        <row r="148">
          <cell r="A148">
            <v>73001224</v>
          </cell>
          <cell r="B148" t="str">
            <v>글리터라이트-#224-Emerald</v>
          </cell>
          <cell r="C148">
            <v>10000</v>
          </cell>
          <cell r="D148" t="str">
            <v>086366732243</v>
          </cell>
          <cell r="E148">
            <v>24</v>
          </cell>
          <cell r="F148">
            <v>2760</v>
          </cell>
          <cell r="G148" t="str">
            <v>엔젤러스</v>
          </cell>
          <cell r="H148" t="str">
            <v>1-5.글리터라이트</v>
          </cell>
          <cell r="J148" t="str">
            <v>#224-Glitterlites Emerald</v>
          </cell>
        </row>
        <row r="149">
          <cell r="A149">
            <v>73001225</v>
          </cell>
          <cell r="B149" t="str">
            <v>글리터라이트-#225-Limelite</v>
          </cell>
          <cell r="C149">
            <v>10000</v>
          </cell>
          <cell r="D149" t="str">
            <v>086366732250</v>
          </cell>
          <cell r="E149">
            <v>24</v>
          </cell>
          <cell r="F149">
            <v>2760</v>
          </cell>
          <cell r="G149" t="str">
            <v>엔젤러스</v>
          </cell>
          <cell r="H149" t="str">
            <v>1-5.글리터라이트</v>
          </cell>
          <cell r="J149" t="str">
            <v>#225-Glitterlites Limelite</v>
          </cell>
        </row>
        <row r="150">
          <cell r="A150">
            <v>73001226</v>
          </cell>
          <cell r="B150" t="str">
            <v>글리터라이트-#226-Sky Blue</v>
          </cell>
          <cell r="C150">
            <v>10000</v>
          </cell>
          <cell r="D150" t="str">
            <v>086366731260</v>
          </cell>
          <cell r="E150">
            <v>24</v>
          </cell>
          <cell r="F150">
            <v>2760</v>
          </cell>
          <cell r="G150" t="str">
            <v>엔젤러스</v>
          </cell>
          <cell r="H150" t="str">
            <v>1-5.글리터라이트</v>
          </cell>
          <cell r="J150" t="str">
            <v>#226-Glitterlites Sky Blue</v>
          </cell>
        </row>
        <row r="151">
          <cell r="A151">
            <v>73001227</v>
          </cell>
          <cell r="B151" t="str">
            <v>글리터라이트-#227-Starlite Blue</v>
          </cell>
          <cell r="C151">
            <v>10000</v>
          </cell>
          <cell r="D151" t="str">
            <v>086366732274</v>
          </cell>
          <cell r="E151">
            <v>24</v>
          </cell>
          <cell r="F151">
            <v>2760</v>
          </cell>
          <cell r="G151" t="str">
            <v>엔젤러스</v>
          </cell>
          <cell r="H151" t="str">
            <v>1-5.글리터라이트</v>
          </cell>
          <cell r="J151" t="str">
            <v>#227-Glitterlites Starlite Blue</v>
          </cell>
        </row>
        <row r="152">
          <cell r="A152">
            <v>73001228</v>
          </cell>
          <cell r="B152" t="str">
            <v>글리터라이트-#228-Lavender Lace</v>
          </cell>
          <cell r="C152">
            <v>10000</v>
          </cell>
          <cell r="D152" t="str">
            <v>086366732281</v>
          </cell>
          <cell r="E152">
            <v>24</v>
          </cell>
          <cell r="F152">
            <v>2760</v>
          </cell>
          <cell r="G152" t="str">
            <v>엔젤러스</v>
          </cell>
          <cell r="H152" t="str">
            <v>1-5.글리터라이트</v>
          </cell>
          <cell r="J152" t="str">
            <v>#228-Glitterlites Lavender Lace</v>
          </cell>
        </row>
        <row r="153">
          <cell r="A153">
            <v>73001229</v>
          </cell>
          <cell r="B153" t="str">
            <v>글리터라이트-#229-Princess Purple</v>
          </cell>
          <cell r="C153">
            <v>10000</v>
          </cell>
          <cell r="D153" t="str">
            <v>086366732298</v>
          </cell>
          <cell r="E153">
            <v>24</v>
          </cell>
          <cell r="F153">
            <v>2760</v>
          </cell>
          <cell r="G153" t="str">
            <v>엔젤러스</v>
          </cell>
          <cell r="H153" t="str">
            <v>1-5.글리터라이트</v>
          </cell>
          <cell r="J153" t="str">
            <v>#229-Glitterlites Princess Purple</v>
          </cell>
        </row>
        <row r="154">
          <cell r="A154">
            <v>73001230</v>
          </cell>
          <cell r="B154" t="str">
            <v>글리터라이트-#230- Cany Pink</v>
          </cell>
          <cell r="C154">
            <v>10000</v>
          </cell>
          <cell r="D154" t="str">
            <v>086366732304</v>
          </cell>
          <cell r="E154">
            <v>24</v>
          </cell>
          <cell r="F154">
            <v>2760</v>
          </cell>
          <cell r="G154" t="str">
            <v>엔젤러스</v>
          </cell>
          <cell r="H154" t="str">
            <v>1-5.글리터라이트</v>
          </cell>
          <cell r="J154" t="str">
            <v>#230-Glitterlites  Cany Pink</v>
          </cell>
        </row>
        <row r="155">
          <cell r="A155">
            <v>73001231</v>
          </cell>
          <cell r="B155" t="str">
            <v>글리터라이트-#231-Ruby Red</v>
          </cell>
          <cell r="C155">
            <v>10000</v>
          </cell>
          <cell r="D155" t="str">
            <v>086366732311</v>
          </cell>
          <cell r="E155">
            <v>24</v>
          </cell>
          <cell r="F155">
            <v>2760</v>
          </cell>
          <cell r="G155" t="str">
            <v>엔젤러스</v>
          </cell>
          <cell r="H155" t="str">
            <v>1-5.글리터라이트</v>
          </cell>
          <cell r="J155" t="str">
            <v>#231-Glitterlites Ruby Red</v>
          </cell>
        </row>
        <row r="156">
          <cell r="A156">
            <v>73001233</v>
          </cell>
          <cell r="B156" t="str">
            <v>글리터라이트-#233-Razzberry</v>
          </cell>
          <cell r="C156">
            <v>10000</v>
          </cell>
          <cell r="D156" t="str">
            <v>086366732335</v>
          </cell>
          <cell r="E156">
            <v>24</v>
          </cell>
          <cell r="F156">
            <v>2760</v>
          </cell>
          <cell r="G156" t="str">
            <v>엔젤러스</v>
          </cell>
          <cell r="H156" t="str">
            <v>1-5.글리터라이트</v>
          </cell>
          <cell r="J156" t="str">
            <v>#233-Glitterlites Razzberry</v>
          </cell>
        </row>
        <row r="157">
          <cell r="A157">
            <v>73001235</v>
          </cell>
          <cell r="B157" t="str">
            <v>글리터라이트-#235-Tuxedo Black</v>
          </cell>
          <cell r="C157">
            <v>10000</v>
          </cell>
          <cell r="D157" t="str">
            <v>086366732359</v>
          </cell>
          <cell r="E157">
            <v>24</v>
          </cell>
          <cell r="F157">
            <v>2760</v>
          </cell>
          <cell r="G157" t="str">
            <v>엔젤러스</v>
          </cell>
          <cell r="H157" t="str">
            <v>1-5.글리터라이트</v>
          </cell>
          <cell r="J157" t="str">
            <v>#235-Glitterlites Tuxedo Black</v>
          </cell>
        </row>
        <row r="158">
          <cell r="A158">
            <v>73001236</v>
          </cell>
          <cell r="B158" t="str">
            <v>글리터라이트-#236-Orange Orange</v>
          </cell>
          <cell r="C158">
            <v>10000</v>
          </cell>
          <cell r="D158" t="str">
            <v>086366732366</v>
          </cell>
          <cell r="E158">
            <v>24</v>
          </cell>
          <cell r="F158">
            <v>2760</v>
          </cell>
          <cell r="G158" t="str">
            <v>엔젤러스</v>
          </cell>
          <cell r="H158" t="str">
            <v>1-5.글리터라이트</v>
          </cell>
          <cell r="J158" t="str">
            <v>#236-Glitterlites Orange Orange</v>
          </cell>
        </row>
        <row r="159">
          <cell r="A159">
            <v>73001237</v>
          </cell>
          <cell r="B159" t="str">
            <v>글리터라이트-#237-Ice Ice Blue</v>
          </cell>
          <cell r="C159">
            <v>10000</v>
          </cell>
          <cell r="D159" t="str">
            <v>086366732373</v>
          </cell>
          <cell r="E159">
            <v>24</v>
          </cell>
          <cell r="F159">
            <v>2760</v>
          </cell>
          <cell r="G159" t="str">
            <v>엔젤러스</v>
          </cell>
          <cell r="H159" t="str">
            <v>1-5.글리터라이트</v>
          </cell>
          <cell r="J159" t="str">
            <v>#237-Glitterlites Ice Ice Blue</v>
          </cell>
        </row>
        <row r="160">
          <cell r="A160">
            <v>73001238</v>
          </cell>
          <cell r="B160" t="str">
            <v>글리터라이트-#238-Baby Blue</v>
          </cell>
          <cell r="C160">
            <v>10000</v>
          </cell>
          <cell r="D160" t="str">
            <v>086366732380</v>
          </cell>
          <cell r="E160">
            <v>24</v>
          </cell>
          <cell r="F160">
            <v>2760</v>
          </cell>
          <cell r="G160" t="str">
            <v>엔젤러스</v>
          </cell>
          <cell r="H160" t="str">
            <v>1-5.글리터라이트</v>
          </cell>
          <cell r="J160" t="str">
            <v>#238-Glitterlites Baby Blue</v>
          </cell>
        </row>
        <row r="162">
          <cell r="A162">
            <v>50703001</v>
          </cell>
          <cell r="B162" t="str">
            <v>레더다이-#507 Special Black</v>
          </cell>
          <cell r="C162">
            <v>10000</v>
          </cell>
          <cell r="E162">
            <v>21</v>
          </cell>
          <cell r="F162">
            <v>2415</v>
          </cell>
          <cell r="G162" t="str">
            <v>엔젤러스</v>
          </cell>
          <cell r="H162" t="str">
            <v>2-1.레더다이</v>
          </cell>
          <cell r="J162" t="str">
            <v>Leather Dye Special Black</v>
          </cell>
        </row>
        <row r="163">
          <cell r="A163">
            <v>50003507</v>
          </cell>
          <cell r="B163" t="str">
            <v>레더다이-#507 Special Black</v>
          </cell>
          <cell r="C163">
            <v>10000</v>
          </cell>
          <cell r="D163">
            <v>86366507018</v>
          </cell>
          <cell r="E163">
            <v>21</v>
          </cell>
          <cell r="F163">
            <v>2415</v>
          </cell>
          <cell r="G163" t="str">
            <v>엔젤러스</v>
          </cell>
          <cell r="H163" t="str">
            <v>2-1.레더다이</v>
          </cell>
          <cell r="J163" t="str">
            <v>Leather Dye Special Black</v>
          </cell>
        </row>
        <row r="164">
          <cell r="A164">
            <v>50003002</v>
          </cell>
          <cell r="B164" t="str">
            <v>레더다이-#002-Jet Black</v>
          </cell>
          <cell r="C164">
            <v>10000</v>
          </cell>
          <cell r="D164">
            <v>86366500026</v>
          </cell>
          <cell r="E164">
            <v>21</v>
          </cell>
          <cell r="F164">
            <v>2415</v>
          </cell>
          <cell r="G164" t="str">
            <v>엔젤러스</v>
          </cell>
          <cell r="H164" t="str">
            <v>2-1.레더다이</v>
          </cell>
          <cell r="J164" t="str">
            <v>Leather Dye-#002-Jet Black</v>
          </cell>
        </row>
        <row r="165">
          <cell r="A165">
            <v>50003003</v>
          </cell>
          <cell r="B165" t="str">
            <v>레더다이-#003-Neutral</v>
          </cell>
          <cell r="C165">
            <v>10000</v>
          </cell>
          <cell r="D165">
            <v>86366500040</v>
          </cell>
          <cell r="E165">
            <v>21</v>
          </cell>
          <cell r="F165">
            <v>2415</v>
          </cell>
          <cell r="G165" t="str">
            <v>엔젤러스</v>
          </cell>
          <cell r="H165" t="str">
            <v>2-1.레더다이</v>
          </cell>
          <cell r="J165" t="str">
            <v>Leather Dye-#003-Neutral</v>
          </cell>
        </row>
        <row r="166">
          <cell r="A166">
            <v>50003010</v>
          </cell>
          <cell r="B166" t="str">
            <v>레더다이-#010-ArmyTan</v>
          </cell>
          <cell r="C166">
            <v>10000</v>
          </cell>
          <cell r="E166">
            <v>21</v>
          </cell>
          <cell r="F166">
            <v>2415</v>
          </cell>
          <cell r="G166" t="str">
            <v>엔젤러스</v>
          </cell>
          <cell r="H166" t="str">
            <v>2-1.레더다이</v>
          </cell>
          <cell r="J166" t="str">
            <v>Leather Dye-#010-ArmyTan</v>
          </cell>
        </row>
        <row r="167">
          <cell r="A167">
            <v>50003011</v>
          </cell>
          <cell r="B167" t="str">
            <v>레더다이-#011-Mahogany</v>
          </cell>
          <cell r="C167">
            <v>10000</v>
          </cell>
          <cell r="E167">
            <v>21</v>
          </cell>
          <cell r="F167">
            <v>2415</v>
          </cell>
          <cell r="G167" t="str">
            <v>엔젤러스</v>
          </cell>
          <cell r="H167" t="str">
            <v>2-1.레더다이</v>
          </cell>
          <cell r="J167" t="str">
            <v>Leather Dye-#011-Mahogany</v>
          </cell>
        </row>
        <row r="168">
          <cell r="A168">
            <v>50003014</v>
          </cell>
          <cell r="B168" t="str">
            <v>레더다이-#014-Brown</v>
          </cell>
          <cell r="C168">
            <v>10000</v>
          </cell>
          <cell r="D168">
            <v>86366500149</v>
          </cell>
          <cell r="E168">
            <v>21</v>
          </cell>
          <cell r="F168">
            <v>2415</v>
          </cell>
          <cell r="G168" t="str">
            <v>엔젤러스</v>
          </cell>
          <cell r="H168" t="str">
            <v>2-1.레더다이</v>
          </cell>
          <cell r="J168" t="str">
            <v>Leather Dye-#014-Brown</v>
          </cell>
        </row>
        <row r="169">
          <cell r="A169">
            <v>50003015</v>
          </cell>
          <cell r="B169" t="str">
            <v>레더다이-#015-Chocolate</v>
          </cell>
          <cell r="C169">
            <v>10000</v>
          </cell>
          <cell r="E169">
            <v>21</v>
          </cell>
          <cell r="F169">
            <v>2415</v>
          </cell>
          <cell r="G169" t="str">
            <v>엔젤러스</v>
          </cell>
          <cell r="H169" t="str">
            <v>2-1.레더다이</v>
          </cell>
          <cell r="J169" t="str">
            <v>Leather Dye-#015-Chocolate</v>
          </cell>
        </row>
        <row r="170">
          <cell r="A170">
            <v>50003017</v>
          </cell>
          <cell r="B170" t="str">
            <v>레더다이-#017-Cordovan</v>
          </cell>
          <cell r="C170">
            <v>10000</v>
          </cell>
          <cell r="E170">
            <v>21</v>
          </cell>
          <cell r="F170">
            <v>2415</v>
          </cell>
          <cell r="G170" t="str">
            <v>엔젤러스</v>
          </cell>
          <cell r="H170" t="str">
            <v>2-1.레더다이</v>
          </cell>
          <cell r="J170" t="str">
            <v>Leather Dye-#017-Cordovan</v>
          </cell>
        </row>
        <row r="171">
          <cell r="A171">
            <v>50003018</v>
          </cell>
          <cell r="B171" t="str">
            <v>레더다이-#018-DarkBrown</v>
          </cell>
          <cell r="C171">
            <v>10000</v>
          </cell>
          <cell r="E171">
            <v>21</v>
          </cell>
          <cell r="F171">
            <v>2415</v>
          </cell>
          <cell r="G171" t="str">
            <v>엔젤러스</v>
          </cell>
          <cell r="H171" t="str">
            <v>2-1.레더다이</v>
          </cell>
          <cell r="J171" t="str">
            <v>Leather Dye-#018-DarkBrown</v>
          </cell>
        </row>
        <row r="172">
          <cell r="A172">
            <v>50003019</v>
          </cell>
          <cell r="B172" t="str">
            <v>레더다이-#019-EnglishTan</v>
          </cell>
          <cell r="C172">
            <v>10000</v>
          </cell>
          <cell r="E172">
            <v>21</v>
          </cell>
          <cell r="F172">
            <v>2415</v>
          </cell>
          <cell r="G172" t="str">
            <v>엔젤러스</v>
          </cell>
          <cell r="H172" t="str">
            <v>2-1.레더다이</v>
          </cell>
          <cell r="J172" t="str">
            <v>Leather Dye-#019-EnglishTan</v>
          </cell>
        </row>
        <row r="173">
          <cell r="A173">
            <v>50003021</v>
          </cell>
          <cell r="B173" t="str">
            <v>레더다이-#021-LightBrown</v>
          </cell>
          <cell r="C173">
            <v>10000</v>
          </cell>
          <cell r="E173">
            <v>21</v>
          </cell>
          <cell r="F173">
            <v>2415</v>
          </cell>
          <cell r="G173" t="str">
            <v>엔젤러스</v>
          </cell>
          <cell r="H173" t="str">
            <v>2-1.레더다이</v>
          </cell>
          <cell r="J173" t="str">
            <v>Leather Dye-#021-LightBrown</v>
          </cell>
        </row>
        <row r="174">
          <cell r="A174">
            <v>50003022</v>
          </cell>
          <cell r="B174" t="str">
            <v>레더다이-#022-LightBrown A</v>
          </cell>
          <cell r="C174">
            <v>10000</v>
          </cell>
          <cell r="E174">
            <v>21</v>
          </cell>
          <cell r="F174">
            <v>2415</v>
          </cell>
          <cell r="G174" t="str">
            <v>엔젤러스</v>
          </cell>
          <cell r="H174" t="str">
            <v>2-1.레더다이</v>
          </cell>
          <cell r="J174" t="str">
            <v>Leather Dye-#022-LightBrown A</v>
          </cell>
        </row>
        <row r="175">
          <cell r="A175">
            <v>50003023</v>
          </cell>
          <cell r="B175" t="str">
            <v>레더다이-#023-Med.Brown</v>
          </cell>
          <cell r="C175">
            <v>10000</v>
          </cell>
          <cell r="E175">
            <v>21</v>
          </cell>
          <cell r="F175">
            <v>2415</v>
          </cell>
          <cell r="G175" t="str">
            <v>엔젤러스</v>
          </cell>
          <cell r="H175" t="str">
            <v>2-1.레더다이</v>
          </cell>
          <cell r="J175" t="str">
            <v>Leather Dye-#023-Med.Brown</v>
          </cell>
        </row>
        <row r="176">
          <cell r="A176">
            <v>50003024</v>
          </cell>
          <cell r="B176" t="str">
            <v>레더다이-#024-Orange</v>
          </cell>
          <cell r="C176">
            <v>10000</v>
          </cell>
          <cell r="E176">
            <v>21</v>
          </cell>
          <cell r="F176">
            <v>2415</v>
          </cell>
          <cell r="G176" t="str">
            <v>엔젤러스</v>
          </cell>
          <cell r="H176" t="str">
            <v>2-1.레더다이</v>
          </cell>
          <cell r="J176" t="str">
            <v>Leather Dye-#024-Orange</v>
          </cell>
        </row>
        <row r="177">
          <cell r="A177">
            <v>50003028</v>
          </cell>
          <cell r="B177" t="str">
            <v>레더다이-#028-SunTan</v>
          </cell>
          <cell r="C177">
            <v>10000</v>
          </cell>
          <cell r="E177">
            <v>21</v>
          </cell>
          <cell r="F177">
            <v>2415</v>
          </cell>
          <cell r="G177" t="str">
            <v>엔젤러스</v>
          </cell>
          <cell r="H177" t="str">
            <v>2-1.레더다이</v>
          </cell>
          <cell r="J177" t="str">
            <v>Leather Dye-#028-SunTan</v>
          </cell>
        </row>
        <row r="178">
          <cell r="A178">
            <v>50003029</v>
          </cell>
          <cell r="B178" t="str">
            <v>레더다이-#029-Tan</v>
          </cell>
          <cell r="C178">
            <v>10000</v>
          </cell>
          <cell r="E178">
            <v>21</v>
          </cell>
          <cell r="F178">
            <v>2415</v>
          </cell>
          <cell r="G178" t="str">
            <v>엔젤러스</v>
          </cell>
          <cell r="H178" t="str">
            <v>2-1.레더다이</v>
          </cell>
          <cell r="J178" t="str">
            <v>Leather Dye-#029-Tan</v>
          </cell>
        </row>
        <row r="179">
          <cell r="A179">
            <v>50003040</v>
          </cell>
          <cell r="B179" t="str">
            <v>레더다이-#040-Blue</v>
          </cell>
          <cell r="C179">
            <v>10000</v>
          </cell>
          <cell r="D179">
            <v>86366500408</v>
          </cell>
          <cell r="E179">
            <v>21</v>
          </cell>
          <cell r="F179">
            <v>2415</v>
          </cell>
          <cell r="G179" t="str">
            <v>엔젤러스</v>
          </cell>
          <cell r="H179" t="str">
            <v>2-1.레더다이</v>
          </cell>
          <cell r="J179" t="str">
            <v>Leather Dye-#040-Blue</v>
          </cell>
        </row>
        <row r="180">
          <cell r="A180">
            <v>50003041</v>
          </cell>
          <cell r="B180" t="str">
            <v>레더다이-#041-LightBlue</v>
          </cell>
          <cell r="C180">
            <v>10000</v>
          </cell>
          <cell r="E180">
            <v>21</v>
          </cell>
          <cell r="F180">
            <v>2415</v>
          </cell>
          <cell r="G180" t="str">
            <v>엔젤러스</v>
          </cell>
          <cell r="H180" t="str">
            <v>2-1.레더다이</v>
          </cell>
          <cell r="J180" t="str">
            <v>Leather Dye-#041-LightBlue</v>
          </cell>
        </row>
        <row r="181">
          <cell r="A181">
            <v>50003042</v>
          </cell>
          <cell r="B181" t="str">
            <v>레더다이-#042-NavyBlue</v>
          </cell>
          <cell r="C181">
            <v>10000</v>
          </cell>
          <cell r="D181">
            <v>86366500422</v>
          </cell>
          <cell r="E181">
            <v>21</v>
          </cell>
          <cell r="F181">
            <v>2415</v>
          </cell>
          <cell r="G181" t="str">
            <v>엔젤러스</v>
          </cell>
          <cell r="H181" t="str">
            <v>2-1.레더다이</v>
          </cell>
          <cell r="J181" t="str">
            <v>Leather Dye-#042-NavyBlue</v>
          </cell>
        </row>
        <row r="182">
          <cell r="A182">
            <v>50003043</v>
          </cell>
          <cell r="B182" t="str">
            <v>레더다이-#043-Turquoise</v>
          </cell>
          <cell r="C182">
            <v>10000</v>
          </cell>
          <cell r="E182">
            <v>21</v>
          </cell>
          <cell r="F182">
            <v>2415</v>
          </cell>
          <cell r="G182" t="str">
            <v>엔젤러스</v>
          </cell>
          <cell r="H182" t="str">
            <v>2-1.레더다이</v>
          </cell>
          <cell r="J182" t="str">
            <v>Leather Dye-#043-Turquoise</v>
          </cell>
        </row>
        <row r="183">
          <cell r="A183">
            <v>50003044</v>
          </cell>
          <cell r="B183" t="str">
            <v>레더다이-#044-BlueJean</v>
          </cell>
          <cell r="C183">
            <v>10000</v>
          </cell>
          <cell r="E183">
            <v>21</v>
          </cell>
          <cell r="F183">
            <v>2415</v>
          </cell>
          <cell r="G183" t="str">
            <v>엔젤러스</v>
          </cell>
          <cell r="H183" t="str">
            <v>2-1.레더다이</v>
          </cell>
          <cell r="J183" t="str">
            <v>Leather Dye-#044-BlueJean</v>
          </cell>
        </row>
        <row r="184">
          <cell r="A184">
            <v>50003047</v>
          </cell>
          <cell r="B184" t="str">
            <v>레더다이-#047-Puple</v>
          </cell>
          <cell r="C184">
            <v>10000</v>
          </cell>
          <cell r="E184">
            <v>21</v>
          </cell>
          <cell r="F184">
            <v>2415</v>
          </cell>
          <cell r="G184" t="str">
            <v>엔젤러스</v>
          </cell>
          <cell r="H184" t="str">
            <v>2-1.레더다이</v>
          </cell>
          <cell r="J184" t="str">
            <v>Leather Dye-#047-Puple</v>
          </cell>
        </row>
        <row r="185">
          <cell r="A185">
            <v>50003050</v>
          </cell>
          <cell r="B185" t="str">
            <v>레더다이-#050-Green</v>
          </cell>
          <cell r="C185">
            <v>10000</v>
          </cell>
          <cell r="E185">
            <v>21</v>
          </cell>
          <cell r="F185">
            <v>2415</v>
          </cell>
          <cell r="G185" t="str">
            <v>엔젤러스</v>
          </cell>
          <cell r="H185" t="str">
            <v>2-1.레더다이</v>
          </cell>
          <cell r="J185" t="str">
            <v>Leather Dye-#050-Green</v>
          </cell>
        </row>
        <row r="186">
          <cell r="A186">
            <v>50003051</v>
          </cell>
          <cell r="B186" t="str">
            <v>레더다이-#051-KellyGreen</v>
          </cell>
          <cell r="C186">
            <v>10000</v>
          </cell>
          <cell r="E186">
            <v>21</v>
          </cell>
          <cell r="F186">
            <v>2415</v>
          </cell>
          <cell r="G186" t="str">
            <v>엔젤러스</v>
          </cell>
          <cell r="H186" t="str">
            <v>2-1.레더다이</v>
          </cell>
          <cell r="J186" t="str">
            <v>Leather Dye-#051-KellyGreen</v>
          </cell>
        </row>
        <row r="187">
          <cell r="A187">
            <v>50003060</v>
          </cell>
          <cell r="B187" t="str">
            <v>레더다이-#060-Burgundy</v>
          </cell>
          <cell r="C187">
            <v>10000</v>
          </cell>
          <cell r="E187">
            <v>21</v>
          </cell>
          <cell r="F187">
            <v>2415</v>
          </cell>
          <cell r="G187" t="str">
            <v>엔젤러스</v>
          </cell>
          <cell r="H187" t="str">
            <v>2-1.레더다이</v>
          </cell>
          <cell r="J187" t="str">
            <v>Leather Dye-#060-Burgundy</v>
          </cell>
        </row>
        <row r="188">
          <cell r="A188">
            <v>50003062</v>
          </cell>
          <cell r="B188" t="str">
            <v>레더다이-#062-OxBlood</v>
          </cell>
          <cell r="C188">
            <v>10000</v>
          </cell>
          <cell r="E188">
            <v>21</v>
          </cell>
          <cell r="F188">
            <v>2415</v>
          </cell>
          <cell r="G188" t="str">
            <v>엔젤러스</v>
          </cell>
          <cell r="H188" t="str">
            <v>2-1.레더다이</v>
          </cell>
          <cell r="J188" t="str">
            <v>Leather Dye-#062-OxBlood</v>
          </cell>
        </row>
        <row r="189">
          <cell r="A189">
            <v>50003064</v>
          </cell>
          <cell r="B189" t="str">
            <v>레더다이-#064-Red</v>
          </cell>
          <cell r="C189">
            <v>10000</v>
          </cell>
          <cell r="D189">
            <v>86366500644</v>
          </cell>
          <cell r="E189">
            <v>21</v>
          </cell>
          <cell r="F189">
            <v>2415</v>
          </cell>
          <cell r="G189" t="str">
            <v>엔젤러스</v>
          </cell>
          <cell r="H189" t="str">
            <v>2-1.레더다이</v>
          </cell>
          <cell r="J189" t="str">
            <v>Leather Dye-#064-Red</v>
          </cell>
        </row>
        <row r="190">
          <cell r="A190">
            <v>50003065</v>
          </cell>
          <cell r="B190" t="str">
            <v>레더다이-#065-Wine-Tone</v>
          </cell>
          <cell r="C190">
            <v>10000</v>
          </cell>
          <cell r="E190">
            <v>21</v>
          </cell>
          <cell r="F190">
            <v>2415</v>
          </cell>
          <cell r="G190" t="str">
            <v>엔젤러스</v>
          </cell>
          <cell r="H190" t="str">
            <v>2-1.레더다이</v>
          </cell>
          <cell r="J190" t="str">
            <v>Leather Dye-#065-Wine-Tone</v>
          </cell>
        </row>
        <row r="191">
          <cell r="A191">
            <v>50003072</v>
          </cell>
          <cell r="B191" t="str">
            <v>레더다이-#072-Gold</v>
          </cell>
          <cell r="C191">
            <v>10000</v>
          </cell>
          <cell r="E191">
            <v>21</v>
          </cell>
          <cell r="F191">
            <v>2415</v>
          </cell>
          <cell r="G191" t="str">
            <v>엔젤러스</v>
          </cell>
          <cell r="H191" t="str">
            <v>2-1.레더다이</v>
          </cell>
          <cell r="J191" t="str">
            <v>Leather Dye-#072-Gold</v>
          </cell>
        </row>
        <row r="192">
          <cell r="A192">
            <v>50003075</v>
          </cell>
          <cell r="B192" t="str">
            <v>레더다이-#075-Yellow</v>
          </cell>
          <cell r="C192">
            <v>10000</v>
          </cell>
          <cell r="E192">
            <v>21</v>
          </cell>
          <cell r="F192">
            <v>2415</v>
          </cell>
          <cell r="G192" t="str">
            <v>엔젤러스</v>
          </cell>
          <cell r="H192" t="str">
            <v>2-1.레더다이</v>
          </cell>
          <cell r="J192" t="str">
            <v>Leather Dye-#075-Yellow</v>
          </cell>
        </row>
        <row r="193">
          <cell r="A193">
            <v>50003091</v>
          </cell>
          <cell r="B193" t="str">
            <v>레더다이-#091-BismarkBrown</v>
          </cell>
          <cell r="C193">
            <v>10000</v>
          </cell>
          <cell r="E193">
            <v>21</v>
          </cell>
          <cell r="F193">
            <v>2415</v>
          </cell>
          <cell r="G193" t="str">
            <v>엔젤러스</v>
          </cell>
          <cell r="H193" t="str">
            <v>2-1.레더다이</v>
          </cell>
          <cell r="J193" t="str">
            <v>Leather Dye-#091-BismarkBrown</v>
          </cell>
        </row>
        <row r="194">
          <cell r="A194">
            <v>50003092</v>
          </cell>
          <cell r="B194" t="str">
            <v>레더다이-#092-Brandy</v>
          </cell>
          <cell r="C194">
            <v>10000</v>
          </cell>
          <cell r="E194">
            <v>21</v>
          </cell>
          <cell r="F194">
            <v>2415</v>
          </cell>
          <cell r="G194" t="str">
            <v>엔젤러스</v>
          </cell>
          <cell r="H194" t="str">
            <v>2-1.레더다이</v>
          </cell>
          <cell r="J194" t="str">
            <v>Leather Dye-#092-Brandy</v>
          </cell>
        </row>
        <row r="195">
          <cell r="A195">
            <v>50003093</v>
          </cell>
          <cell r="B195" t="str">
            <v>레더다이-#093-Brick</v>
          </cell>
          <cell r="C195">
            <v>10000</v>
          </cell>
          <cell r="E195">
            <v>21</v>
          </cell>
          <cell r="F195">
            <v>2415</v>
          </cell>
          <cell r="G195" t="str">
            <v>엔젤러스</v>
          </cell>
          <cell r="H195" t="str">
            <v>2-1.레더다이</v>
          </cell>
          <cell r="J195" t="str">
            <v>Leather Dye-#093-Brick</v>
          </cell>
        </row>
        <row r="196">
          <cell r="A196">
            <v>50003094</v>
          </cell>
          <cell r="B196" t="str">
            <v>레더다이-#094-Honey</v>
          </cell>
          <cell r="C196">
            <v>10000</v>
          </cell>
          <cell r="E196">
            <v>21</v>
          </cell>
          <cell r="F196">
            <v>2415</v>
          </cell>
          <cell r="G196" t="str">
            <v>엔젤러스</v>
          </cell>
          <cell r="H196" t="str">
            <v>2-1.레더다이</v>
          </cell>
          <cell r="J196" t="str">
            <v>Leather Dye-#094-Honey</v>
          </cell>
        </row>
        <row r="197">
          <cell r="A197">
            <v>50003095</v>
          </cell>
          <cell r="B197" t="str">
            <v>레더다이-#095-Russet</v>
          </cell>
          <cell r="C197">
            <v>10000</v>
          </cell>
          <cell r="E197">
            <v>21</v>
          </cell>
          <cell r="F197">
            <v>2415</v>
          </cell>
          <cell r="G197" t="str">
            <v>엔젤러스</v>
          </cell>
          <cell r="H197" t="str">
            <v>2-1.레더다이</v>
          </cell>
          <cell r="J197" t="str">
            <v>Leather Dye-#095-Russet</v>
          </cell>
        </row>
        <row r="198">
          <cell r="A198">
            <v>50003096</v>
          </cell>
          <cell r="B198" t="str">
            <v>레더다이-#096-Spice</v>
          </cell>
          <cell r="C198">
            <v>10000</v>
          </cell>
          <cell r="E198">
            <v>21</v>
          </cell>
          <cell r="F198">
            <v>2415</v>
          </cell>
          <cell r="G198" t="str">
            <v>엔젤러스</v>
          </cell>
          <cell r="H198" t="str">
            <v>2-1.레더다이</v>
          </cell>
          <cell r="J198" t="str">
            <v>Leather Dye-#096-Spice</v>
          </cell>
        </row>
        <row r="199">
          <cell r="A199">
            <v>50003097</v>
          </cell>
          <cell r="B199" t="str">
            <v>레더다이-#097-Coffee</v>
          </cell>
          <cell r="C199">
            <v>10000</v>
          </cell>
          <cell r="E199">
            <v>21</v>
          </cell>
          <cell r="F199">
            <v>2415</v>
          </cell>
          <cell r="G199" t="str">
            <v>엔젤러스</v>
          </cell>
          <cell r="H199" t="str">
            <v>2-1.레더다이</v>
          </cell>
          <cell r="J199" t="str">
            <v>Leather Dye-#097-Coffee</v>
          </cell>
        </row>
        <row r="200">
          <cell r="A200">
            <v>50003173</v>
          </cell>
          <cell r="B200" t="str">
            <v>레더다이-#173-Jade</v>
          </cell>
          <cell r="C200">
            <v>10000</v>
          </cell>
          <cell r="E200">
            <v>21</v>
          </cell>
          <cell r="F200">
            <v>2415</v>
          </cell>
          <cell r="G200" t="str">
            <v>엔젤러스</v>
          </cell>
          <cell r="H200" t="str">
            <v>2-1.레더다이</v>
          </cell>
          <cell r="J200" t="str">
            <v>Leather Dye-#173-Jade</v>
          </cell>
        </row>
        <row r="201">
          <cell r="A201">
            <v>50003192</v>
          </cell>
          <cell r="B201" t="str">
            <v>레더다이-#192-Rose</v>
          </cell>
          <cell r="C201">
            <v>10000</v>
          </cell>
          <cell r="E201">
            <v>21</v>
          </cell>
          <cell r="F201">
            <v>2415</v>
          </cell>
          <cell r="G201" t="str">
            <v>엔젤러스</v>
          </cell>
          <cell r="H201" t="str">
            <v>2-1.레더다이</v>
          </cell>
          <cell r="J201" t="str">
            <v>Leather Dye-#192-Rose</v>
          </cell>
        </row>
        <row r="202">
          <cell r="A202">
            <v>50003193</v>
          </cell>
          <cell r="B202" t="str">
            <v>레더다이-#193-Lt.Rose</v>
          </cell>
          <cell r="C202">
            <v>10000</v>
          </cell>
          <cell r="E202">
            <v>21</v>
          </cell>
          <cell r="F202">
            <v>2415</v>
          </cell>
          <cell r="G202" t="str">
            <v>엔젤러스</v>
          </cell>
          <cell r="H202" t="str">
            <v>2-1.레더다이</v>
          </cell>
          <cell r="J202" t="str">
            <v>Leather Dye-#193-Lt.Rose</v>
          </cell>
        </row>
        <row r="204">
          <cell r="A204">
            <v>52003001</v>
          </cell>
          <cell r="B204" t="str">
            <v>스웨이드다이-#001-Black</v>
          </cell>
          <cell r="C204">
            <v>10000</v>
          </cell>
          <cell r="D204">
            <v>86366520017</v>
          </cell>
          <cell r="E204">
            <v>21</v>
          </cell>
          <cell r="F204">
            <v>2415</v>
          </cell>
          <cell r="G204" t="str">
            <v>엔젤러스</v>
          </cell>
          <cell r="H204" t="str">
            <v>2-2.스웨이드다이</v>
          </cell>
          <cell r="J204" t="str">
            <v>Suede Dye &amp; Dressing #001-Black</v>
          </cell>
        </row>
        <row r="205">
          <cell r="A205">
            <v>52003004</v>
          </cell>
          <cell r="B205" t="str">
            <v>스웨이드다이-#004-Neutral</v>
          </cell>
          <cell r="C205">
            <v>10000</v>
          </cell>
          <cell r="E205">
            <v>21</v>
          </cell>
          <cell r="F205">
            <v>2415</v>
          </cell>
          <cell r="G205" t="str">
            <v>엔젤러스</v>
          </cell>
          <cell r="H205" t="str">
            <v>2-2.스웨이드다이</v>
          </cell>
          <cell r="J205" t="str">
            <v>Suede Dye &amp; Dressing #004-Neutral</v>
          </cell>
        </row>
        <row r="206">
          <cell r="A206">
            <v>52003014</v>
          </cell>
          <cell r="B206" t="str">
            <v>스웨이드다이-#014-Brown</v>
          </cell>
          <cell r="C206">
            <v>10000</v>
          </cell>
          <cell r="D206">
            <v>86366520147</v>
          </cell>
          <cell r="E206">
            <v>21</v>
          </cell>
          <cell r="F206">
            <v>2415</v>
          </cell>
          <cell r="G206" t="str">
            <v>엔젤러스</v>
          </cell>
          <cell r="H206" t="str">
            <v>2-2.스웨이드다이</v>
          </cell>
          <cell r="J206" t="str">
            <v>Suede Dye &amp; Dressing #014-Brown</v>
          </cell>
        </row>
        <row r="207">
          <cell r="A207">
            <v>52003018</v>
          </cell>
          <cell r="B207" t="str">
            <v>스웨이드다이-#018-DarkBrown</v>
          </cell>
          <cell r="C207">
            <v>10000</v>
          </cell>
          <cell r="D207">
            <v>86366520185</v>
          </cell>
          <cell r="E207">
            <v>21</v>
          </cell>
          <cell r="F207">
            <v>2415</v>
          </cell>
          <cell r="G207" t="str">
            <v>엔젤러스</v>
          </cell>
          <cell r="H207" t="str">
            <v>2-2.스웨이드다이</v>
          </cell>
          <cell r="J207" t="str">
            <v>Suede Dye &amp; Dressing #018-DarkBrown</v>
          </cell>
        </row>
        <row r="208">
          <cell r="A208">
            <v>52003021</v>
          </cell>
          <cell r="B208" t="str">
            <v>스웨이드다이-#021-LightBrown</v>
          </cell>
          <cell r="C208">
            <v>10000</v>
          </cell>
          <cell r="E208">
            <v>21</v>
          </cell>
          <cell r="F208">
            <v>2415</v>
          </cell>
          <cell r="G208" t="str">
            <v>엔젤러스</v>
          </cell>
          <cell r="H208" t="str">
            <v>2-2.스웨이드다이</v>
          </cell>
          <cell r="J208" t="str">
            <v>Suede Dye &amp; Dressing #021-LightBrown</v>
          </cell>
        </row>
        <row r="209">
          <cell r="A209">
            <v>52003026</v>
          </cell>
          <cell r="B209" t="str">
            <v>스웨이드다이-#026-Rust</v>
          </cell>
          <cell r="C209">
            <v>10000</v>
          </cell>
          <cell r="E209">
            <v>21</v>
          </cell>
          <cell r="F209">
            <v>2415</v>
          </cell>
          <cell r="G209" t="str">
            <v>엔젤러스</v>
          </cell>
          <cell r="H209" t="str">
            <v>2-2.스웨이드다이</v>
          </cell>
          <cell r="J209" t="str">
            <v>Suede Dye &amp; Dressing #026-Rust</v>
          </cell>
        </row>
        <row r="210">
          <cell r="A210">
            <v>52003029</v>
          </cell>
          <cell r="B210" t="str">
            <v>스웨이드다이-#029-Tan</v>
          </cell>
          <cell r="C210">
            <v>10000</v>
          </cell>
          <cell r="E210">
            <v>21</v>
          </cell>
          <cell r="F210">
            <v>2415</v>
          </cell>
          <cell r="G210" t="str">
            <v>엔젤러스</v>
          </cell>
          <cell r="H210" t="str">
            <v>2-2.스웨이드다이</v>
          </cell>
          <cell r="J210" t="str">
            <v>Suede Dye &amp; Dressing #029-Tan</v>
          </cell>
        </row>
        <row r="211">
          <cell r="A211">
            <v>52003040</v>
          </cell>
          <cell r="B211" t="str">
            <v>스웨이드다이-#040-Blue</v>
          </cell>
          <cell r="C211">
            <v>10000</v>
          </cell>
          <cell r="E211">
            <v>21</v>
          </cell>
          <cell r="F211">
            <v>2415</v>
          </cell>
          <cell r="G211" t="str">
            <v>엔젤러스</v>
          </cell>
          <cell r="H211" t="str">
            <v>2-2.스웨이드다이</v>
          </cell>
          <cell r="J211" t="str">
            <v>Suede Dye &amp; Dressing #040-Blue</v>
          </cell>
        </row>
        <row r="212">
          <cell r="A212">
            <v>52003041</v>
          </cell>
          <cell r="B212" t="str">
            <v>스웨이드다이-#041-LightBlue</v>
          </cell>
          <cell r="C212">
            <v>10000</v>
          </cell>
          <cell r="E212">
            <v>21</v>
          </cell>
          <cell r="F212">
            <v>2415</v>
          </cell>
          <cell r="G212" t="str">
            <v>엔젤러스</v>
          </cell>
          <cell r="H212" t="str">
            <v>2-2.스웨이드다이</v>
          </cell>
          <cell r="J212" t="str">
            <v>Suede Dye &amp; Dressing #041-LightBlue</v>
          </cell>
        </row>
        <row r="213">
          <cell r="A213">
            <v>52003042</v>
          </cell>
          <cell r="B213" t="str">
            <v>스웨이드다이-#042-NavyBlue</v>
          </cell>
          <cell r="C213">
            <v>10000</v>
          </cell>
          <cell r="D213">
            <v>86366520420</v>
          </cell>
          <cell r="E213">
            <v>21</v>
          </cell>
          <cell r="F213">
            <v>2415</v>
          </cell>
          <cell r="G213" t="str">
            <v>엔젤러스</v>
          </cell>
          <cell r="H213" t="str">
            <v>2-2.스웨이드다이</v>
          </cell>
          <cell r="J213" t="str">
            <v>Suede Dye &amp; Dressing #042-NavyBlue</v>
          </cell>
        </row>
        <row r="214">
          <cell r="A214">
            <v>52003047</v>
          </cell>
          <cell r="B214" t="str">
            <v>스웨이드다이-#047-Puple</v>
          </cell>
          <cell r="C214">
            <v>10000</v>
          </cell>
          <cell r="E214">
            <v>21</v>
          </cell>
          <cell r="F214">
            <v>2415</v>
          </cell>
          <cell r="G214" t="str">
            <v>엔젤러스</v>
          </cell>
          <cell r="H214" t="str">
            <v>2-2.스웨이드다이</v>
          </cell>
          <cell r="J214" t="str">
            <v>Suede Dye &amp; Dressing #047-Puple</v>
          </cell>
        </row>
        <row r="215">
          <cell r="A215">
            <v>52003050</v>
          </cell>
          <cell r="B215" t="str">
            <v>스웨이드다이-#050-Green</v>
          </cell>
          <cell r="C215">
            <v>10000</v>
          </cell>
          <cell r="E215">
            <v>21</v>
          </cell>
          <cell r="F215">
            <v>2415</v>
          </cell>
          <cell r="G215" t="str">
            <v>엔젤러스</v>
          </cell>
          <cell r="H215" t="str">
            <v>2-2.스웨이드다이</v>
          </cell>
          <cell r="J215" t="str">
            <v>Suede Dye &amp; Dressing #050-Green</v>
          </cell>
        </row>
        <row r="216">
          <cell r="A216">
            <v>52003051</v>
          </cell>
          <cell r="B216" t="str">
            <v>스웨이드다이-#051-KellyGreen</v>
          </cell>
          <cell r="C216">
            <v>10000</v>
          </cell>
          <cell r="E216">
            <v>21</v>
          </cell>
          <cell r="F216">
            <v>2415</v>
          </cell>
          <cell r="G216" t="str">
            <v>엔젤러스</v>
          </cell>
          <cell r="H216" t="str">
            <v>2-2.스웨이드다이</v>
          </cell>
          <cell r="J216" t="str">
            <v>Suede Dye &amp; Dressing #051-KellyGreen</v>
          </cell>
        </row>
        <row r="217">
          <cell r="A217">
            <v>52003060</v>
          </cell>
          <cell r="B217" t="str">
            <v>스웨이드다이-#060-Burgundy</v>
          </cell>
          <cell r="C217">
            <v>10000</v>
          </cell>
          <cell r="E217">
            <v>21</v>
          </cell>
          <cell r="F217">
            <v>2415</v>
          </cell>
          <cell r="G217" t="str">
            <v>엔젤러스</v>
          </cell>
          <cell r="H217" t="str">
            <v>2-2.스웨이드다이</v>
          </cell>
          <cell r="J217" t="str">
            <v>Suede Dye &amp; Dressing #060-Burgundy</v>
          </cell>
        </row>
        <row r="218">
          <cell r="A218">
            <v>52003061</v>
          </cell>
          <cell r="B218" t="str">
            <v>스웨이드다이-#061-DarkRed</v>
          </cell>
          <cell r="C218">
            <v>10000</v>
          </cell>
          <cell r="E218">
            <v>21</v>
          </cell>
          <cell r="F218">
            <v>2415</v>
          </cell>
          <cell r="G218" t="str">
            <v>엔젤러스</v>
          </cell>
          <cell r="H218" t="str">
            <v>2-2.스웨이드다이</v>
          </cell>
          <cell r="J218" t="str">
            <v>Suede Dye &amp; Dressing #061-DarkRed</v>
          </cell>
        </row>
        <row r="219">
          <cell r="A219">
            <v>52003064</v>
          </cell>
          <cell r="B219" t="str">
            <v>스웨이드다이-#064-Red</v>
          </cell>
          <cell r="C219">
            <v>10000</v>
          </cell>
          <cell r="E219">
            <v>21</v>
          </cell>
          <cell r="F219">
            <v>2415</v>
          </cell>
          <cell r="G219" t="str">
            <v>엔젤러스</v>
          </cell>
          <cell r="H219" t="str">
            <v>2-2.스웨이드다이</v>
          </cell>
          <cell r="J219" t="str">
            <v>Suede Dye &amp; Dressing #064-Red</v>
          </cell>
        </row>
        <row r="220">
          <cell r="A220">
            <v>52003065</v>
          </cell>
          <cell r="B220" t="str">
            <v>스웨이드다이-#065-Wine-Tone</v>
          </cell>
          <cell r="C220">
            <v>10000</v>
          </cell>
          <cell r="E220">
            <v>21</v>
          </cell>
          <cell r="F220">
            <v>2415</v>
          </cell>
          <cell r="G220" t="str">
            <v>엔젤러스</v>
          </cell>
          <cell r="H220" t="str">
            <v>2-2.스웨이드다이</v>
          </cell>
          <cell r="J220" t="str">
            <v>Suede Dye &amp; Dressing #065-Wine-Tone</v>
          </cell>
        </row>
        <row r="221">
          <cell r="A221">
            <v>52003070</v>
          </cell>
          <cell r="B221" t="str">
            <v>스웨이드다이-#070-Beige</v>
          </cell>
          <cell r="C221">
            <v>10000</v>
          </cell>
          <cell r="E221">
            <v>21</v>
          </cell>
          <cell r="F221">
            <v>2415</v>
          </cell>
          <cell r="G221" t="str">
            <v>엔젤러스</v>
          </cell>
          <cell r="H221" t="str">
            <v>2-2.스웨이드다이</v>
          </cell>
          <cell r="J221" t="str">
            <v>Suede Dye &amp; Dressing #070-Beige</v>
          </cell>
        </row>
        <row r="222">
          <cell r="A222">
            <v>52003071</v>
          </cell>
          <cell r="B222" t="str">
            <v>스웨이드다이-#071-Chamois</v>
          </cell>
          <cell r="C222">
            <v>10000</v>
          </cell>
          <cell r="E222">
            <v>21</v>
          </cell>
          <cell r="F222">
            <v>2415</v>
          </cell>
          <cell r="G222" t="str">
            <v>엔젤러스</v>
          </cell>
          <cell r="H222" t="str">
            <v>2-2.스웨이드다이</v>
          </cell>
          <cell r="J222" t="str">
            <v>Suede Dye &amp; Dressing #071-Chamois</v>
          </cell>
        </row>
        <row r="223">
          <cell r="A223">
            <v>52003075</v>
          </cell>
          <cell r="B223" t="str">
            <v>스웨이드다이-#075-Yellow</v>
          </cell>
          <cell r="C223">
            <v>10000</v>
          </cell>
          <cell r="E223">
            <v>21</v>
          </cell>
          <cell r="F223">
            <v>2415</v>
          </cell>
          <cell r="G223" t="str">
            <v>엔젤러스</v>
          </cell>
          <cell r="H223" t="str">
            <v>2-2.스웨이드다이</v>
          </cell>
          <cell r="J223" t="str">
            <v>Suede Dye &amp; Dressing #075-Yellow</v>
          </cell>
        </row>
        <row r="224">
          <cell r="A224">
            <v>52003080</v>
          </cell>
          <cell r="B224" t="str">
            <v>스웨이드다이-#080-DarkGrey</v>
          </cell>
          <cell r="C224">
            <v>10000</v>
          </cell>
          <cell r="D224">
            <v>86366520802</v>
          </cell>
          <cell r="E224">
            <v>21</v>
          </cell>
          <cell r="F224">
            <v>2415</v>
          </cell>
          <cell r="G224" t="str">
            <v>엔젤러스</v>
          </cell>
          <cell r="H224" t="str">
            <v>2-2.스웨이드다이</v>
          </cell>
          <cell r="J224" t="str">
            <v>Suede Dye &amp; Dressing #080-DarkGrey</v>
          </cell>
        </row>
        <row r="225">
          <cell r="A225">
            <v>52003081</v>
          </cell>
          <cell r="B225" t="str">
            <v>스웨이드다이-#081-Grey</v>
          </cell>
          <cell r="C225">
            <v>10000</v>
          </cell>
          <cell r="E225">
            <v>21</v>
          </cell>
          <cell r="F225">
            <v>2415</v>
          </cell>
          <cell r="G225" t="str">
            <v>엔젤러스</v>
          </cell>
          <cell r="H225" t="str">
            <v>2-2.스웨이드다이</v>
          </cell>
          <cell r="J225" t="str">
            <v>Suede Dye &amp; Dressing #081-Grey</v>
          </cell>
        </row>
        <row r="226">
          <cell r="A226">
            <v>52003082</v>
          </cell>
          <cell r="B226" t="str">
            <v>스웨이드다이-#082-LightGrey</v>
          </cell>
          <cell r="C226">
            <v>10000</v>
          </cell>
          <cell r="E226">
            <v>21</v>
          </cell>
          <cell r="F226">
            <v>2415</v>
          </cell>
          <cell r="G226" t="str">
            <v>엔젤러스</v>
          </cell>
          <cell r="H226" t="str">
            <v>2-2.스웨이드다이</v>
          </cell>
          <cell r="J226" t="str">
            <v>Suede Dye &amp; Dressing #082-LightGrey</v>
          </cell>
        </row>
        <row r="227">
          <cell r="A227">
            <v>52003175</v>
          </cell>
          <cell r="B227" t="str">
            <v>스웨이드다이-#175-Lilac</v>
          </cell>
          <cell r="C227">
            <v>10000</v>
          </cell>
          <cell r="E227">
            <v>21</v>
          </cell>
          <cell r="F227">
            <v>2415</v>
          </cell>
          <cell r="G227" t="str">
            <v>엔젤러스</v>
          </cell>
          <cell r="H227" t="str">
            <v>2-2.스웨이드다이</v>
          </cell>
          <cell r="J227" t="str">
            <v>Suede Dye &amp; Dressing #175-Lilac</v>
          </cell>
        </row>
        <row r="228">
          <cell r="A228">
            <v>52003188</v>
          </cell>
          <cell r="B228" t="str">
            <v>스웨이드다이-#188-Pink</v>
          </cell>
          <cell r="C228">
            <v>10000</v>
          </cell>
          <cell r="E228">
            <v>21</v>
          </cell>
          <cell r="F228">
            <v>2415</v>
          </cell>
          <cell r="G228" t="str">
            <v>엔젤러스</v>
          </cell>
          <cell r="H228" t="str">
            <v>2-2.스웨이드다이</v>
          </cell>
          <cell r="J228" t="str">
            <v>Suede Dye &amp; Dressing #188-Pink</v>
          </cell>
        </row>
        <row r="230">
          <cell r="A230">
            <v>72004001</v>
          </cell>
          <cell r="B230" t="str">
            <v>4온즈-#001-레더페인트-Black</v>
          </cell>
          <cell r="C230">
            <v>22000</v>
          </cell>
          <cell r="E230">
            <v>27</v>
          </cell>
          <cell r="F230">
            <v>3105</v>
          </cell>
          <cell r="G230" t="str">
            <v>엔젤러스</v>
          </cell>
          <cell r="H230" t="str">
            <v>1-6.4oz페인트</v>
          </cell>
          <cell r="J230" t="str">
            <v>#001-Paint 4oz Black</v>
          </cell>
        </row>
        <row r="231">
          <cell r="A231">
            <v>72004004</v>
          </cell>
          <cell r="B231" t="str">
            <v>4온즈-#004-레더페인트-Neutral</v>
          </cell>
          <cell r="C231">
            <v>22000</v>
          </cell>
          <cell r="E231">
            <v>27</v>
          </cell>
          <cell r="F231">
            <v>3105</v>
          </cell>
          <cell r="G231" t="str">
            <v>엔젤러스</v>
          </cell>
          <cell r="H231" t="str">
            <v>1-6.4oz페인트</v>
          </cell>
          <cell r="J231" t="str">
            <v>#004-Paint 4oz Neutral</v>
          </cell>
        </row>
        <row r="232">
          <cell r="A232">
            <v>72004005</v>
          </cell>
          <cell r="B232" t="str">
            <v>4온즈-#005-레더페인트-White</v>
          </cell>
          <cell r="C232">
            <v>22000</v>
          </cell>
          <cell r="E232">
            <v>27</v>
          </cell>
          <cell r="F232">
            <v>3105</v>
          </cell>
          <cell r="G232" t="str">
            <v>엔젤러스</v>
          </cell>
          <cell r="H232" t="str">
            <v>1-6.4oz페인트</v>
          </cell>
          <cell r="J232" t="str">
            <v>#005-Paint 4oz White</v>
          </cell>
        </row>
        <row r="233">
          <cell r="A233">
            <v>72004014</v>
          </cell>
          <cell r="B233" t="str">
            <v>4온즈-#014-레더페인트-Brown</v>
          </cell>
          <cell r="C233">
            <v>22000</v>
          </cell>
          <cell r="E233">
            <v>27</v>
          </cell>
          <cell r="F233">
            <v>3105</v>
          </cell>
          <cell r="G233" t="str">
            <v>엔젤러스</v>
          </cell>
          <cell r="H233" t="str">
            <v>1-6.4oz페인트</v>
          </cell>
          <cell r="J233" t="str">
            <v>#014-Paint 4oz Brown</v>
          </cell>
        </row>
        <row r="234">
          <cell r="A234">
            <v>72004015</v>
          </cell>
          <cell r="B234" t="str">
            <v>4온즈-#015-레더페인트-Chocolate</v>
          </cell>
          <cell r="C234">
            <v>22000</v>
          </cell>
          <cell r="E234">
            <v>27</v>
          </cell>
          <cell r="F234">
            <v>3105</v>
          </cell>
          <cell r="G234" t="str">
            <v>엔젤러스</v>
          </cell>
          <cell r="H234" t="str">
            <v>1-6.4oz페인트</v>
          </cell>
          <cell r="J234" t="str">
            <v>#015-Paint 4oz Chocolate</v>
          </cell>
        </row>
        <row r="235">
          <cell r="A235">
            <v>72004018</v>
          </cell>
          <cell r="B235" t="str">
            <v>4온즈-#018-레더페인트-DarkBrown</v>
          </cell>
          <cell r="C235">
            <v>22000</v>
          </cell>
          <cell r="E235">
            <v>27</v>
          </cell>
          <cell r="F235">
            <v>3105</v>
          </cell>
          <cell r="G235" t="str">
            <v>엔젤러스</v>
          </cell>
          <cell r="H235" t="str">
            <v>1-6.4oz페인트</v>
          </cell>
          <cell r="J235" t="str">
            <v>#018-Paint 4oz DarkBrown</v>
          </cell>
        </row>
        <row r="236">
          <cell r="A236">
            <v>72004019</v>
          </cell>
          <cell r="B236" t="str">
            <v>4온즈-#019-레더페인트-English Tan</v>
          </cell>
          <cell r="C236">
            <v>22000</v>
          </cell>
          <cell r="E236">
            <v>27</v>
          </cell>
          <cell r="F236">
            <v>3105</v>
          </cell>
          <cell r="G236" t="str">
            <v>엔젤러스</v>
          </cell>
          <cell r="H236" t="str">
            <v>1-6.4oz페인트</v>
          </cell>
          <cell r="J236" t="str">
            <v>#019-Paint 4oz English Tan</v>
          </cell>
        </row>
        <row r="237">
          <cell r="A237">
            <v>72004021</v>
          </cell>
          <cell r="B237" t="str">
            <v>4온즈-#021-레더페인트-LightBrown</v>
          </cell>
          <cell r="C237">
            <v>22000</v>
          </cell>
          <cell r="E237">
            <v>27</v>
          </cell>
          <cell r="F237">
            <v>3105</v>
          </cell>
          <cell r="G237" t="str">
            <v>엔젤러스</v>
          </cell>
          <cell r="H237" t="str">
            <v>1-6.4oz페인트</v>
          </cell>
          <cell r="J237" t="str">
            <v>#021-Paint 4oz LightBrown</v>
          </cell>
        </row>
        <row r="238">
          <cell r="A238">
            <v>72004024</v>
          </cell>
          <cell r="B238" t="str">
            <v>4온즈-#024-레더페인트-Orange</v>
          </cell>
          <cell r="C238">
            <v>22000</v>
          </cell>
          <cell r="E238">
            <v>27</v>
          </cell>
          <cell r="F238">
            <v>3105</v>
          </cell>
          <cell r="G238" t="str">
            <v>엔젤러스</v>
          </cell>
          <cell r="H238" t="str">
            <v>1-6.4oz페인트</v>
          </cell>
          <cell r="J238" t="str">
            <v>#024-Paint 4oz Orange</v>
          </cell>
        </row>
        <row r="239">
          <cell r="A239">
            <v>72004027</v>
          </cell>
          <cell r="B239" t="str">
            <v>4온즈-#027-레더페인트- SADDLE</v>
          </cell>
          <cell r="C239">
            <v>22000</v>
          </cell>
          <cell r="E239">
            <v>27</v>
          </cell>
          <cell r="F239">
            <v>3105</v>
          </cell>
          <cell r="G239" t="str">
            <v>엔젤러스</v>
          </cell>
          <cell r="H239" t="str">
            <v>1-6.4oz페인트</v>
          </cell>
          <cell r="J239" t="str">
            <v>#027- Paint 4oz SADDLE</v>
          </cell>
        </row>
        <row r="240">
          <cell r="A240">
            <v>72004029</v>
          </cell>
          <cell r="B240" t="str">
            <v>4온즈-#029-레더페인트- Tan</v>
          </cell>
          <cell r="C240">
            <v>22000</v>
          </cell>
          <cell r="E240">
            <v>27</v>
          </cell>
          <cell r="F240">
            <v>3105</v>
          </cell>
          <cell r="G240" t="str">
            <v>엔젤러스</v>
          </cell>
          <cell r="H240" t="str">
            <v>1-6.4oz페인트</v>
          </cell>
          <cell r="J240" t="str">
            <v>#029- Paint 4oz Tan</v>
          </cell>
        </row>
        <row r="241">
          <cell r="A241">
            <v>72004040</v>
          </cell>
          <cell r="B241" t="str">
            <v>4온즈-#040-레더페인트-BLUE</v>
          </cell>
          <cell r="C241">
            <v>22000</v>
          </cell>
          <cell r="E241">
            <v>27</v>
          </cell>
          <cell r="F241">
            <v>3105</v>
          </cell>
          <cell r="G241" t="str">
            <v>엔젤러스</v>
          </cell>
          <cell r="H241" t="str">
            <v>1-6.4oz페인트</v>
          </cell>
          <cell r="J241" t="str">
            <v>#040-Paint 4oz BLUE</v>
          </cell>
        </row>
        <row r="242">
          <cell r="A242">
            <v>72004041</v>
          </cell>
          <cell r="B242" t="str">
            <v>4온즈-#041-레더페인트-LightBLUE</v>
          </cell>
          <cell r="C242">
            <v>22000</v>
          </cell>
          <cell r="E242">
            <v>27</v>
          </cell>
          <cell r="F242">
            <v>3105</v>
          </cell>
          <cell r="G242" t="str">
            <v>엔젤러스</v>
          </cell>
          <cell r="H242" t="str">
            <v>1-6.4oz페인트</v>
          </cell>
          <cell r="J242" t="str">
            <v>#041-Paint 4oz LightBLUE</v>
          </cell>
        </row>
        <row r="243">
          <cell r="A243">
            <v>72004042</v>
          </cell>
          <cell r="B243" t="str">
            <v>4온즈-#042-레더페인트-NavyBlue</v>
          </cell>
          <cell r="C243">
            <v>22000</v>
          </cell>
          <cell r="E243">
            <v>27</v>
          </cell>
          <cell r="F243">
            <v>3105</v>
          </cell>
          <cell r="G243" t="str">
            <v>엔젤러스</v>
          </cell>
          <cell r="H243" t="str">
            <v>1-6.4oz페인트</v>
          </cell>
          <cell r="J243" t="str">
            <v>#042-Paint 4oz NavyBlue</v>
          </cell>
        </row>
        <row r="244">
          <cell r="A244">
            <v>72004043</v>
          </cell>
          <cell r="B244" t="str">
            <v>4온즈-#043-레더페인트-Turgouise</v>
          </cell>
          <cell r="C244">
            <v>22000</v>
          </cell>
          <cell r="E244">
            <v>27</v>
          </cell>
          <cell r="F244">
            <v>3105</v>
          </cell>
          <cell r="G244" t="str">
            <v>엔젤러스</v>
          </cell>
          <cell r="H244" t="str">
            <v>1-6.4oz페인트</v>
          </cell>
          <cell r="J244" t="str">
            <v>#043-Paint 4oz Turgouise</v>
          </cell>
        </row>
        <row r="245">
          <cell r="A245">
            <v>72004045</v>
          </cell>
          <cell r="B245" t="str">
            <v>4온즈-#045-레더페인트-Blue Turquoise</v>
          </cell>
          <cell r="C245">
            <v>22000</v>
          </cell>
          <cell r="E245">
            <v>27</v>
          </cell>
          <cell r="F245">
            <v>3105</v>
          </cell>
          <cell r="G245" t="str">
            <v>엔젤러스</v>
          </cell>
          <cell r="H245" t="str">
            <v>1-6.4oz페인트</v>
          </cell>
          <cell r="J245" t="str">
            <v>#045-Paint 4oz Blue Turquoise</v>
          </cell>
        </row>
        <row r="246">
          <cell r="A246">
            <v>72004047</v>
          </cell>
          <cell r="B246" t="str">
            <v>4온즈-#047-레더페인트-Purple</v>
          </cell>
          <cell r="C246">
            <v>22000</v>
          </cell>
          <cell r="E246">
            <v>27</v>
          </cell>
          <cell r="F246">
            <v>3105</v>
          </cell>
          <cell r="G246" t="str">
            <v>엔젤러스</v>
          </cell>
          <cell r="H246" t="str">
            <v>1-6.4oz페인트</v>
          </cell>
          <cell r="J246" t="str">
            <v>#047-Paint 4oz Purple</v>
          </cell>
        </row>
        <row r="247">
          <cell r="A247">
            <v>72004050</v>
          </cell>
          <cell r="B247" t="str">
            <v>4온즈-#050-레더페인트-Green</v>
          </cell>
          <cell r="C247">
            <v>22000</v>
          </cell>
          <cell r="E247">
            <v>27</v>
          </cell>
          <cell r="F247">
            <v>3105</v>
          </cell>
          <cell r="G247" t="str">
            <v>엔젤러스</v>
          </cell>
          <cell r="H247" t="str">
            <v>1-6.4oz페인트</v>
          </cell>
          <cell r="J247" t="str">
            <v>#050-Paint 4oz Green</v>
          </cell>
        </row>
        <row r="248">
          <cell r="A248">
            <v>72004052</v>
          </cell>
          <cell r="B248" t="str">
            <v>4온즈-#052-레더페인트-MidniteGreen</v>
          </cell>
          <cell r="C248">
            <v>22000</v>
          </cell>
          <cell r="E248">
            <v>27</v>
          </cell>
          <cell r="F248">
            <v>3105</v>
          </cell>
          <cell r="G248" t="str">
            <v>엔젤러스</v>
          </cell>
          <cell r="H248" t="str">
            <v>1-6.4oz페인트</v>
          </cell>
          <cell r="J248" t="str">
            <v>#052-Paint 4oz MidniteGreen</v>
          </cell>
        </row>
        <row r="249">
          <cell r="A249">
            <v>72004060</v>
          </cell>
          <cell r="B249" t="str">
            <v>4온즈-#060-레더페인트-Burgundy</v>
          </cell>
          <cell r="C249">
            <v>22000</v>
          </cell>
          <cell r="E249">
            <v>27</v>
          </cell>
          <cell r="F249">
            <v>3105</v>
          </cell>
          <cell r="G249" t="str">
            <v>엔젤러스</v>
          </cell>
          <cell r="H249" t="str">
            <v>1-6.4oz페인트</v>
          </cell>
          <cell r="J249" t="str">
            <v>#060-Paint 4oz Burgundy</v>
          </cell>
        </row>
        <row r="250">
          <cell r="A250">
            <v>72004064</v>
          </cell>
          <cell r="B250" t="str">
            <v>4온즈-#064-레더페인트-Red</v>
          </cell>
          <cell r="C250">
            <v>22000</v>
          </cell>
          <cell r="E250">
            <v>27</v>
          </cell>
          <cell r="F250">
            <v>3105</v>
          </cell>
          <cell r="G250" t="str">
            <v>엔젤러스</v>
          </cell>
          <cell r="H250" t="str">
            <v>1-6.4oz페인트</v>
          </cell>
          <cell r="J250" t="str">
            <v>#064-Paint 4oz Red</v>
          </cell>
        </row>
        <row r="251">
          <cell r="A251">
            <v>72004070</v>
          </cell>
          <cell r="B251" t="str">
            <v>4온즈-#070-레더페인트-Beige</v>
          </cell>
          <cell r="C251">
            <v>22000</v>
          </cell>
          <cell r="E251">
            <v>27</v>
          </cell>
          <cell r="F251">
            <v>3105</v>
          </cell>
          <cell r="G251" t="str">
            <v>엔젤러스</v>
          </cell>
          <cell r="H251" t="str">
            <v>1-6.4oz페인트</v>
          </cell>
          <cell r="J251" t="str">
            <v>#070-Paint 4oz Beige</v>
          </cell>
        </row>
        <row r="252">
          <cell r="A252">
            <v>73204072</v>
          </cell>
          <cell r="B252" t="str">
            <v>4온즈-#072-레더페인트-Gold</v>
          </cell>
          <cell r="C252">
            <v>22000</v>
          </cell>
          <cell r="E252">
            <v>27</v>
          </cell>
          <cell r="F252">
            <v>3105</v>
          </cell>
          <cell r="G252" t="str">
            <v>엔젤러스</v>
          </cell>
          <cell r="H252" t="str">
            <v>1-6.4oz페인트</v>
          </cell>
          <cell r="J252" t="str">
            <v>#072-Paint 4oz Gold</v>
          </cell>
        </row>
        <row r="253">
          <cell r="A253">
            <v>72004075</v>
          </cell>
          <cell r="B253" t="str">
            <v>4온즈-#075-레더페인트-Yellow</v>
          </cell>
          <cell r="C253">
            <v>22000</v>
          </cell>
          <cell r="E253">
            <v>27</v>
          </cell>
          <cell r="F253">
            <v>3105</v>
          </cell>
          <cell r="G253" t="str">
            <v>엔젤러스</v>
          </cell>
          <cell r="H253" t="str">
            <v>1-6.4oz페인트</v>
          </cell>
          <cell r="J253" t="str">
            <v>#075-Paint 4oz Yellow</v>
          </cell>
        </row>
        <row r="254">
          <cell r="A254">
            <v>72004080</v>
          </cell>
          <cell r="B254" t="str">
            <v>4온즈-#080-레더페인트-DarkGrey</v>
          </cell>
          <cell r="C254">
            <v>22000</v>
          </cell>
          <cell r="E254">
            <v>27</v>
          </cell>
          <cell r="F254">
            <v>3105</v>
          </cell>
          <cell r="G254" t="str">
            <v>엔젤러스</v>
          </cell>
          <cell r="H254" t="str">
            <v>1-6.4oz페인트</v>
          </cell>
          <cell r="J254" t="str">
            <v>#080-Paint 4oz DarkGrey</v>
          </cell>
        </row>
        <row r="255">
          <cell r="A255">
            <v>72004081</v>
          </cell>
          <cell r="B255" t="str">
            <v>4온즈-#081-레더페인트-Grey</v>
          </cell>
          <cell r="C255">
            <v>22000</v>
          </cell>
          <cell r="E255">
            <v>27</v>
          </cell>
          <cell r="F255">
            <v>3105</v>
          </cell>
          <cell r="G255" t="str">
            <v>엔젤러스</v>
          </cell>
          <cell r="H255" t="str">
            <v>1-6.4oz페인트</v>
          </cell>
          <cell r="J255" t="str">
            <v>#081-Paint 4oz Grey</v>
          </cell>
        </row>
        <row r="256">
          <cell r="A256">
            <v>72004082</v>
          </cell>
          <cell r="B256" t="str">
            <v>4온즈-#082-레더페인트-LightGrey</v>
          </cell>
          <cell r="C256">
            <v>22000</v>
          </cell>
          <cell r="E256">
            <v>27</v>
          </cell>
          <cell r="F256">
            <v>3105</v>
          </cell>
          <cell r="G256" t="str">
            <v>엔젤러스</v>
          </cell>
          <cell r="H256" t="str">
            <v>1-6.4oz페인트</v>
          </cell>
          <cell r="J256" t="str">
            <v>#082-Paint 4oz LightGrey</v>
          </cell>
        </row>
        <row r="257">
          <cell r="A257">
            <v>72004093</v>
          </cell>
          <cell r="B257" t="str">
            <v>4온즈-#093-레더페인트-Brick</v>
          </cell>
          <cell r="C257">
            <v>22000</v>
          </cell>
          <cell r="E257">
            <v>27</v>
          </cell>
          <cell r="F257">
            <v>3105</v>
          </cell>
          <cell r="G257" t="str">
            <v>엔젤러스</v>
          </cell>
          <cell r="H257" t="str">
            <v>1-6.4oz페인트</v>
          </cell>
          <cell r="J257" t="str">
            <v>#093-Paint 4oz Brick</v>
          </cell>
        </row>
        <row r="258">
          <cell r="A258">
            <v>72004101</v>
          </cell>
          <cell r="B258" t="str">
            <v>4온즈-#101-레더페인트-Flat Black</v>
          </cell>
          <cell r="C258">
            <v>22000</v>
          </cell>
          <cell r="E258">
            <v>27</v>
          </cell>
          <cell r="F258">
            <v>3105</v>
          </cell>
          <cell r="G258" t="str">
            <v>엔젤러스</v>
          </cell>
          <cell r="H258" t="str">
            <v>1-6.4oz페인트</v>
          </cell>
          <cell r="J258" t="str">
            <v>#101-Paint 4oz Flat Black</v>
          </cell>
        </row>
        <row r="259">
          <cell r="A259">
            <v>72004105</v>
          </cell>
          <cell r="B259" t="str">
            <v>4온즈-#105-레더페인트-Flat White</v>
          </cell>
          <cell r="C259">
            <v>22000</v>
          </cell>
          <cell r="E259">
            <v>27</v>
          </cell>
          <cell r="F259">
            <v>3105</v>
          </cell>
          <cell r="G259" t="str">
            <v>엔젤러스</v>
          </cell>
          <cell r="H259" t="str">
            <v>1-6.4oz페인트</v>
          </cell>
          <cell r="J259" t="str">
            <v>#105-Paint 4oz Flat White</v>
          </cell>
        </row>
        <row r="260">
          <cell r="A260">
            <v>73201141</v>
          </cell>
          <cell r="B260" t="str">
            <v>4온즈-#141-레더페인트-Copper</v>
          </cell>
          <cell r="C260">
            <v>22000</v>
          </cell>
          <cell r="E260">
            <v>27</v>
          </cell>
          <cell r="F260">
            <v>3105</v>
          </cell>
          <cell r="G260" t="str">
            <v>엔젤러스</v>
          </cell>
          <cell r="H260" t="str">
            <v>1-6.4oz페인트</v>
          </cell>
          <cell r="J260" t="str">
            <v>#141-Paint 4oz Copper</v>
          </cell>
        </row>
        <row r="261">
          <cell r="A261">
            <v>73201142</v>
          </cell>
          <cell r="B261" t="str">
            <v>4온즈-#142-레더페인트-Bronze</v>
          </cell>
          <cell r="C261">
            <v>22000</v>
          </cell>
          <cell r="E261">
            <v>27</v>
          </cell>
          <cell r="F261">
            <v>3105</v>
          </cell>
          <cell r="G261" t="str">
            <v>엔젤러스</v>
          </cell>
          <cell r="H261" t="str">
            <v>1-6.4oz페인트</v>
          </cell>
          <cell r="J261" t="str">
            <v>#142-Paint 4oz Bronze</v>
          </cell>
        </row>
        <row r="262">
          <cell r="A262">
            <v>73201143</v>
          </cell>
          <cell r="B262" t="str">
            <v>4온즈-#143-레더페인트-Pewter</v>
          </cell>
          <cell r="C262">
            <v>22000</v>
          </cell>
          <cell r="E262">
            <v>27</v>
          </cell>
          <cell r="F262">
            <v>3105</v>
          </cell>
          <cell r="G262" t="str">
            <v>엔젤러스</v>
          </cell>
          <cell r="H262" t="str">
            <v>1-6.4oz페인트</v>
          </cell>
          <cell r="J262" t="str">
            <v>#143-Paint 4oz Pewter</v>
          </cell>
        </row>
        <row r="263">
          <cell r="A263">
            <v>72004150</v>
          </cell>
          <cell r="B263" t="str">
            <v>4온즈-#150-레더페인트-SILVER</v>
          </cell>
          <cell r="C263">
            <v>22000</v>
          </cell>
          <cell r="E263">
            <v>27</v>
          </cell>
          <cell r="F263">
            <v>3105</v>
          </cell>
          <cell r="G263" t="str">
            <v>엔젤러스</v>
          </cell>
          <cell r="H263" t="str">
            <v>1-6.4oz페인트</v>
          </cell>
          <cell r="J263" t="str">
            <v>#150-Paint 4oz SILVER</v>
          </cell>
        </row>
        <row r="264">
          <cell r="A264">
            <v>72004155</v>
          </cell>
          <cell r="B264" t="str">
            <v>4온즈-#155-레더페인트-Bone</v>
          </cell>
          <cell r="C264">
            <v>22000</v>
          </cell>
          <cell r="E264">
            <v>27</v>
          </cell>
          <cell r="F264">
            <v>3105</v>
          </cell>
          <cell r="G264" t="str">
            <v>엔젤러스</v>
          </cell>
          <cell r="H264" t="str">
            <v>1-6.4oz페인트</v>
          </cell>
          <cell r="J264" t="str">
            <v>#155-Paint 4oz Bone</v>
          </cell>
        </row>
        <row r="265">
          <cell r="A265">
            <v>72004156</v>
          </cell>
          <cell r="B265" t="str">
            <v>4온즈-#156-레더페인트-Champagne</v>
          </cell>
          <cell r="C265">
            <v>22000</v>
          </cell>
          <cell r="E265">
            <v>27</v>
          </cell>
          <cell r="F265">
            <v>3105</v>
          </cell>
          <cell r="G265" t="str">
            <v>엔젤러스</v>
          </cell>
          <cell r="H265" t="str">
            <v>1-6.4oz페인트</v>
          </cell>
          <cell r="J265" t="str">
            <v>#156-Paint 4oz Champagne</v>
          </cell>
        </row>
        <row r="266">
          <cell r="A266">
            <v>72004157</v>
          </cell>
          <cell r="B266" t="str">
            <v>4온즈-#157-레더페인트-DarkBone</v>
          </cell>
          <cell r="C266">
            <v>22000</v>
          </cell>
          <cell r="E266">
            <v>27</v>
          </cell>
          <cell r="F266">
            <v>3105</v>
          </cell>
          <cell r="G266" t="str">
            <v>엔젤러스</v>
          </cell>
          <cell r="H266" t="str">
            <v>1-6.4oz페인트</v>
          </cell>
          <cell r="J266" t="str">
            <v>#157-Paint 4oz DarkBone</v>
          </cell>
        </row>
        <row r="267">
          <cell r="A267">
            <v>72004159</v>
          </cell>
          <cell r="B267" t="str">
            <v>4온즈-#159-레더페인트-Mist</v>
          </cell>
          <cell r="C267">
            <v>22000</v>
          </cell>
          <cell r="E267">
            <v>27</v>
          </cell>
          <cell r="F267">
            <v>3105</v>
          </cell>
          <cell r="G267" t="str">
            <v>엔젤러스</v>
          </cell>
          <cell r="H267" t="str">
            <v>1-6.4oz페인트</v>
          </cell>
          <cell r="J267" t="str">
            <v>#159-Paint 4oz Mist</v>
          </cell>
        </row>
        <row r="268">
          <cell r="A268">
            <v>72004160</v>
          </cell>
          <cell r="B268" t="str">
            <v>4온즈-#160-레더페인트-Vanilla</v>
          </cell>
          <cell r="C268">
            <v>22000</v>
          </cell>
          <cell r="E268">
            <v>27</v>
          </cell>
          <cell r="F268">
            <v>3105</v>
          </cell>
          <cell r="G268" t="str">
            <v>엔젤러스</v>
          </cell>
          <cell r="H268" t="str">
            <v>1-6.4oz페인트</v>
          </cell>
          <cell r="J268" t="str">
            <v>#160-Paint 4oz Vanilla</v>
          </cell>
        </row>
        <row r="269">
          <cell r="A269">
            <v>72004161</v>
          </cell>
          <cell r="B269" t="str">
            <v>4온즈-#161-레더페인트-Natural</v>
          </cell>
          <cell r="C269">
            <v>22000</v>
          </cell>
          <cell r="E269">
            <v>27</v>
          </cell>
          <cell r="F269">
            <v>3105</v>
          </cell>
          <cell r="G269" t="str">
            <v>엔젤러스</v>
          </cell>
          <cell r="H269" t="str">
            <v>1-6.4oz페인트</v>
          </cell>
          <cell r="J269" t="str">
            <v>#161-Paint 4oz Natural</v>
          </cell>
        </row>
        <row r="270">
          <cell r="A270">
            <v>72004162</v>
          </cell>
          <cell r="B270" t="str">
            <v>4온즈-#162-레더페인트-Cream</v>
          </cell>
          <cell r="C270">
            <v>22000</v>
          </cell>
          <cell r="E270">
            <v>27</v>
          </cell>
          <cell r="F270">
            <v>3105</v>
          </cell>
          <cell r="G270" t="str">
            <v>엔젤러스</v>
          </cell>
          <cell r="H270" t="str">
            <v>1-6.4oz페인트</v>
          </cell>
          <cell r="J270" t="str">
            <v>#162-Paint 4oz Cream</v>
          </cell>
        </row>
        <row r="271">
          <cell r="A271">
            <v>72004163</v>
          </cell>
          <cell r="B271" t="str">
            <v>4온즈-#163-레더페인트-CapazioTan</v>
          </cell>
          <cell r="C271">
            <v>22000</v>
          </cell>
          <cell r="D271" t="str">
            <v xml:space="preserve"> </v>
          </cell>
          <cell r="E271">
            <v>27</v>
          </cell>
          <cell r="F271">
            <v>3105</v>
          </cell>
          <cell r="G271" t="str">
            <v>엔젤러스</v>
          </cell>
          <cell r="H271" t="str">
            <v>1-6.4oz페인트</v>
          </cell>
          <cell r="J271" t="str">
            <v>#163-Paint 4oz CapazioTan</v>
          </cell>
        </row>
        <row r="272">
          <cell r="A272">
            <v>72004165</v>
          </cell>
          <cell r="B272" t="str">
            <v>4온즈-#165-레더페인트-BeigeTaupe</v>
          </cell>
          <cell r="C272">
            <v>22000</v>
          </cell>
          <cell r="E272">
            <v>27</v>
          </cell>
          <cell r="F272">
            <v>3105</v>
          </cell>
          <cell r="G272" t="str">
            <v>엔젤러스</v>
          </cell>
          <cell r="H272" t="str">
            <v>1-6.4oz페인트</v>
          </cell>
          <cell r="J272" t="str">
            <v>#165-Paint 4oz BeigeTaupe</v>
          </cell>
        </row>
        <row r="273">
          <cell r="A273">
            <v>72004166</v>
          </cell>
          <cell r="B273" t="str">
            <v>4온즈-#166-레더페인트-GreyTaupe</v>
          </cell>
          <cell r="C273">
            <v>22000</v>
          </cell>
          <cell r="E273">
            <v>27</v>
          </cell>
          <cell r="F273">
            <v>3105</v>
          </cell>
          <cell r="G273" t="str">
            <v>엔젤러스</v>
          </cell>
          <cell r="H273" t="str">
            <v>1-6.4oz페인트</v>
          </cell>
          <cell r="J273" t="str">
            <v>#166-Paint 4oz GreyTaupe</v>
          </cell>
        </row>
        <row r="274">
          <cell r="A274">
            <v>72004167</v>
          </cell>
          <cell r="B274" t="str">
            <v>4온즈-#167-레더페인트-Taupe</v>
          </cell>
          <cell r="C274">
            <v>22000</v>
          </cell>
          <cell r="E274">
            <v>27</v>
          </cell>
          <cell r="F274">
            <v>3105</v>
          </cell>
          <cell r="G274" t="str">
            <v>엔젤러스</v>
          </cell>
          <cell r="H274" t="str">
            <v>1-6.4oz페인트</v>
          </cell>
          <cell r="J274" t="str">
            <v>#167-Paint 4oz Taupe</v>
          </cell>
        </row>
        <row r="275">
          <cell r="A275">
            <v>72004168</v>
          </cell>
          <cell r="B275" t="str">
            <v>4온즈-#168-레더페인트-DarkTaupe</v>
          </cell>
          <cell r="C275">
            <v>22000</v>
          </cell>
          <cell r="E275">
            <v>27</v>
          </cell>
          <cell r="F275">
            <v>3105</v>
          </cell>
          <cell r="G275" t="str">
            <v>엔젤러스</v>
          </cell>
          <cell r="H275" t="str">
            <v>1-6.4oz페인트</v>
          </cell>
          <cell r="J275" t="str">
            <v>#168-Paint 4oz DarkTaupe</v>
          </cell>
        </row>
        <row r="276">
          <cell r="A276">
            <v>72004169</v>
          </cell>
          <cell r="B276" t="str">
            <v>4온즈-#169-레더페인트-Mauve</v>
          </cell>
          <cell r="C276">
            <v>22000</v>
          </cell>
          <cell r="E276">
            <v>27</v>
          </cell>
          <cell r="F276">
            <v>3105</v>
          </cell>
          <cell r="G276" t="str">
            <v>엔젤러스</v>
          </cell>
          <cell r="H276" t="str">
            <v>1-6.4oz페인트</v>
          </cell>
          <cell r="J276" t="str">
            <v>#169-Paint 4oz Mauve</v>
          </cell>
        </row>
        <row r="277">
          <cell r="A277">
            <v>72004170</v>
          </cell>
          <cell r="B277" t="str">
            <v>4온즈-#170-레더페인트-Avocado</v>
          </cell>
          <cell r="C277">
            <v>22000</v>
          </cell>
          <cell r="E277">
            <v>27</v>
          </cell>
          <cell r="F277">
            <v>3105</v>
          </cell>
          <cell r="G277" t="str">
            <v>엔젤러스</v>
          </cell>
          <cell r="H277" t="str">
            <v>1-6.4oz페인트</v>
          </cell>
          <cell r="J277" t="str">
            <v>#170-Paint 4oz Avocado</v>
          </cell>
        </row>
        <row r="278">
          <cell r="A278">
            <v>72004171</v>
          </cell>
          <cell r="B278" t="str">
            <v>4온즈-#171-레더페인트-DarkGreen</v>
          </cell>
          <cell r="C278">
            <v>22000</v>
          </cell>
          <cell r="E278">
            <v>27</v>
          </cell>
          <cell r="F278">
            <v>3105</v>
          </cell>
          <cell r="G278" t="str">
            <v>엔젤러스</v>
          </cell>
          <cell r="H278" t="str">
            <v>1-6.4oz페인트</v>
          </cell>
          <cell r="J278" t="str">
            <v>#171-Paint 4oz DarkGreen</v>
          </cell>
        </row>
        <row r="279">
          <cell r="A279">
            <v>72004172</v>
          </cell>
          <cell r="B279" t="str">
            <v>4온즈-#172-레더페인트-Light Green</v>
          </cell>
          <cell r="C279">
            <v>22000</v>
          </cell>
          <cell r="E279">
            <v>27</v>
          </cell>
          <cell r="F279">
            <v>3105</v>
          </cell>
          <cell r="G279" t="str">
            <v>엔젤러스</v>
          </cell>
          <cell r="H279" t="str">
            <v>1-6.4oz페인트</v>
          </cell>
          <cell r="J279" t="str">
            <v>#172-Paint 4oz Light Green</v>
          </cell>
        </row>
        <row r="280">
          <cell r="A280">
            <v>72004174</v>
          </cell>
          <cell r="B280" t="str">
            <v>4온즈-#174-레더페인트-GiftBoxBlue</v>
          </cell>
          <cell r="C280">
            <v>22000</v>
          </cell>
          <cell r="E280">
            <v>27</v>
          </cell>
          <cell r="F280">
            <v>3105</v>
          </cell>
          <cell r="G280" t="str">
            <v>엔젤러스</v>
          </cell>
          <cell r="H280" t="str">
            <v>1-6.4oz페인트</v>
          </cell>
          <cell r="J280" t="str">
            <v>#174-Paint 4oz GiftBoxBlue</v>
          </cell>
        </row>
        <row r="281">
          <cell r="A281">
            <v>72004175</v>
          </cell>
          <cell r="B281" t="str">
            <v>4온즈-#175-레더페인트-Lylac</v>
          </cell>
          <cell r="C281">
            <v>22000</v>
          </cell>
          <cell r="E281">
            <v>27</v>
          </cell>
          <cell r="F281">
            <v>3105</v>
          </cell>
          <cell r="G281" t="str">
            <v>엔젤러스</v>
          </cell>
          <cell r="H281" t="str">
            <v>1-6.4oz페인트</v>
          </cell>
          <cell r="J281" t="str">
            <v>#175-Paint 4oz Lylac</v>
          </cell>
        </row>
        <row r="282">
          <cell r="A282">
            <v>72004176</v>
          </cell>
          <cell r="B282" t="str">
            <v>4온즈-#176-레더페인트-PaleBlue</v>
          </cell>
          <cell r="C282">
            <v>22000</v>
          </cell>
          <cell r="E282">
            <v>27</v>
          </cell>
          <cell r="F282">
            <v>3105</v>
          </cell>
          <cell r="G282" t="str">
            <v>엔젤러스</v>
          </cell>
          <cell r="H282" t="str">
            <v>1-6.4oz페인트</v>
          </cell>
          <cell r="J282" t="str">
            <v>#176-Paint 4oz PaleBlue</v>
          </cell>
        </row>
        <row r="283">
          <cell r="A283">
            <v>72004177</v>
          </cell>
          <cell r="B283" t="str">
            <v>4온즈-#177-레더페인트-Sapphire</v>
          </cell>
          <cell r="C283">
            <v>22000</v>
          </cell>
          <cell r="E283">
            <v>27</v>
          </cell>
          <cell r="F283">
            <v>3105</v>
          </cell>
          <cell r="G283" t="str">
            <v>엔젤러스</v>
          </cell>
          <cell r="H283" t="str">
            <v>1-6.4oz페인트</v>
          </cell>
          <cell r="J283" t="str">
            <v>#177-Paint 4oz Sapphire</v>
          </cell>
        </row>
        <row r="284">
          <cell r="A284">
            <v>72004178</v>
          </cell>
          <cell r="B284" t="str">
            <v>4온즈-#178-레더페인트-Violet</v>
          </cell>
          <cell r="C284">
            <v>22000</v>
          </cell>
          <cell r="E284">
            <v>27</v>
          </cell>
          <cell r="F284">
            <v>3105</v>
          </cell>
          <cell r="G284" t="str">
            <v>엔젤러스</v>
          </cell>
          <cell r="H284" t="str">
            <v>1-6.4oz페인트</v>
          </cell>
          <cell r="J284" t="str">
            <v>#178-Paint 4oz Violet</v>
          </cell>
        </row>
        <row r="285">
          <cell r="A285">
            <v>72004179</v>
          </cell>
          <cell r="B285" t="str">
            <v>4온즈-#179-레더페인트-DarkBlue</v>
          </cell>
          <cell r="C285">
            <v>22000</v>
          </cell>
          <cell r="E285">
            <v>27</v>
          </cell>
          <cell r="F285">
            <v>3105</v>
          </cell>
          <cell r="G285" t="str">
            <v>엔젤러스</v>
          </cell>
          <cell r="H285" t="str">
            <v>1-6.4oz페인트</v>
          </cell>
          <cell r="J285" t="str">
            <v>#179-Paint 4oz DarkBlue</v>
          </cell>
        </row>
        <row r="286">
          <cell r="A286">
            <v>72004180</v>
          </cell>
          <cell r="B286" t="str">
            <v>4온즈-#180-레더페인트-Cognac</v>
          </cell>
          <cell r="C286">
            <v>22000</v>
          </cell>
          <cell r="E286">
            <v>27</v>
          </cell>
          <cell r="F286">
            <v>3105</v>
          </cell>
          <cell r="G286" t="str">
            <v>엔젤러스</v>
          </cell>
          <cell r="H286" t="str">
            <v>1-6.4oz페인트</v>
          </cell>
          <cell r="J286" t="str">
            <v>#180-Paint 4oz Cognac</v>
          </cell>
        </row>
        <row r="287">
          <cell r="A287">
            <v>72004181</v>
          </cell>
          <cell r="B287" t="str">
            <v>4온즈-#181-레더페인트-RichBrown</v>
          </cell>
          <cell r="C287">
            <v>22000</v>
          </cell>
          <cell r="E287">
            <v>27</v>
          </cell>
          <cell r="F287">
            <v>3105</v>
          </cell>
          <cell r="G287" t="str">
            <v>엔젤러스</v>
          </cell>
          <cell r="H287" t="str">
            <v>1-6.4oz페인트</v>
          </cell>
          <cell r="J287" t="str">
            <v>#181-Paint 4oz RichBrown</v>
          </cell>
        </row>
        <row r="288">
          <cell r="A288">
            <v>72004182</v>
          </cell>
          <cell r="B288" t="str">
            <v>4온즈-#182-레더페인트-Sand</v>
          </cell>
          <cell r="C288">
            <v>22000</v>
          </cell>
          <cell r="E288">
            <v>27</v>
          </cell>
          <cell r="F288">
            <v>3105</v>
          </cell>
          <cell r="G288" t="str">
            <v>엔젤러스</v>
          </cell>
          <cell r="H288" t="str">
            <v>1-6.4oz페인트</v>
          </cell>
          <cell r="J288" t="str">
            <v>#182-Paint 4oz Sand</v>
          </cell>
        </row>
        <row r="289">
          <cell r="A289">
            <v>72004183</v>
          </cell>
          <cell r="B289" t="str">
            <v>4온즈-#183-레더페인트-TerraCottaRed</v>
          </cell>
          <cell r="C289">
            <v>22000</v>
          </cell>
          <cell r="E289">
            <v>27</v>
          </cell>
          <cell r="F289">
            <v>3105</v>
          </cell>
          <cell r="G289" t="str">
            <v>엔젤러스</v>
          </cell>
          <cell r="H289" t="str">
            <v>1-6.4oz페인트</v>
          </cell>
          <cell r="J289" t="str">
            <v>#183-Paint 4oz TerraCottaRed</v>
          </cell>
        </row>
        <row r="290">
          <cell r="A290">
            <v>72004184</v>
          </cell>
          <cell r="B290" t="str">
            <v>4온즈-#184-레더페인트-AutumnRed</v>
          </cell>
          <cell r="C290">
            <v>22000</v>
          </cell>
          <cell r="E290">
            <v>27</v>
          </cell>
          <cell r="F290">
            <v>3105</v>
          </cell>
          <cell r="G290" t="str">
            <v>엔젤러스</v>
          </cell>
          <cell r="H290" t="str">
            <v>1-6.4oz페인트</v>
          </cell>
          <cell r="J290" t="str">
            <v>#184-Paint 4oz AutumnRed</v>
          </cell>
        </row>
        <row r="291">
          <cell r="A291">
            <v>72004185</v>
          </cell>
          <cell r="B291" t="str">
            <v>4온즈-#185-레더페인트-FireRed</v>
          </cell>
          <cell r="C291">
            <v>22000</v>
          </cell>
          <cell r="E291">
            <v>27</v>
          </cell>
          <cell r="F291">
            <v>3105</v>
          </cell>
          <cell r="G291" t="str">
            <v>엔젤러스</v>
          </cell>
          <cell r="H291" t="str">
            <v>1-6.4oz페인트</v>
          </cell>
          <cell r="J291" t="str">
            <v>#185-Paint 4oz FireRed</v>
          </cell>
        </row>
        <row r="292">
          <cell r="A292">
            <v>72004186</v>
          </cell>
          <cell r="B292" t="str">
            <v>4온즈-#186-레더페인트-HotPink</v>
          </cell>
          <cell r="C292">
            <v>22000</v>
          </cell>
          <cell r="E292">
            <v>27</v>
          </cell>
          <cell r="F292">
            <v>3105</v>
          </cell>
          <cell r="G292" t="str">
            <v>엔젤러스</v>
          </cell>
          <cell r="H292" t="str">
            <v>1-6.4oz페인트</v>
          </cell>
          <cell r="J292" t="str">
            <v>#186-Paint 4oz HotPink</v>
          </cell>
        </row>
        <row r="293">
          <cell r="A293">
            <v>72004187</v>
          </cell>
          <cell r="B293" t="str">
            <v>4온즈-#187-레더페인트-Magenta</v>
          </cell>
          <cell r="C293">
            <v>22000</v>
          </cell>
          <cell r="E293">
            <v>27</v>
          </cell>
          <cell r="F293">
            <v>3105</v>
          </cell>
          <cell r="G293" t="str">
            <v>엔젤러스</v>
          </cell>
          <cell r="H293" t="str">
            <v>1-6.4oz페인트</v>
          </cell>
          <cell r="J293" t="str">
            <v>#187-Paint 4oz Magenta</v>
          </cell>
        </row>
        <row r="294">
          <cell r="A294">
            <v>72004188</v>
          </cell>
          <cell r="B294" t="str">
            <v>4온즈-#188-레더페인트-Pink</v>
          </cell>
          <cell r="C294">
            <v>22000</v>
          </cell>
          <cell r="E294">
            <v>27</v>
          </cell>
          <cell r="F294">
            <v>3105</v>
          </cell>
          <cell r="G294" t="str">
            <v>엔젤러스</v>
          </cell>
          <cell r="H294" t="str">
            <v>1-6.4oz페인트</v>
          </cell>
          <cell r="J294" t="str">
            <v>#188-Paint 4oz Pink</v>
          </cell>
        </row>
        <row r="295">
          <cell r="A295">
            <v>72004189</v>
          </cell>
          <cell r="B295" t="str">
            <v>4온즈-#189-레더페인트-Petal Pink</v>
          </cell>
          <cell r="C295">
            <v>22000</v>
          </cell>
          <cell r="E295">
            <v>27</v>
          </cell>
          <cell r="F295">
            <v>3105</v>
          </cell>
          <cell r="G295" t="str">
            <v>엔젤러스</v>
          </cell>
          <cell r="H295" t="str">
            <v>1-6.4oz페인트</v>
          </cell>
          <cell r="J295" t="str">
            <v>#189-Paint 4oz Petal Pink</v>
          </cell>
        </row>
        <row r="296">
          <cell r="A296">
            <v>72004190</v>
          </cell>
          <cell r="B296" t="str">
            <v>4온즈-#190-레더페인트-ScaletRed</v>
          </cell>
          <cell r="C296">
            <v>22000</v>
          </cell>
          <cell r="E296">
            <v>27</v>
          </cell>
          <cell r="F296">
            <v>3105</v>
          </cell>
          <cell r="G296" t="str">
            <v>엔젤러스</v>
          </cell>
          <cell r="H296" t="str">
            <v>1-6.4oz페인트</v>
          </cell>
          <cell r="J296" t="str">
            <v>#190-Paint 4oz ScaletRed</v>
          </cell>
        </row>
        <row r="297">
          <cell r="A297">
            <v>72004191</v>
          </cell>
          <cell r="B297" t="str">
            <v>4온즈-#191-레더페인트-Shell Pink</v>
          </cell>
          <cell r="C297">
            <v>22000</v>
          </cell>
          <cell r="E297">
            <v>27</v>
          </cell>
          <cell r="F297">
            <v>3105</v>
          </cell>
          <cell r="G297" t="str">
            <v>엔젤러스</v>
          </cell>
          <cell r="H297" t="str">
            <v>1-6.4oz페인트</v>
          </cell>
          <cell r="J297" t="str">
            <v>#191-Paint 4oz Shell Pink</v>
          </cell>
        </row>
        <row r="298">
          <cell r="A298">
            <v>72004194</v>
          </cell>
          <cell r="B298" t="str">
            <v>4온즈-#194-레더페인트-Caramel</v>
          </cell>
          <cell r="C298">
            <v>22000</v>
          </cell>
          <cell r="E298">
            <v>27</v>
          </cell>
          <cell r="F298">
            <v>3105</v>
          </cell>
          <cell r="G298" t="str">
            <v>엔젤러스</v>
          </cell>
          <cell r="H298" t="str">
            <v>1-6.4oz페인트</v>
          </cell>
          <cell r="J298" t="str">
            <v>#194-Paint 4oz Caramel</v>
          </cell>
        </row>
        <row r="299">
          <cell r="A299">
            <v>72004196</v>
          </cell>
          <cell r="B299" t="str">
            <v>4온즈-#196-레더페인트-Mustard</v>
          </cell>
          <cell r="C299">
            <v>22000</v>
          </cell>
          <cell r="E299">
            <v>27</v>
          </cell>
          <cell r="F299">
            <v>3105</v>
          </cell>
          <cell r="G299" t="str">
            <v>엔젤러스</v>
          </cell>
          <cell r="H299" t="str">
            <v>1-6.4oz페인트</v>
          </cell>
          <cell r="J299" t="str">
            <v>#196-Paint 4oz Mustard</v>
          </cell>
        </row>
        <row r="300">
          <cell r="A300">
            <v>72004197</v>
          </cell>
          <cell r="B300" t="str">
            <v>4온즈-#197-레더페인트-PaleYellow</v>
          </cell>
          <cell r="C300">
            <v>22000</v>
          </cell>
          <cell r="E300">
            <v>27</v>
          </cell>
          <cell r="F300">
            <v>3105</v>
          </cell>
          <cell r="G300" t="str">
            <v>엔젤러스</v>
          </cell>
          <cell r="H300" t="str">
            <v>1-6.4oz페인트</v>
          </cell>
          <cell r="J300" t="str">
            <v>#197-Paint 4oz PaleYellow</v>
          </cell>
        </row>
        <row r="301">
          <cell r="A301">
            <v>72004198</v>
          </cell>
          <cell r="B301" t="str">
            <v>4온즈-#198-레더페인트-Buttercup</v>
          </cell>
          <cell r="C301">
            <v>22000</v>
          </cell>
          <cell r="E301">
            <v>27</v>
          </cell>
          <cell r="F301">
            <v>3105</v>
          </cell>
          <cell r="G301" t="str">
            <v>엔젤러스</v>
          </cell>
          <cell r="H301" t="str">
            <v>1-6.4oz페인트</v>
          </cell>
          <cell r="J301" t="str">
            <v>#198-Paint 4ozButtercup</v>
          </cell>
        </row>
        <row r="302">
          <cell r="A302">
            <v>72004260</v>
          </cell>
          <cell r="B302" t="str">
            <v>4온즈-#260-레더페인트-Chili Red</v>
          </cell>
          <cell r="C302">
            <v>22000</v>
          </cell>
          <cell r="E302">
            <v>27</v>
          </cell>
          <cell r="F302">
            <v>3105</v>
          </cell>
          <cell r="G302" t="str">
            <v>엔젤러스</v>
          </cell>
          <cell r="H302" t="str">
            <v>1-6.4oz페인트</v>
          </cell>
          <cell r="J302" t="str">
            <v>#260-Paint 4oz Chili Red</v>
          </cell>
        </row>
        <row r="303">
          <cell r="A303">
            <v>72004261</v>
          </cell>
          <cell r="B303" t="str">
            <v>4온즈-#261-레더페인트-South Beach</v>
          </cell>
          <cell r="C303">
            <v>22000</v>
          </cell>
          <cell r="E303">
            <v>27</v>
          </cell>
          <cell r="F303">
            <v>3105</v>
          </cell>
          <cell r="G303" t="str">
            <v>엔젤러스</v>
          </cell>
          <cell r="H303" t="str">
            <v>1-6.4oz페인트</v>
          </cell>
          <cell r="J303" t="str">
            <v>#261-Paint 4oz South Beach</v>
          </cell>
        </row>
        <row r="304">
          <cell r="A304">
            <v>72004262</v>
          </cell>
          <cell r="B304" t="str">
            <v>4온즈-#262-레더페인트-Play in the Sand</v>
          </cell>
          <cell r="C304">
            <v>22000</v>
          </cell>
          <cell r="E304">
            <v>27</v>
          </cell>
          <cell r="F304">
            <v>3105</v>
          </cell>
          <cell r="G304" t="str">
            <v>엔젤러스</v>
          </cell>
          <cell r="H304" t="str">
            <v>1-6.4oz페인트</v>
          </cell>
          <cell r="J304" t="str">
            <v>#262-Paint 4oz Play in the Sand</v>
          </cell>
        </row>
        <row r="305">
          <cell r="A305">
            <v>72004263</v>
          </cell>
          <cell r="B305" t="str">
            <v>4온즈-#263-레더페인트-Grinch Green</v>
          </cell>
          <cell r="C305">
            <v>22000</v>
          </cell>
          <cell r="E305">
            <v>27</v>
          </cell>
          <cell r="F305">
            <v>3105</v>
          </cell>
          <cell r="G305" t="str">
            <v>엔젤러스</v>
          </cell>
          <cell r="H305" t="str">
            <v>1-6.4oz페인트</v>
          </cell>
          <cell r="J305" t="str">
            <v>#263-Paint 4oz Grinch Green</v>
          </cell>
        </row>
        <row r="306">
          <cell r="A306">
            <v>72004264</v>
          </cell>
          <cell r="B306" t="str">
            <v>4온즈-#264-레더페인트-Putty</v>
          </cell>
          <cell r="C306">
            <v>22000</v>
          </cell>
          <cell r="E306">
            <v>27</v>
          </cell>
          <cell r="F306">
            <v>3105</v>
          </cell>
          <cell r="G306" t="str">
            <v>엔젤러스</v>
          </cell>
          <cell r="H306" t="str">
            <v>1-6.4oz페인트</v>
          </cell>
          <cell r="J306" t="str">
            <v>#264-Paint 4oz Putty</v>
          </cell>
        </row>
        <row r="307">
          <cell r="A307">
            <v>72004265</v>
          </cell>
          <cell r="B307" t="str">
            <v>4온즈-#265-레더페인트-Tangerine</v>
          </cell>
          <cell r="C307">
            <v>22000</v>
          </cell>
          <cell r="E307">
            <v>27</v>
          </cell>
          <cell r="F307">
            <v>3105</v>
          </cell>
          <cell r="G307" t="str">
            <v>엔젤러스</v>
          </cell>
          <cell r="H307" t="str">
            <v>1-6.4oz페인트</v>
          </cell>
          <cell r="J307" t="str">
            <v>#265-Paint 4oz Tangerine</v>
          </cell>
        </row>
        <row r="308">
          <cell r="A308">
            <v>72004266</v>
          </cell>
          <cell r="B308" t="str">
            <v>4온즈-#266-레더페인트-Georgia Peach</v>
          </cell>
          <cell r="C308">
            <v>22000</v>
          </cell>
          <cell r="E308">
            <v>27</v>
          </cell>
          <cell r="F308">
            <v>3105</v>
          </cell>
          <cell r="G308" t="str">
            <v>엔젤러스</v>
          </cell>
          <cell r="H308" t="str">
            <v>1-6.4oz페인트</v>
          </cell>
          <cell r="J308" t="str">
            <v>#266-Paint 4oz Georgia Peach</v>
          </cell>
        </row>
        <row r="309">
          <cell r="A309">
            <v>72004267</v>
          </cell>
          <cell r="B309" t="str">
            <v>4온즈-#267-레더페인트-Salmon</v>
          </cell>
          <cell r="C309">
            <v>22000</v>
          </cell>
          <cell r="E309">
            <v>27</v>
          </cell>
          <cell r="F309">
            <v>3105</v>
          </cell>
          <cell r="G309" t="str">
            <v>엔젤러스</v>
          </cell>
          <cell r="H309" t="str">
            <v>1-6.4oz페인트</v>
          </cell>
          <cell r="J309" t="str">
            <v>#267-Paint 4oz Salmon</v>
          </cell>
        </row>
        <row r="310">
          <cell r="A310">
            <v>72004268</v>
          </cell>
          <cell r="B310" t="str">
            <v>4온즈-#268-레더페인트-Rasberry</v>
          </cell>
          <cell r="C310">
            <v>22000</v>
          </cell>
          <cell r="E310">
            <v>27</v>
          </cell>
          <cell r="F310">
            <v>3105</v>
          </cell>
          <cell r="G310" t="str">
            <v>엔젤러스</v>
          </cell>
          <cell r="H310" t="str">
            <v>1-6.4oz페인트</v>
          </cell>
          <cell r="J310" t="str">
            <v>#268-Paint 4oz Rasberry</v>
          </cell>
        </row>
        <row r="311">
          <cell r="A311">
            <v>72004269</v>
          </cell>
          <cell r="B311" t="str">
            <v>4온즈-#269-레더페인트-Mint</v>
          </cell>
          <cell r="C311">
            <v>22000</v>
          </cell>
          <cell r="E311">
            <v>27</v>
          </cell>
          <cell r="F311">
            <v>3105</v>
          </cell>
          <cell r="G311" t="str">
            <v>엔젤러스</v>
          </cell>
          <cell r="H311" t="str">
            <v>1-6.4oz페인트</v>
          </cell>
          <cell r="J311" t="str">
            <v>#269-Paint 4oz Mint</v>
          </cell>
        </row>
        <row r="312">
          <cell r="A312">
            <v>72004270</v>
          </cell>
          <cell r="B312" t="str">
            <v>4온즈-#270-레더페인트-Vachetta</v>
          </cell>
          <cell r="C312">
            <v>22000</v>
          </cell>
          <cell r="E312">
            <v>27</v>
          </cell>
          <cell r="F312">
            <v>3105</v>
          </cell>
          <cell r="G312" t="str">
            <v>엔젤러스</v>
          </cell>
          <cell r="H312" t="str">
            <v>1-6.4oz페인트</v>
          </cell>
          <cell r="J312" t="str">
            <v>#270-Paint 4oz Vachetta</v>
          </cell>
        </row>
        <row r="313">
          <cell r="A313">
            <v>72004272</v>
          </cell>
          <cell r="B313" t="str">
            <v>4온즈-#272-레더페인트-Olive</v>
          </cell>
          <cell r="C313">
            <v>22000</v>
          </cell>
          <cell r="E313">
            <v>27</v>
          </cell>
          <cell r="F313">
            <v>3105</v>
          </cell>
          <cell r="G313" t="str">
            <v>엔젤러스</v>
          </cell>
          <cell r="H313" t="str">
            <v>1-6.4oz페인트</v>
          </cell>
          <cell r="J313" t="str">
            <v>#272-Paint 4oz Olive</v>
          </cell>
        </row>
        <row r="314">
          <cell r="A314">
            <v>72004273</v>
          </cell>
          <cell r="B314" t="str">
            <v>4온즈-#273-레더페인트-Bowler Brown</v>
          </cell>
          <cell r="C314">
            <v>22000</v>
          </cell>
          <cell r="E314">
            <v>27</v>
          </cell>
          <cell r="F314">
            <v>3105</v>
          </cell>
          <cell r="G314" t="str">
            <v>엔젤러스</v>
          </cell>
          <cell r="H314" t="str">
            <v>1-6.4oz페인트</v>
          </cell>
          <cell r="J314" t="str">
            <v>#273-Paint 4oz Bowler Brown</v>
          </cell>
        </row>
        <row r="315">
          <cell r="A315">
            <v>72004274</v>
          </cell>
          <cell r="B315" t="str">
            <v>4온즈-#274-레더페인트-Luggage Brown</v>
          </cell>
          <cell r="C315">
            <v>22000</v>
          </cell>
          <cell r="E315">
            <v>27</v>
          </cell>
          <cell r="F315">
            <v>3105</v>
          </cell>
          <cell r="G315" t="str">
            <v>엔젤러스</v>
          </cell>
          <cell r="H315" t="str">
            <v>1-6.4oz페인트</v>
          </cell>
          <cell r="J315" t="str">
            <v>#274-Paint 4oz Luggage Brown</v>
          </cell>
        </row>
        <row r="316">
          <cell r="A316">
            <v>72004275</v>
          </cell>
          <cell r="B316" t="str">
            <v>4온즈-#275-레더페인트-Satchel Tan</v>
          </cell>
          <cell r="C316">
            <v>22000</v>
          </cell>
          <cell r="E316">
            <v>27</v>
          </cell>
          <cell r="F316">
            <v>3105</v>
          </cell>
          <cell r="G316" t="str">
            <v>엔젤러스</v>
          </cell>
          <cell r="H316" t="str">
            <v>1-6.4oz페인트</v>
          </cell>
          <cell r="J316" t="str">
            <v>#275-Paint 4oz Satchel Tan</v>
          </cell>
        </row>
        <row r="317">
          <cell r="A317">
            <v>73304451</v>
          </cell>
          <cell r="B317" t="str">
            <v>[펄레슨트]4온즈-#451-Riot Red</v>
          </cell>
          <cell r="C317">
            <v>22000</v>
          </cell>
          <cell r="E317">
            <v>32</v>
          </cell>
          <cell r="F317">
            <v>3679.9999999999995</v>
          </cell>
          <cell r="G317" t="str">
            <v>엔젤러스</v>
          </cell>
          <cell r="H317" t="str">
            <v>1-6.4oz페인트</v>
          </cell>
          <cell r="J317" t="str">
            <v>#451-Riot Red 4oz</v>
          </cell>
        </row>
        <row r="318">
          <cell r="A318">
            <v>73304452</v>
          </cell>
          <cell r="B318" t="str">
            <v>[펄레슨트]4온즈-#452-Pacific Blue</v>
          </cell>
          <cell r="C318">
            <v>22000</v>
          </cell>
          <cell r="E318">
            <v>32</v>
          </cell>
          <cell r="F318">
            <v>3679.9999999999995</v>
          </cell>
          <cell r="G318" t="str">
            <v>엔젤러스</v>
          </cell>
          <cell r="H318" t="str">
            <v>1-6.4oz페인트</v>
          </cell>
          <cell r="J318" t="str">
            <v>#452-Pacific Blue 4oz</v>
          </cell>
        </row>
        <row r="319">
          <cell r="A319">
            <v>73304453</v>
          </cell>
          <cell r="B319" t="str">
            <v>[펄레슨트]4온즈-#453-Prince Purple</v>
          </cell>
          <cell r="C319">
            <v>22000</v>
          </cell>
          <cell r="E319">
            <v>32</v>
          </cell>
          <cell r="F319">
            <v>3679.9999999999995</v>
          </cell>
          <cell r="G319" t="str">
            <v>엔젤러스</v>
          </cell>
          <cell r="H319" t="str">
            <v>1-6.4oz페인트</v>
          </cell>
          <cell r="J319" t="str">
            <v>#453-Prince Purple 4oz</v>
          </cell>
        </row>
        <row r="320">
          <cell r="A320">
            <v>73304454</v>
          </cell>
          <cell r="B320" t="str">
            <v>[펄레슨트]4온즈-#454-Sterling Silver</v>
          </cell>
          <cell r="C320">
            <v>22000</v>
          </cell>
          <cell r="E320">
            <v>32</v>
          </cell>
          <cell r="F320">
            <v>3679.9999999999995</v>
          </cell>
          <cell r="G320" t="str">
            <v>엔젤러스</v>
          </cell>
          <cell r="H320" t="str">
            <v>1-6.4oz페인트</v>
          </cell>
          <cell r="J320" t="str">
            <v>#454-Sterling Silver 4oz</v>
          </cell>
        </row>
        <row r="321">
          <cell r="A321">
            <v>73304455</v>
          </cell>
          <cell r="B321" t="str">
            <v>[펄레슨트]4온즈-#455-18K Gold</v>
          </cell>
          <cell r="C321">
            <v>22000</v>
          </cell>
          <cell r="E321">
            <v>32</v>
          </cell>
          <cell r="F321">
            <v>3679.9999999999995</v>
          </cell>
          <cell r="G321" t="str">
            <v>엔젤러스</v>
          </cell>
          <cell r="H321" t="str">
            <v>1-6.4oz페인트</v>
          </cell>
          <cell r="J321" t="str">
            <v>#455-18K Gold 4oz</v>
          </cell>
        </row>
        <row r="322">
          <cell r="A322">
            <v>73304456</v>
          </cell>
          <cell r="B322" t="str">
            <v>[펄레슨트]4온즈-#456-Rose Gold</v>
          </cell>
          <cell r="C322">
            <v>22000</v>
          </cell>
          <cell r="E322">
            <v>32</v>
          </cell>
          <cell r="F322">
            <v>3679.9999999999995</v>
          </cell>
          <cell r="G322" t="str">
            <v>엔젤러스</v>
          </cell>
          <cell r="H322" t="str">
            <v>1-6.4oz페인트</v>
          </cell>
          <cell r="J322" t="str">
            <v>#456-Rose Gold 4oz</v>
          </cell>
        </row>
        <row r="323">
          <cell r="A323">
            <v>73304457</v>
          </cell>
          <cell r="B323" t="str">
            <v>[펄레슨트]4온즈-#457-Emerald Green</v>
          </cell>
          <cell r="C323">
            <v>22000</v>
          </cell>
          <cell r="E323">
            <v>32</v>
          </cell>
          <cell r="F323">
            <v>3679.9999999999995</v>
          </cell>
          <cell r="G323" t="str">
            <v>엔젤러스</v>
          </cell>
          <cell r="H323" t="str">
            <v>1-6.4oz페인트</v>
          </cell>
          <cell r="J323" t="str">
            <v>#457-Emerald Green 4oz</v>
          </cell>
        </row>
        <row r="324">
          <cell r="A324">
            <v>72504120</v>
          </cell>
          <cell r="B324" t="str">
            <v>[네온페인트]4온즈-#120-Rio Red</v>
          </cell>
          <cell r="C324">
            <v>22000</v>
          </cell>
          <cell r="E324">
            <v>28</v>
          </cell>
          <cell r="F324">
            <v>3220</v>
          </cell>
          <cell r="G324" t="str">
            <v>엔젤러스</v>
          </cell>
          <cell r="H324" t="str">
            <v>1-6.4oz페인트</v>
          </cell>
          <cell r="J324" t="str">
            <v>#120-Rio Red 4oz</v>
          </cell>
        </row>
        <row r="325">
          <cell r="A325">
            <v>72504121</v>
          </cell>
          <cell r="B325" t="str">
            <v>[네온페인트]4온즈-#121-TahitianPink</v>
          </cell>
          <cell r="C325">
            <v>22000</v>
          </cell>
          <cell r="E325">
            <v>28</v>
          </cell>
          <cell r="F325">
            <v>3220</v>
          </cell>
          <cell r="G325" t="str">
            <v>엔젤러스</v>
          </cell>
          <cell r="H325" t="str">
            <v>1-6.4oz페인트</v>
          </cell>
          <cell r="J325" t="str">
            <v>#121-TahitianPink 4oz</v>
          </cell>
        </row>
        <row r="326">
          <cell r="A326">
            <v>72504122</v>
          </cell>
          <cell r="B326" t="str">
            <v>[네온페인트]4온즈-#122-JamaicanJoyPink</v>
          </cell>
          <cell r="C326">
            <v>22000</v>
          </cell>
          <cell r="E326">
            <v>28</v>
          </cell>
          <cell r="F326">
            <v>3220</v>
          </cell>
          <cell r="G326" t="str">
            <v>엔젤러스</v>
          </cell>
          <cell r="H326" t="str">
            <v>1-6.4oz페인트</v>
          </cell>
          <cell r="J326" t="str">
            <v>#122-JamaicanJoyPink 4oz</v>
          </cell>
        </row>
        <row r="327">
          <cell r="A327">
            <v>72504123</v>
          </cell>
          <cell r="B327" t="str">
            <v>[네온페인트]4온즈-#123-ParisianPink</v>
          </cell>
          <cell r="C327">
            <v>22000</v>
          </cell>
          <cell r="E327">
            <v>28</v>
          </cell>
          <cell r="F327">
            <v>3220</v>
          </cell>
          <cell r="G327" t="str">
            <v>엔젤러스</v>
          </cell>
          <cell r="H327" t="str">
            <v>1-6.4oz페인트</v>
          </cell>
          <cell r="J327" t="str">
            <v>#123-ParisianPink 4oz</v>
          </cell>
        </row>
        <row r="328">
          <cell r="A328">
            <v>72504124</v>
          </cell>
          <cell r="B328" t="str">
            <v>[네온페인트]4온즈-#124-ParadisePurple</v>
          </cell>
          <cell r="C328">
            <v>22000</v>
          </cell>
          <cell r="E328">
            <v>28</v>
          </cell>
          <cell r="F328">
            <v>3220</v>
          </cell>
          <cell r="G328" t="str">
            <v>엔젤러스</v>
          </cell>
          <cell r="H328" t="str">
            <v>1-6.4oz페인트</v>
          </cell>
          <cell r="J328" t="str">
            <v>#124-ParadisePurple 4oz</v>
          </cell>
        </row>
        <row r="329">
          <cell r="A329">
            <v>72504125</v>
          </cell>
          <cell r="B329" t="str">
            <v>[네온페인트]4온즈-#125-AmazonGreen</v>
          </cell>
          <cell r="C329">
            <v>22000</v>
          </cell>
          <cell r="E329">
            <v>28</v>
          </cell>
          <cell r="F329">
            <v>3220</v>
          </cell>
          <cell r="G329" t="str">
            <v>엔젤러스</v>
          </cell>
          <cell r="H329" t="str">
            <v>1-6.4oz페인트</v>
          </cell>
          <cell r="J329" t="str">
            <v>#125-AmazonGreen 4oz</v>
          </cell>
        </row>
        <row r="330">
          <cell r="A330">
            <v>72504126</v>
          </cell>
          <cell r="B330" t="str">
            <v>[네온페인트]4온즈-#126-PlposicleGreen</v>
          </cell>
          <cell r="C330">
            <v>22000</v>
          </cell>
          <cell r="E330">
            <v>28</v>
          </cell>
          <cell r="F330">
            <v>3220</v>
          </cell>
          <cell r="G330" t="str">
            <v>엔젤러스</v>
          </cell>
          <cell r="H330" t="str">
            <v>1-6.4oz페인트</v>
          </cell>
          <cell r="J330" t="str">
            <v>#126-PlposicleGreen 4oz</v>
          </cell>
        </row>
        <row r="331">
          <cell r="A331">
            <v>72504127</v>
          </cell>
          <cell r="B331" t="str">
            <v>[네온페인트]4온즈-#127-TropicSunYellow</v>
          </cell>
          <cell r="C331">
            <v>22000</v>
          </cell>
          <cell r="E331">
            <v>28</v>
          </cell>
          <cell r="F331">
            <v>3220</v>
          </cell>
          <cell r="G331" t="str">
            <v>엔젤러스</v>
          </cell>
          <cell r="H331" t="str">
            <v>1-6.4oz페인트</v>
          </cell>
          <cell r="J331" t="str">
            <v>#127-TropicSunYellow 4oz</v>
          </cell>
        </row>
        <row r="332">
          <cell r="A332">
            <v>72504128</v>
          </cell>
          <cell r="B332" t="str">
            <v>[네온페인트]4온즈-#128-SunsetYellow</v>
          </cell>
          <cell r="C332">
            <v>22000</v>
          </cell>
          <cell r="E332">
            <v>28</v>
          </cell>
          <cell r="F332">
            <v>3220</v>
          </cell>
          <cell r="G332" t="str">
            <v>엔젤러스</v>
          </cell>
          <cell r="H332" t="str">
            <v>1-6.4oz페인트</v>
          </cell>
          <cell r="J332" t="str">
            <v>#128-SunsetYellow 4oz</v>
          </cell>
        </row>
        <row r="333">
          <cell r="A333">
            <v>72504129</v>
          </cell>
          <cell r="B333" t="str">
            <v>[네온페인트]4온즈-#129-FlamingOrange</v>
          </cell>
          <cell r="C333">
            <v>22000</v>
          </cell>
          <cell r="E333">
            <v>28</v>
          </cell>
          <cell r="F333">
            <v>3220</v>
          </cell>
          <cell r="G333" t="str">
            <v>엔젤러스</v>
          </cell>
          <cell r="H333" t="str">
            <v>1-6.4oz페인트</v>
          </cell>
          <cell r="J333" t="str">
            <v>#129-FlamingOrange 4oz</v>
          </cell>
        </row>
        <row r="334">
          <cell r="A334">
            <v>72504130</v>
          </cell>
          <cell r="B334" t="str">
            <v>[네온페인트]4온즈-#130-LavaOrange</v>
          </cell>
          <cell r="C334">
            <v>22000</v>
          </cell>
          <cell r="E334">
            <v>28</v>
          </cell>
          <cell r="F334">
            <v>3220</v>
          </cell>
          <cell r="G334" t="str">
            <v>엔젤러스</v>
          </cell>
          <cell r="H334" t="str">
            <v>1-6.4oz페인트</v>
          </cell>
          <cell r="J334" t="str">
            <v>#130-LavaOrange 4oz</v>
          </cell>
        </row>
        <row r="335">
          <cell r="A335">
            <v>72504131</v>
          </cell>
          <cell r="B335" t="str">
            <v>[네온페인트]4온즈-#131-BahamaBlue</v>
          </cell>
          <cell r="C335">
            <v>22000</v>
          </cell>
          <cell r="E335">
            <v>28</v>
          </cell>
          <cell r="F335">
            <v>3220</v>
          </cell>
          <cell r="G335" t="str">
            <v>엔젤러스</v>
          </cell>
          <cell r="H335" t="str">
            <v>1-6.4oz페인트</v>
          </cell>
          <cell r="J335" t="str">
            <v>#131-BahamaBlue 4oz</v>
          </cell>
        </row>
        <row r="337">
          <cell r="A337" t="str">
            <v>79912PKBASICSKIT</v>
          </cell>
          <cell r="B337" t="str">
            <v>베이직 키트</v>
          </cell>
          <cell r="C337">
            <v>55000</v>
          </cell>
          <cell r="E337">
            <v>145.19999999999999</v>
          </cell>
          <cell r="F337">
            <v>16698</v>
          </cell>
          <cell r="G337" t="str">
            <v>엔젤러스</v>
          </cell>
          <cell r="H337" t="str">
            <v>16.기타</v>
          </cell>
          <cell r="J337" t="str">
            <v>12 Pack - Angelus Leather Paint Basics Kit</v>
          </cell>
        </row>
        <row r="338">
          <cell r="A338">
            <v>82004000</v>
          </cell>
          <cell r="B338" t="str">
            <v>디글레이저 4온즈</v>
          </cell>
          <cell r="C338">
            <v>9000</v>
          </cell>
          <cell r="D338" t="str">
            <v>086366820049</v>
          </cell>
          <cell r="E338">
            <v>20</v>
          </cell>
          <cell r="F338">
            <v>2300</v>
          </cell>
          <cell r="G338" t="str">
            <v>엔젤러스</v>
          </cell>
          <cell r="H338" t="str">
            <v>3-1.디글레이저</v>
          </cell>
          <cell r="J338" t="str">
            <v>Leather Preparer/Deglazer 4 oz</v>
          </cell>
        </row>
        <row r="339">
          <cell r="A339" t="str">
            <v>820PT000</v>
          </cell>
          <cell r="B339" t="str">
            <v>디글레이저 파인트</v>
          </cell>
          <cell r="C339">
            <v>18000</v>
          </cell>
          <cell r="E339">
            <v>5.7</v>
          </cell>
          <cell r="F339">
            <v>7866</v>
          </cell>
          <cell r="G339" t="str">
            <v>엔젤러스</v>
          </cell>
          <cell r="H339" t="str">
            <v>3-1.디글레이저</v>
          </cell>
          <cell r="J339" t="str">
            <v>Leather Preparer/Deglazer Pint</v>
          </cell>
        </row>
        <row r="341">
          <cell r="A341">
            <v>60004000</v>
          </cell>
          <cell r="B341" t="str">
            <v>피니셔#600 아크릴피니셔</v>
          </cell>
          <cell r="C341">
            <v>9800</v>
          </cell>
          <cell r="D341" t="str">
            <v>086366600047</v>
          </cell>
          <cell r="E341">
            <v>22.2</v>
          </cell>
          <cell r="F341">
            <v>2553</v>
          </cell>
          <cell r="G341" t="str">
            <v>엔젤러스</v>
          </cell>
          <cell r="H341" t="str">
            <v>3-2.피니셔 4oz</v>
          </cell>
          <cell r="J341" t="str">
            <v>Acrylic Finisher 4 oz</v>
          </cell>
        </row>
        <row r="342">
          <cell r="A342">
            <v>61504000</v>
          </cell>
          <cell r="B342" t="str">
            <v>피니셔#615 새틴아크릴피니셔 하이글로스</v>
          </cell>
          <cell r="C342">
            <v>9800</v>
          </cell>
          <cell r="D342" t="str">
            <v>086366615041</v>
          </cell>
          <cell r="E342">
            <v>22.2</v>
          </cell>
          <cell r="F342">
            <v>2553</v>
          </cell>
          <cell r="G342" t="str">
            <v>엔젤러스</v>
          </cell>
          <cell r="H342" t="str">
            <v>3-2.피니셔 4oz</v>
          </cell>
          <cell r="J342" t="str">
            <v>Satin Acrylic Finisher HI-GLOSS 4oz</v>
          </cell>
        </row>
        <row r="343">
          <cell r="A343">
            <v>61004000</v>
          </cell>
          <cell r="B343" t="str">
            <v>피니셔#610 아크릴피니셔 하이글로스</v>
          </cell>
          <cell r="C343">
            <v>9800</v>
          </cell>
          <cell r="D343" t="str">
            <v>086366610046</v>
          </cell>
          <cell r="E343">
            <v>22.2</v>
          </cell>
          <cell r="F343">
            <v>2553</v>
          </cell>
          <cell r="G343" t="str">
            <v>엔젤러스</v>
          </cell>
          <cell r="H343" t="str">
            <v>3-2.피니셔 4oz</v>
          </cell>
          <cell r="J343" t="str">
            <v>Acrylic Finisher HI-GLOSS 4oz</v>
          </cell>
        </row>
        <row r="344">
          <cell r="A344">
            <v>60504000</v>
          </cell>
          <cell r="B344" t="str">
            <v>피니셔#605 새틴아크릴피니셔</v>
          </cell>
          <cell r="C344">
            <v>9800</v>
          </cell>
          <cell r="D344" t="str">
            <v>086366605042</v>
          </cell>
          <cell r="E344">
            <v>22.2</v>
          </cell>
          <cell r="F344">
            <v>2553</v>
          </cell>
          <cell r="G344" t="str">
            <v>엔젤러스</v>
          </cell>
          <cell r="H344" t="str">
            <v>3-2.피니셔 4oz</v>
          </cell>
          <cell r="J344" t="str">
            <v>Satin Acrylic Finisher 4 oz</v>
          </cell>
        </row>
        <row r="345">
          <cell r="A345">
            <v>62004000</v>
          </cell>
          <cell r="B345" t="str">
            <v>피니셔#620 매트아크릴피니셔</v>
          </cell>
          <cell r="C345">
            <v>9800</v>
          </cell>
          <cell r="D345" t="str">
            <v>086366620045</v>
          </cell>
          <cell r="E345">
            <v>22.2</v>
          </cell>
          <cell r="F345">
            <v>2553</v>
          </cell>
          <cell r="G345" t="str">
            <v>엔젤러스</v>
          </cell>
          <cell r="H345" t="str">
            <v>3-2.피니셔 4oz</v>
          </cell>
          <cell r="J345" t="str">
            <v>Acrylic Finisher Matte 4 oz.</v>
          </cell>
        </row>
        <row r="347">
          <cell r="A347">
            <v>60001000</v>
          </cell>
          <cell r="B347" t="str">
            <v>피니셔1온즈#600 아크릴피니셔</v>
          </cell>
          <cell r="C347">
            <v>5800</v>
          </cell>
          <cell r="E347">
            <v>22.2</v>
          </cell>
          <cell r="F347">
            <v>2553</v>
          </cell>
          <cell r="G347" t="str">
            <v>엔젤러스</v>
          </cell>
          <cell r="H347" t="str">
            <v>3-3.피니셔 1oz</v>
          </cell>
          <cell r="J347" t="str">
            <v>Acrylic Finisher 1 oz.</v>
          </cell>
        </row>
        <row r="348">
          <cell r="A348">
            <v>61501000</v>
          </cell>
          <cell r="B348" t="str">
            <v>피니셔1온즈#615 새틴아크릴피니셔 하이글로스</v>
          </cell>
          <cell r="C348">
            <v>5800</v>
          </cell>
          <cell r="E348">
            <v>22.2</v>
          </cell>
          <cell r="F348">
            <v>2553</v>
          </cell>
          <cell r="G348" t="str">
            <v>엔젤러스</v>
          </cell>
          <cell r="H348" t="str">
            <v>3-3.피니셔 1oz</v>
          </cell>
          <cell r="J348" t="str">
            <v>Satin Hi-Gloss Acrylic Finish 1 oz.</v>
          </cell>
        </row>
        <row r="349">
          <cell r="A349">
            <v>61001000</v>
          </cell>
          <cell r="B349" t="str">
            <v>피니셔1온즈#610 아크릴피니셔 하이글로스</v>
          </cell>
          <cell r="C349">
            <v>5800</v>
          </cell>
          <cell r="E349">
            <v>22.2</v>
          </cell>
          <cell r="F349">
            <v>2553</v>
          </cell>
          <cell r="G349" t="str">
            <v>엔젤러스</v>
          </cell>
          <cell r="H349" t="str">
            <v>3-3.피니셔 1oz</v>
          </cell>
          <cell r="J349" t="str">
            <v>High Gloss Acrylic Finisher 1oz.</v>
          </cell>
        </row>
        <row r="350">
          <cell r="A350">
            <v>60501000</v>
          </cell>
          <cell r="B350" t="str">
            <v>피니셔1온즈#605 새틴아크릴피니셔</v>
          </cell>
          <cell r="C350">
            <v>5800</v>
          </cell>
          <cell r="E350">
            <v>22.2</v>
          </cell>
          <cell r="F350">
            <v>2553</v>
          </cell>
          <cell r="G350" t="str">
            <v>엔젤러스</v>
          </cell>
          <cell r="H350" t="str">
            <v>3-3.피니셔 1oz</v>
          </cell>
          <cell r="J350" t="str">
            <v>Satin Acrylic Finisher 1 oz</v>
          </cell>
        </row>
        <row r="351">
          <cell r="A351">
            <v>62001000</v>
          </cell>
          <cell r="B351" t="str">
            <v>피니셔1온즈#620 매트아크릴피니셔</v>
          </cell>
          <cell r="C351">
            <v>5800</v>
          </cell>
          <cell r="E351">
            <v>22.2</v>
          </cell>
          <cell r="F351">
            <v>2553</v>
          </cell>
          <cell r="G351" t="str">
            <v>엔젤러스</v>
          </cell>
          <cell r="H351" t="str">
            <v>3-3.피니셔 1oz</v>
          </cell>
          <cell r="J351" t="str">
            <v>Matte Acrylic Finisher 1 oz.</v>
          </cell>
        </row>
        <row r="353">
          <cell r="A353" t="str">
            <v>720QT050</v>
          </cell>
          <cell r="B353" t="str">
            <v>#150-Acrylic Leather Paint SILVER</v>
          </cell>
          <cell r="C353">
            <v>36000</v>
          </cell>
        </row>
        <row r="354">
          <cell r="A354" t="str">
            <v>720GL196</v>
          </cell>
          <cell r="B354" t="str">
            <v>#196-Acrylic Leather Paint Mustard</v>
          </cell>
          <cell r="C354">
            <v>110000</v>
          </cell>
        </row>
        <row r="357">
          <cell r="A357">
            <v>84008000</v>
          </cell>
          <cell r="B357" t="str">
            <v>이지클리너 8온즈</v>
          </cell>
          <cell r="C357">
            <v>12000</v>
          </cell>
          <cell r="D357" t="str">
            <v>086366840009</v>
          </cell>
          <cell r="E357">
            <v>19.2</v>
          </cell>
          <cell r="F357">
            <v>2207.9999999999995</v>
          </cell>
          <cell r="G357" t="str">
            <v>엔젤러스</v>
          </cell>
          <cell r="H357" t="str">
            <v>4-1.클리너</v>
          </cell>
          <cell r="J357" t="str">
            <v>Easy Cleaner 8 oz</v>
          </cell>
        </row>
        <row r="358">
          <cell r="A358" t="str">
            <v>84008KIT</v>
          </cell>
          <cell r="B358" t="str">
            <v>이지클리너 키트</v>
          </cell>
          <cell r="C358">
            <v>22000</v>
          </cell>
          <cell r="D358" t="str">
            <v>086366840986</v>
          </cell>
          <cell r="E358">
            <v>5</v>
          </cell>
          <cell r="F358">
            <v>6900</v>
          </cell>
          <cell r="G358" t="str">
            <v>엔젤러스</v>
          </cell>
          <cell r="H358" t="str">
            <v>4-1.클리너</v>
          </cell>
          <cell r="J358" t="str">
            <v>Easy Cleaner Kit 8 oz</v>
          </cell>
        </row>
        <row r="359">
          <cell r="A359" t="str">
            <v>845WS000</v>
          </cell>
          <cell r="B359" t="str">
            <v>올퍼포스 클리너</v>
          </cell>
          <cell r="C359">
            <v>12000</v>
          </cell>
          <cell r="D359" t="str">
            <v>086366845059</v>
          </cell>
          <cell r="E359">
            <v>26</v>
          </cell>
          <cell r="F359">
            <v>2989.9999999999995</v>
          </cell>
          <cell r="G359" t="str">
            <v>엔젤러스</v>
          </cell>
          <cell r="H359" t="str">
            <v>4-1.클리너</v>
          </cell>
        </row>
        <row r="360">
          <cell r="A360">
            <v>81003000</v>
          </cell>
          <cell r="B360" t="str">
            <v>슈샴푸</v>
          </cell>
          <cell r="C360">
            <v>10000</v>
          </cell>
          <cell r="E360">
            <v>16.2</v>
          </cell>
          <cell r="F360">
            <v>1862.9999999999995</v>
          </cell>
          <cell r="G360" t="str">
            <v>엔젤러스</v>
          </cell>
          <cell r="H360" t="str">
            <v>4-1.클리너</v>
          </cell>
        </row>
        <row r="361">
          <cell r="A361">
            <v>81508000</v>
          </cell>
          <cell r="B361" t="str">
            <v>블로폼 클리너</v>
          </cell>
          <cell r="C361">
            <v>10000</v>
          </cell>
          <cell r="E361">
            <v>12.6</v>
          </cell>
          <cell r="F361">
            <v>1449</v>
          </cell>
          <cell r="G361" t="str">
            <v>엔젤러스</v>
          </cell>
          <cell r="H361" t="str">
            <v>4-1.클리너</v>
          </cell>
        </row>
        <row r="362">
          <cell r="A362">
            <v>81706000</v>
          </cell>
          <cell r="B362" t="str">
            <v>폼파우더 클리너</v>
          </cell>
          <cell r="C362">
            <v>10000</v>
          </cell>
          <cell r="E362">
            <v>33</v>
          </cell>
          <cell r="F362">
            <v>3795</v>
          </cell>
          <cell r="G362" t="str">
            <v>엔젤러스</v>
          </cell>
          <cell r="H362" t="str">
            <v>4-1.클리너</v>
          </cell>
        </row>
        <row r="363">
          <cell r="A363">
            <v>85304000</v>
          </cell>
          <cell r="B363" t="str">
            <v>디설터</v>
          </cell>
          <cell r="C363">
            <v>10000</v>
          </cell>
          <cell r="E363">
            <v>16.8</v>
          </cell>
          <cell r="F363">
            <v>1932.0000000000002</v>
          </cell>
          <cell r="G363" t="str">
            <v>엔젤러스</v>
          </cell>
          <cell r="H363" t="str">
            <v>4-1.클리너</v>
          </cell>
        </row>
        <row r="364">
          <cell r="A364">
            <v>81103000</v>
          </cell>
          <cell r="B364" t="str">
            <v>이지젤클리너</v>
          </cell>
          <cell r="C364">
            <v>10000</v>
          </cell>
          <cell r="E364">
            <v>16.8</v>
          </cell>
          <cell r="F364">
            <v>1932.0000000000002</v>
          </cell>
          <cell r="G364" t="str">
            <v>엔젤러스</v>
          </cell>
          <cell r="H364" t="str">
            <v>4-1.클리너</v>
          </cell>
        </row>
        <row r="365">
          <cell r="A365">
            <v>86104000</v>
          </cell>
          <cell r="B365" t="str">
            <v>레더다이 리듀서</v>
          </cell>
          <cell r="C365">
            <v>10000</v>
          </cell>
          <cell r="E365">
            <v>16</v>
          </cell>
          <cell r="F365">
            <v>1839.9999999999998</v>
          </cell>
          <cell r="G365" t="str">
            <v>엔젤러스</v>
          </cell>
          <cell r="H365" t="str">
            <v>4-1.클리너</v>
          </cell>
        </row>
        <row r="366">
          <cell r="A366" t="str">
            <v>8404P000</v>
          </cell>
          <cell r="B366" t="str">
            <v>Easy Cleaner 4oz</v>
          </cell>
          <cell r="C366">
            <v>7000</v>
          </cell>
          <cell r="G366" t="str">
            <v>엔젤러스</v>
          </cell>
          <cell r="H366" t="str">
            <v>4-1.클리너</v>
          </cell>
        </row>
        <row r="367">
          <cell r="A367">
            <v>84205000</v>
          </cell>
          <cell r="B367" t="str">
            <v>폼텍스 클리너 5온즈</v>
          </cell>
          <cell r="C367">
            <v>10000</v>
          </cell>
          <cell r="D367" t="str">
            <v>086366842058</v>
          </cell>
          <cell r="E367">
            <v>13.2</v>
          </cell>
          <cell r="F367">
            <v>1517.9999999999998</v>
          </cell>
          <cell r="G367" t="str">
            <v>엔젤러스</v>
          </cell>
          <cell r="H367" t="str">
            <v>4-1.클리너</v>
          </cell>
          <cell r="J367" t="str">
            <v>Foam Tex 5oz</v>
          </cell>
        </row>
        <row r="368">
          <cell r="A368" t="str">
            <v>84205KIT</v>
          </cell>
          <cell r="B368" t="str">
            <v>폼텍스 클리너키트</v>
          </cell>
          <cell r="C368">
            <v>25000</v>
          </cell>
          <cell r="D368" t="str">
            <v>086366842980</v>
          </cell>
          <cell r="E368">
            <v>6.5</v>
          </cell>
          <cell r="F368">
            <v>8970</v>
          </cell>
          <cell r="G368" t="str">
            <v>엔젤러스</v>
          </cell>
          <cell r="H368" t="str">
            <v>4-1.클리너</v>
          </cell>
          <cell r="J368" t="str">
            <v>Foam Tex Kit</v>
          </cell>
        </row>
        <row r="370">
          <cell r="A370" t="str">
            <v>851WS000</v>
          </cell>
          <cell r="B370" t="str">
            <v>워터&amp;스테인 리펠런트(방수제)</v>
          </cell>
          <cell r="C370">
            <v>12000</v>
          </cell>
          <cell r="D370" t="str">
            <v>086366851050</v>
          </cell>
          <cell r="E370">
            <v>26</v>
          </cell>
          <cell r="F370">
            <v>2989.9999999999995</v>
          </cell>
          <cell r="G370" t="str">
            <v>엔젤러스</v>
          </cell>
          <cell r="H370" t="str">
            <v>4-1.클리너</v>
          </cell>
          <cell r="J370" t="str">
            <v>Water &amp; Stain Repellant Aerosol</v>
          </cell>
        </row>
        <row r="371">
          <cell r="A371">
            <v>85205000</v>
          </cell>
          <cell r="B371" t="str">
            <v>부트스프레이</v>
          </cell>
          <cell r="C371">
            <v>14000</v>
          </cell>
          <cell r="E371">
            <v>28</v>
          </cell>
          <cell r="F371">
            <v>3220</v>
          </cell>
          <cell r="G371" t="str">
            <v>엔젤러스</v>
          </cell>
          <cell r="H371" t="str">
            <v>4-1.클리너</v>
          </cell>
          <cell r="J371" t="str">
            <v>Boot Spray 5.5 oz</v>
          </cell>
        </row>
        <row r="372">
          <cell r="A372">
            <v>85004000</v>
          </cell>
          <cell r="B372" t="str">
            <v>실리콘워터 리펠런트</v>
          </cell>
          <cell r="C372">
            <v>8000</v>
          </cell>
          <cell r="E372">
            <v>20</v>
          </cell>
          <cell r="F372">
            <v>2300</v>
          </cell>
          <cell r="G372" t="str">
            <v>엔젤러스</v>
          </cell>
          <cell r="H372" t="str">
            <v>4-1.클리너</v>
          </cell>
        </row>
        <row r="373">
          <cell r="A373" t="str">
            <v>8514P000</v>
          </cell>
          <cell r="B373" t="str">
            <v>엔젤러스 액상방수제 펌프형</v>
          </cell>
          <cell r="C373">
            <v>8000</v>
          </cell>
          <cell r="G373" t="str">
            <v>엔젤러스</v>
          </cell>
          <cell r="H373" t="str">
            <v>4-1.클리너</v>
          </cell>
        </row>
        <row r="375">
          <cell r="A375">
            <v>72201000</v>
          </cell>
          <cell r="B375" t="str">
            <v>[희석재]둘러-1온즈</v>
          </cell>
          <cell r="C375">
            <v>7800</v>
          </cell>
          <cell r="D375" t="str">
            <v>086366722107</v>
          </cell>
          <cell r="E375">
            <v>30</v>
          </cell>
          <cell r="F375">
            <v>3450</v>
          </cell>
          <cell r="G375" t="str">
            <v>엔젤러스</v>
          </cell>
          <cell r="H375" t="str">
            <v>1-7-보조재</v>
          </cell>
          <cell r="J375" t="str">
            <v>Duller 1 oz.</v>
          </cell>
        </row>
        <row r="376">
          <cell r="A376">
            <v>72204000</v>
          </cell>
          <cell r="B376" t="str">
            <v>[희석재]둘러-4온즈</v>
          </cell>
          <cell r="C376">
            <v>22000</v>
          </cell>
          <cell r="E376">
            <v>54</v>
          </cell>
          <cell r="F376">
            <v>6210</v>
          </cell>
          <cell r="G376" t="str">
            <v>엔젤러스</v>
          </cell>
          <cell r="H376" t="str">
            <v>1-7-보조재</v>
          </cell>
          <cell r="J376" t="str">
            <v>Duller 4oz</v>
          </cell>
        </row>
        <row r="377">
          <cell r="A377">
            <v>72001000</v>
          </cell>
          <cell r="B377" t="str">
            <v>[희석재]2-Thin</v>
          </cell>
          <cell r="C377">
            <v>7800</v>
          </cell>
          <cell r="D377" t="str">
            <v>086366710005</v>
          </cell>
          <cell r="E377">
            <v>16.2</v>
          </cell>
          <cell r="F377">
            <v>1862.9999999999995</v>
          </cell>
          <cell r="G377" t="str">
            <v>엔젤러스</v>
          </cell>
          <cell r="H377" t="str">
            <v>1-7-보조재</v>
          </cell>
          <cell r="J377" t="str">
            <v>2-Thin 1oz</v>
          </cell>
        </row>
        <row r="378">
          <cell r="A378">
            <v>72004000</v>
          </cell>
          <cell r="B378" t="str">
            <v>[희석재]2-Thin 4oz</v>
          </cell>
          <cell r="C378">
            <v>22000</v>
          </cell>
          <cell r="E378">
            <v>27</v>
          </cell>
          <cell r="F378">
            <v>3105</v>
          </cell>
          <cell r="G378" t="str">
            <v>엔젤러스</v>
          </cell>
          <cell r="H378" t="str">
            <v>1-7-보조재</v>
          </cell>
          <cell r="J378" t="str">
            <v>2-Thin 4oz</v>
          </cell>
        </row>
        <row r="379">
          <cell r="A379" t="str">
            <v>720PT000</v>
          </cell>
          <cell r="B379" t="str">
            <v>[희석재]2-Thin Pint</v>
          </cell>
          <cell r="C379">
            <v>44000</v>
          </cell>
          <cell r="E379">
            <v>8.1999999999999993</v>
          </cell>
          <cell r="F379">
            <v>11316</v>
          </cell>
          <cell r="G379" t="str">
            <v>엔젤러스</v>
          </cell>
          <cell r="H379" t="str">
            <v>1-7-보조재</v>
          </cell>
          <cell r="J379" t="str">
            <v>2-Thin Pint</v>
          </cell>
        </row>
        <row r="380">
          <cell r="A380" t="str">
            <v>720QT000</v>
          </cell>
          <cell r="B380" t="str">
            <v>[희석재]2-Thin Quart</v>
          </cell>
          <cell r="C380">
            <v>72727.272727272721</v>
          </cell>
          <cell r="E380">
            <v>12.4</v>
          </cell>
          <cell r="F380">
            <v>1426.0000000000002</v>
          </cell>
          <cell r="G380" t="str">
            <v>엔젤러스</v>
          </cell>
          <cell r="H380" t="str">
            <v>1-7-보조재</v>
          </cell>
          <cell r="J380" t="str">
            <v>2-Thin Quart</v>
          </cell>
        </row>
        <row r="381">
          <cell r="A381" t="str">
            <v>72201000soft</v>
          </cell>
          <cell r="B381" t="str">
            <v>[희석재]2-소프트 1온즈</v>
          </cell>
          <cell r="C381">
            <v>7800</v>
          </cell>
          <cell r="D381" t="str">
            <v>086366722145</v>
          </cell>
          <cell r="E381">
            <v>20.399999999999999</v>
          </cell>
          <cell r="F381">
            <v>2346</v>
          </cell>
          <cell r="G381" t="str">
            <v>엔젤러스</v>
          </cell>
          <cell r="H381" t="str">
            <v>1-7-보조재</v>
          </cell>
          <cell r="J381" t="str">
            <v>2-Soft Fabric Medium 1 oz.</v>
          </cell>
        </row>
        <row r="382">
          <cell r="A382" t="str">
            <v>72204000soft</v>
          </cell>
          <cell r="B382" t="str">
            <v>[희석재]2-소프트 4온즈</v>
          </cell>
          <cell r="C382">
            <v>22000</v>
          </cell>
          <cell r="D382" t="str">
            <v>086366722152</v>
          </cell>
          <cell r="E382">
            <v>40.799999999999997</v>
          </cell>
          <cell r="F382">
            <v>4692</v>
          </cell>
          <cell r="G382" t="str">
            <v>엔젤러스</v>
          </cell>
          <cell r="H382" t="str">
            <v>1-7-보조재</v>
          </cell>
          <cell r="J382" t="str">
            <v>2-Soft Fabric Medium 4 oz.</v>
          </cell>
        </row>
        <row r="383">
          <cell r="A383" t="str">
            <v>72201000hard</v>
          </cell>
          <cell r="B383" t="str">
            <v>[희석재]2-하드 1온즈</v>
          </cell>
          <cell r="C383">
            <v>7800</v>
          </cell>
          <cell r="D383" t="str">
            <v>086366722121</v>
          </cell>
          <cell r="E383">
            <v>20.399999999999999</v>
          </cell>
          <cell r="F383">
            <v>2346</v>
          </cell>
          <cell r="G383" t="str">
            <v>엔젤러스</v>
          </cell>
          <cell r="H383" t="str">
            <v>1-7-보조재</v>
          </cell>
          <cell r="J383" t="str">
            <v>2-Hard Film Hardener 1 oz.</v>
          </cell>
        </row>
        <row r="384">
          <cell r="A384" t="str">
            <v>72204000hard</v>
          </cell>
          <cell r="B384" t="str">
            <v>[희석재]2-하드 4온즈</v>
          </cell>
          <cell r="C384">
            <v>22000</v>
          </cell>
          <cell r="D384" t="str">
            <v>086366722138</v>
          </cell>
          <cell r="E384">
            <v>40.799999999999997</v>
          </cell>
          <cell r="F384">
            <v>4692</v>
          </cell>
          <cell r="G384" t="str">
            <v>엔젤러스</v>
          </cell>
          <cell r="H384" t="str">
            <v>1-7-보조재</v>
          </cell>
          <cell r="J384" t="str">
            <v>2-Hard Film Hardener 4 oz.</v>
          </cell>
        </row>
        <row r="386">
          <cell r="A386" t="str">
            <v>99105MO104</v>
          </cell>
          <cell r="B386" t="str">
            <v>밍크오일 에어로졸</v>
          </cell>
          <cell r="C386">
            <v>12000</v>
          </cell>
          <cell r="D386" t="str">
            <v>086366991046</v>
          </cell>
          <cell r="E386">
            <v>32</v>
          </cell>
          <cell r="F386">
            <v>3679.9999999999995</v>
          </cell>
          <cell r="G386" t="str">
            <v>엔젤러스</v>
          </cell>
          <cell r="H386" t="str">
            <v>5-1.가죽크림</v>
          </cell>
        </row>
        <row r="387">
          <cell r="A387" t="str">
            <v>99103MO107</v>
          </cell>
          <cell r="B387" t="str">
            <v>밍크오일 캔</v>
          </cell>
          <cell r="C387">
            <v>8000</v>
          </cell>
          <cell r="D387" t="str">
            <v>086366991039</v>
          </cell>
          <cell r="E387">
            <v>16.399999999999999</v>
          </cell>
          <cell r="F387">
            <v>1885.9999999999998</v>
          </cell>
          <cell r="G387" t="str">
            <v>엔젤러스</v>
          </cell>
          <cell r="H387" t="str">
            <v>5-1.가죽크림</v>
          </cell>
          <cell r="J387" t="str">
            <v>Mink Oil 3 oz. Metal Tin</v>
          </cell>
        </row>
        <row r="388">
          <cell r="A388">
            <v>21004000</v>
          </cell>
          <cell r="B388" t="str">
            <v>레더밤</v>
          </cell>
          <cell r="C388">
            <v>10000</v>
          </cell>
          <cell r="D388" t="str">
            <v>08636621000</v>
          </cell>
          <cell r="E388">
            <v>21</v>
          </cell>
          <cell r="F388">
            <v>2415</v>
          </cell>
          <cell r="G388" t="str">
            <v>엔젤러스</v>
          </cell>
          <cell r="H388" t="str">
            <v>5-1.가죽크림</v>
          </cell>
        </row>
        <row r="389">
          <cell r="A389" t="str">
            <v>99103MO100</v>
          </cell>
          <cell r="B389" t="str">
            <v>밍크오일 캔</v>
          </cell>
          <cell r="C389">
            <v>8000</v>
          </cell>
          <cell r="D389" t="str">
            <v>086366991039</v>
          </cell>
          <cell r="E389">
            <v>16.399999999999999</v>
          </cell>
          <cell r="F389">
            <v>1885.9999999999998</v>
          </cell>
          <cell r="G389" t="str">
            <v>엔젤러스</v>
          </cell>
          <cell r="H389" t="str">
            <v>5-1.가죽크림</v>
          </cell>
          <cell r="J389" t="str">
            <v>Mink Oil 3 oz. Metal Tin</v>
          </cell>
        </row>
        <row r="390">
          <cell r="A390">
            <v>30203005</v>
          </cell>
          <cell r="B390" t="str">
            <v>화이트에이스(백화제)</v>
          </cell>
          <cell r="C390">
            <v>10000</v>
          </cell>
          <cell r="D390" t="str">
            <v>086366302057</v>
          </cell>
          <cell r="E390">
            <v>16.8</v>
          </cell>
          <cell r="F390">
            <v>1932.0000000000002</v>
          </cell>
          <cell r="G390" t="str">
            <v>엔젤러스</v>
          </cell>
          <cell r="H390" t="str">
            <v>5-1.가죽크림</v>
          </cell>
          <cell r="J390" t="str">
            <v>WhiteApplicatorAceTopSupreme3 oz</v>
          </cell>
        </row>
        <row r="392">
          <cell r="A392">
            <v>31003014</v>
          </cell>
          <cell r="B392" t="str">
            <v>인스턴트 샤인-Brown</v>
          </cell>
          <cell r="C392">
            <v>6000</v>
          </cell>
          <cell r="E392">
            <v>16.8</v>
          </cell>
          <cell r="F392">
            <v>1932.0000000000002</v>
          </cell>
          <cell r="G392" t="str">
            <v>엔젤러스</v>
          </cell>
          <cell r="H392" t="str">
            <v>6-1.기타</v>
          </cell>
        </row>
        <row r="393">
          <cell r="A393">
            <v>31003004</v>
          </cell>
          <cell r="B393" t="str">
            <v>인스턴트 샤인-Neutral</v>
          </cell>
          <cell r="C393">
            <v>6000</v>
          </cell>
          <cell r="E393">
            <v>16.8</v>
          </cell>
          <cell r="F393">
            <v>1932.0000000000002</v>
          </cell>
          <cell r="G393" t="str">
            <v>엔젤러스</v>
          </cell>
          <cell r="H393" t="str">
            <v>6-1.기타</v>
          </cell>
        </row>
        <row r="394">
          <cell r="A394">
            <v>31003064</v>
          </cell>
          <cell r="B394" t="str">
            <v>인스턴트 샤인-Red</v>
          </cell>
          <cell r="C394">
            <v>6000</v>
          </cell>
          <cell r="E394">
            <v>16.8</v>
          </cell>
          <cell r="F394">
            <v>1932.0000000000002</v>
          </cell>
          <cell r="G394" t="str">
            <v>엔젤러스</v>
          </cell>
          <cell r="H394" t="str">
            <v>6-1.기타</v>
          </cell>
        </row>
        <row r="395">
          <cell r="A395">
            <v>31003017</v>
          </cell>
          <cell r="B395" t="str">
            <v>인스턴트 샤인-Cordovan</v>
          </cell>
          <cell r="C395">
            <v>6000</v>
          </cell>
          <cell r="E395">
            <v>16.8</v>
          </cell>
          <cell r="F395">
            <v>1932.0000000000002</v>
          </cell>
          <cell r="G395" t="str">
            <v>엔젤러스</v>
          </cell>
          <cell r="H395" t="str">
            <v>6-1.기타</v>
          </cell>
        </row>
        <row r="396">
          <cell r="A396">
            <v>31003005</v>
          </cell>
          <cell r="B396" t="str">
            <v>인스턴트 샤인-White</v>
          </cell>
          <cell r="C396">
            <v>6000</v>
          </cell>
          <cell r="E396">
            <v>16.8</v>
          </cell>
          <cell r="F396">
            <v>1932.0000000000002</v>
          </cell>
          <cell r="G396" t="str">
            <v>엔젤러스</v>
          </cell>
          <cell r="H396" t="str">
            <v>6-1.기타</v>
          </cell>
        </row>
        <row r="397">
          <cell r="A397">
            <v>31003001</v>
          </cell>
          <cell r="B397" t="str">
            <v>인스턴트 샤인-Black</v>
          </cell>
          <cell r="C397">
            <v>6000</v>
          </cell>
          <cell r="E397">
            <v>16.8</v>
          </cell>
          <cell r="F397">
            <v>1932.0000000000002</v>
          </cell>
          <cell r="G397" t="str">
            <v>엔젤러스</v>
          </cell>
          <cell r="H397" t="str">
            <v>6-1.기타</v>
          </cell>
        </row>
        <row r="398">
          <cell r="A398">
            <v>31003042</v>
          </cell>
          <cell r="B398" t="str">
            <v>인스턴트 샤인-NavyBlue</v>
          </cell>
          <cell r="C398">
            <v>6000</v>
          </cell>
          <cell r="E398">
            <v>16.8</v>
          </cell>
          <cell r="F398">
            <v>1932.0000000000002</v>
          </cell>
          <cell r="G398" t="str">
            <v>엔젤러스</v>
          </cell>
          <cell r="H398" t="str">
            <v>6-1.기타</v>
          </cell>
        </row>
        <row r="400">
          <cell r="A400">
            <v>80204000</v>
          </cell>
          <cell r="B400" t="str">
            <v>스팟리무버</v>
          </cell>
          <cell r="C400">
            <v>10000</v>
          </cell>
          <cell r="E400">
            <v>21.6</v>
          </cell>
          <cell r="F400">
            <v>2484</v>
          </cell>
          <cell r="G400" t="str">
            <v>엔젤러스</v>
          </cell>
          <cell r="H400" t="str">
            <v>6-1.기타</v>
          </cell>
        </row>
        <row r="401">
          <cell r="A401" t="str">
            <v>8704P000</v>
          </cell>
          <cell r="B401" t="str">
            <v>슈스트레치 4온즈</v>
          </cell>
          <cell r="C401">
            <v>10000</v>
          </cell>
          <cell r="E401">
            <v>15</v>
          </cell>
          <cell r="F401">
            <v>1725</v>
          </cell>
          <cell r="G401" t="str">
            <v>엔젤러스</v>
          </cell>
          <cell r="H401" t="str">
            <v>6-1.기타</v>
          </cell>
        </row>
        <row r="402">
          <cell r="A402" t="str">
            <v>8702P000</v>
          </cell>
          <cell r="B402" t="str">
            <v>슈스트레치 2온즈</v>
          </cell>
          <cell r="C402">
            <v>6000</v>
          </cell>
          <cell r="E402">
            <v>9.8000000000000007</v>
          </cell>
          <cell r="F402">
            <v>1127</v>
          </cell>
          <cell r="G402" t="str">
            <v>엔젤러스</v>
          </cell>
          <cell r="H402" t="str">
            <v>6-1.기타</v>
          </cell>
        </row>
        <row r="403">
          <cell r="A403" t="str">
            <v>89500KIT</v>
          </cell>
          <cell r="B403" t="str">
            <v>스웨이드&amp;누벅키트</v>
          </cell>
          <cell r="C403">
            <v>10000</v>
          </cell>
          <cell r="D403" t="str">
            <v>086366895009</v>
          </cell>
          <cell r="E403">
            <v>2</v>
          </cell>
          <cell r="F403">
            <v>2760</v>
          </cell>
          <cell r="G403" t="str">
            <v>엔젤러스</v>
          </cell>
          <cell r="H403" t="str">
            <v>6-1.기타</v>
          </cell>
          <cell r="I403" t="str">
            <v>1바</v>
          </cell>
          <cell r="J403" t="str">
            <v>Nubuck and Suede Kit</v>
          </cell>
        </row>
        <row r="404">
          <cell r="A404">
            <v>87604000</v>
          </cell>
          <cell r="B404" t="str">
            <v>솔브라이트 4온즈</v>
          </cell>
          <cell r="C404">
            <v>20000</v>
          </cell>
          <cell r="D404" t="str">
            <v>086366876046</v>
          </cell>
          <cell r="E404">
            <v>48</v>
          </cell>
          <cell r="F404">
            <v>5520</v>
          </cell>
          <cell r="G404" t="str">
            <v>엔젤러스</v>
          </cell>
          <cell r="H404" t="str">
            <v>6-1.기타</v>
          </cell>
          <cell r="J404" t="str">
            <v>Sole Bright 4 oz.Sole Restorer</v>
          </cell>
        </row>
        <row r="405">
          <cell r="A405" t="str">
            <v>4971671511941</v>
          </cell>
          <cell r="B405" t="str">
            <v>콜럼버스 스웨이드 지우개</v>
          </cell>
          <cell r="C405">
            <v>10000</v>
          </cell>
          <cell r="E405">
            <v>180</v>
          </cell>
          <cell r="F405">
            <v>2340</v>
          </cell>
          <cell r="G405" t="str">
            <v>엔젤러스</v>
          </cell>
          <cell r="H405" t="str">
            <v>6-1.기타</v>
          </cell>
          <cell r="I405">
            <v>8.3333333333333339</v>
          </cell>
        </row>
        <row r="406">
          <cell r="A406" t="str">
            <v>99205PremSneakerBrush</v>
          </cell>
          <cell r="B406" t="str">
            <v>클리닝브러시</v>
          </cell>
          <cell r="C406">
            <v>9000</v>
          </cell>
          <cell r="E406">
            <v>3</v>
          </cell>
          <cell r="F406">
            <v>4140</v>
          </cell>
          <cell r="G406" t="str">
            <v>엔젤러스</v>
          </cell>
          <cell r="H406" t="str">
            <v>6-1.기타</v>
          </cell>
        </row>
        <row r="407">
          <cell r="A407" t="str">
            <v>599BT000</v>
          </cell>
          <cell r="B407" t="str">
            <v>다이라이너 브로드팁</v>
          </cell>
          <cell r="C407">
            <v>6000</v>
          </cell>
          <cell r="E407">
            <v>2</v>
          </cell>
          <cell r="F407">
            <v>2760</v>
          </cell>
          <cell r="G407" t="str">
            <v>엔젤러스</v>
          </cell>
          <cell r="H407" t="str">
            <v>6-1.기타</v>
          </cell>
          <cell r="J407" t="str">
            <v>DyelinerDye PenBroad Tip</v>
          </cell>
        </row>
        <row r="408">
          <cell r="A408" t="str">
            <v>599FT000</v>
          </cell>
          <cell r="B408" t="str">
            <v>다이라이너 파인팁</v>
          </cell>
          <cell r="C408">
            <v>6000</v>
          </cell>
          <cell r="E408">
            <v>1.8</v>
          </cell>
          <cell r="F408">
            <v>2484</v>
          </cell>
          <cell r="G408" t="str">
            <v>엔젤러스</v>
          </cell>
          <cell r="H408" t="str">
            <v>6-1.기타</v>
          </cell>
          <cell r="J408" t="str">
            <v>DyelinerDye PenFine Tip</v>
          </cell>
        </row>
        <row r="409">
          <cell r="A409" t="str">
            <v>마커펜 3mm</v>
          </cell>
          <cell r="B409" t="str">
            <v>마커펜 3mm</v>
          </cell>
          <cell r="C409">
            <v>7500</v>
          </cell>
          <cell r="G409" t="str">
            <v>엔젤러스</v>
          </cell>
          <cell r="H409" t="str">
            <v>6-1.기타</v>
          </cell>
        </row>
        <row r="410">
          <cell r="A410" t="str">
            <v>마커펜 5mm</v>
          </cell>
          <cell r="B410" t="str">
            <v>마커펜 5mm</v>
          </cell>
          <cell r="C410">
            <v>7500</v>
          </cell>
          <cell r="G410" t="str">
            <v>엔젤러스</v>
          </cell>
          <cell r="H410" t="str">
            <v>6-1.기타</v>
          </cell>
        </row>
        <row r="411">
          <cell r="A411" t="str">
            <v>7993M2PK</v>
          </cell>
          <cell r="B411" t="str">
            <v>마커펜세트 3mm</v>
          </cell>
          <cell r="C411">
            <v>15000</v>
          </cell>
          <cell r="D411" t="str">
            <v>086366799239</v>
          </cell>
          <cell r="E411">
            <v>3.5</v>
          </cell>
          <cell r="F411">
            <v>4830</v>
          </cell>
          <cell r="G411" t="str">
            <v>엔젤러스</v>
          </cell>
          <cell r="H411" t="str">
            <v>6-1.기타</v>
          </cell>
          <cell r="J411" t="str">
            <v>Angelus Empty Paint Marker SET- 3mm</v>
          </cell>
        </row>
        <row r="412">
          <cell r="A412" t="str">
            <v>7995M2PK</v>
          </cell>
          <cell r="B412" t="str">
            <v>마커펜세트 5mm</v>
          </cell>
          <cell r="C412">
            <v>15000</v>
          </cell>
          <cell r="D412" t="str">
            <v>086366799253</v>
          </cell>
          <cell r="E412">
            <v>3.7</v>
          </cell>
          <cell r="F412">
            <v>5106</v>
          </cell>
          <cell r="G412" t="str">
            <v>엔젤러스</v>
          </cell>
          <cell r="H412" t="str">
            <v>6-1.기타</v>
          </cell>
          <cell r="J412" t="str">
            <v>Angelus Empty Paint Marker SET- 5mm</v>
          </cell>
        </row>
        <row r="413">
          <cell r="A413">
            <v>21608000</v>
          </cell>
          <cell r="B413" t="str">
            <v xml:space="preserve">Angelus Reptile and Exotic Conditioner </v>
          </cell>
          <cell r="C413">
            <v>15000</v>
          </cell>
          <cell r="E413">
            <v>24</v>
          </cell>
          <cell r="F413">
            <v>2760</v>
          </cell>
          <cell r="G413" t="str">
            <v>엔젤러스</v>
          </cell>
          <cell r="H413" t="str">
            <v>6-1.기타</v>
          </cell>
        </row>
        <row r="414">
          <cell r="A414">
            <v>84103000</v>
          </cell>
          <cell r="B414" t="str">
            <v>Angelus Instant Clean</v>
          </cell>
          <cell r="C414">
            <v>10000</v>
          </cell>
          <cell r="E414">
            <v>15</v>
          </cell>
          <cell r="F414">
            <v>1725</v>
          </cell>
          <cell r="G414" t="str">
            <v>엔젤러스</v>
          </cell>
          <cell r="H414" t="str">
            <v>6-1.기타</v>
          </cell>
        </row>
        <row r="415">
          <cell r="A415">
            <v>10508000</v>
          </cell>
          <cell r="B415" t="str">
            <v>100% 퓨어 니트풋 오일</v>
          </cell>
          <cell r="C415">
            <v>10000</v>
          </cell>
          <cell r="E415">
            <v>27</v>
          </cell>
          <cell r="F415">
            <v>3105</v>
          </cell>
          <cell r="G415" t="str">
            <v>엔젤러스</v>
          </cell>
          <cell r="H415" t="str">
            <v>6-1.기타</v>
          </cell>
        </row>
        <row r="416">
          <cell r="A416">
            <v>22008029</v>
          </cell>
          <cell r="B416" t="str">
            <v>새들소프</v>
          </cell>
          <cell r="C416">
            <v>10000</v>
          </cell>
          <cell r="E416">
            <v>24</v>
          </cell>
          <cell r="F416">
            <v>2760</v>
          </cell>
          <cell r="G416" t="str">
            <v>엔젤러스</v>
          </cell>
          <cell r="H416" t="str">
            <v>6-1.기타</v>
          </cell>
        </row>
        <row r="417">
          <cell r="A417" t="str">
            <v>8704P000</v>
          </cell>
          <cell r="B417" t="str">
            <v>슈스트레치 4온즈</v>
          </cell>
          <cell r="C417">
            <v>10000</v>
          </cell>
          <cell r="E417">
            <v>15</v>
          </cell>
          <cell r="F417">
            <v>1725</v>
          </cell>
          <cell r="G417" t="str">
            <v>엔젤러스</v>
          </cell>
          <cell r="H417" t="str">
            <v>6-1.기타</v>
          </cell>
        </row>
        <row r="418">
          <cell r="A418" t="str">
            <v>8702P000</v>
          </cell>
          <cell r="B418" t="str">
            <v>슈스트레치 2온즈</v>
          </cell>
          <cell r="C418">
            <v>6000</v>
          </cell>
          <cell r="E418">
            <v>9.8000000000000007</v>
          </cell>
          <cell r="F418">
            <v>1127</v>
          </cell>
          <cell r="G418" t="str">
            <v>엔젤러스</v>
          </cell>
          <cell r="H418" t="str">
            <v>6-1.기타</v>
          </cell>
        </row>
        <row r="419">
          <cell r="A419" t="str">
            <v>Luster Cream</v>
          </cell>
          <cell r="B419" t="str">
            <v>러스터크림</v>
          </cell>
          <cell r="C419">
            <v>10000</v>
          </cell>
          <cell r="G419" t="str">
            <v>엔젤러스</v>
          </cell>
          <cell r="H419" t="str">
            <v>6-1.기타</v>
          </cell>
        </row>
        <row r="420">
          <cell r="A420" t="str">
            <v>99200PSTREE</v>
          </cell>
          <cell r="B420" t="str">
            <v>엔젤러스 플라스틱 슈트리</v>
          </cell>
          <cell r="C420">
            <v>6000</v>
          </cell>
          <cell r="D420" t="str">
            <v>086366992135</v>
          </cell>
          <cell r="E420">
            <v>1.6</v>
          </cell>
          <cell r="F420">
            <v>2208</v>
          </cell>
          <cell r="G420" t="str">
            <v>엔젤러스</v>
          </cell>
          <cell r="H420" t="str">
            <v>6-1.기타</v>
          </cell>
          <cell r="J420" t="str">
            <v>Plastic Shoe Tree 6-13 Pair</v>
          </cell>
        </row>
        <row r="421">
          <cell r="A421">
            <v>87504000</v>
          </cell>
          <cell r="B421" t="str">
            <v>디오더라이저 4oz</v>
          </cell>
          <cell r="C421">
            <v>10000</v>
          </cell>
          <cell r="E421">
            <v>1.7725</v>
          </cell>
          <cell r="F421">
            <v>2446.0499999999997</v>
          </cell>
          <cell r="G421" t="str">
            <v>엔젤러스</v>
          </cell>
          <cell r="H421" t="str">
            <v>6-1.기타</v>
          </cell>
          <cell r="J421" t="str">
            <v>Deodorizer4 oz pump spray</v>
          </cell>
        </row>
        <row r="422">
          <cell r="A422">
            <v>89404000</v>
          </cell>
          <cell r="B422" t="str">
            <v>스웨이드 리뉴</v>
          </cell>
          <cell r="C422">
            <v>10000</v>
          </cell>
          <cell r="E422">
            <v>1.5</v>
          </cell>
          <cell r="F422">
            <v>2070</v>
          </cell>
          <cell r="G422" t="str">
            <v>엔젤러스</v>
          </cell>
          <cell r="H422" t="str">
            <v>6-1.기타</v>
          </cell>
          <cell r="J422" t="str">
            <v>Angelus4 oz pumpSuedesprayRenew</v>
          </cell>
        </row>
        <row r="423">
          <cell r="A423">
            <v>40003001</v>
          </cell>
          <cell r="B423" t="str">
            <v>엔젤러스 왁스구두약-Black</v>
          </cell>
          <cell r="C423">
            <v>7500</v>
          </cell>
          <cell r="E423">
            <v>19.2</v>
          </cell>
          <cell r="F423">
            <v>2207.9999999999995</v>
          </cell>
          <cell r="G423" t="str">
            <v>엔젤러스</v>
          </cell>
          <cell r="H423" t="str">
            <v>6-1.기타</v>
          </cell>
        </row>
        <row r="424">
          <cell r="A424">
            <v>40003004</v>
          </cell>
          <cell r="B424" t="str">
            <v>엔젤러스 왁스구두약-Neutral</v>
          </cell>
          <cell r="C424">
            <v>7500</v>
          </cell>
          <cell r="E424">
            <v>19.2</v>
          </cell>
          <cell r="F424">
            <v>2207.9999999999995</v>
          </cell>
          <cell r="G424" t="str">
            <v>엔젤러스</v>
          </cell>
          <cell r="H424" t="str">
            <v>6-1.기타</v>
          </cell>
        </row>
        <row r="425">
          <cell r="A425">
            <v>40003005</v>
          </cell>
          <cell r="B425" t="str">
            <v>엔젤러스 왁스구두약-White</v>
          </cell>
          <cell r="C425">
            <v>7500</v>
          </cell>
          <cell r="E425">
            <v>19.2</v>
          </cell>
          <cell r="F425">
            <v>2207.9999999999995</v>
          </cell>
          <cell r="G425" t="str">
            <v>엔젤러스</v>
          </cell>
          <cell r="H425" t="str">
            <v>6-1.기타</v>
          </cell>
        </row>
        <row r="426">
          <cell r="A426">
            <v>40003011</v>
          </cell>
          <cell r="B426" t="str">
            <v>엔젤러스 왁스구두약-Mahogany</v>
          </cell>
          <cell r="C426">
            <v>7500</v>
          </cell>
          <cell r="E426">
            <v>19.2</v>
          </cell>
          <cell r="F426">
            <v>2207.9999999999995</v>
          </cell>
          <cell r="G426" t="str">
            <v>엔젤러스</v>
          </cell>
          <cell r="H426" t="str">
            <v>6-1.기타</v>
          </cell>
        </row>
        <row r="427">
          <cell r="A427">
            <v>40003014</v>
          </cell>
          <cell r="B427" t="str">
            <v>엔젤러스 왁스구두약-Brown</v>
          </cell>
          <cell r="C427">
            <v>7500</v>
          </cell>
          <cell r="E427">
            <v>19.2</v>
          </cell>
          <cell r="F427">
            <v>2207.9999999999995</v>
          </cell>
          <cell r="G427" t="str">
            <v>엔젤러스</v>
          </cell>
          <cell r="H427" t="str">
            <v>6-1.기타</v>
          </cell>
        </row>
        <row r="428">
          <cell r="A428">
            <v>40003017</v>
          </cell>
          <cell r="B428" t="str">
            <v>엔젤러스 왁스구두약-Cordovan</v>
          </cell>
          <cell r="C428">
            <v>7500</v>
          </cell>
          <cell r="E428">
            <v>19.2</v>
          </cell>
          <cell r="F428">
            <v>2207.9999999999995</v>
          </cell>
          <cell r="G428" t="str">
            <v>엔젤러스</v>
          </cell>
          <cell r="H428" t="str">
            <v>6-1.기타</v>
          </cell>
        </row>
        <row r="429">
          <cell r="A429">
            <v>40003018</v>
          </cell>
          <cell r="B429" t="str">
            <v>엔젤러스 왁스구두약-DarkBrown</v>
          </cell>
          <cell r="C429">
            <v>7500</v>
          </cell>
          <cell r="E429">
            <v>19.2</v>
          </cell>
          <cell r="F429">
            <v>2207.9999999999995</v>
          </cell>
          <cell r="G429" t="str">
            <v>엔젤러스</v>
          </cell>
          <cell r="H429" t="str">
            <v>6-1.기타</v>
          </cell>
        </row>
        <row r="430">
          <cell r="A430">
            <v>40003029</v>
          </cell>
          <cell r="B430" t="str">
            <v>엔젤러스 왁스구두약-Tan</v>
          </cell>
          <cell r="C430">
            <v>7500</v>
          </cell>
          <cell r="E430">
            <v>19.2</v>
          </cell>
          <cell r="F430">
            <v>2207.9999999999995</v>
          </cell>
          <cell r="G430" t="str">
            <v>엔젤러스</v>
          </cell>
          <cell r="H430" t="str">
            <v>6-1.기타</v>
          </cell>
        </row>
        <row r="431">
          <cell r="A431">
            <v>40003042</v>
          </cell>
          <cell r="B431" t="str">
            <v>엔젤러스 왁스구두약-NavyBlue</v>
          </cell>
          <cell r="C431">
            <v>7500</v>
          </cell>
          <cell r="E431">
            <v>19.2</v>
          </cell>
          <cell r="F431">
            <v>2207.9999999999995</v>
          </cell>
          <cell r="G431" t="str">
            <v>엔젤러스</v>
          </cell>
          <cell r="H431" t="str">
            <v>6-1.기타</v>
          </cell>
        </row>
        <row r="432">
          <cell r="A432">
            <v>40003050</v>
          </cell>
          <cell r="B432" t="str">
            <v>엔젤러스 왁스구두약-Green</v>
          </cell>
          <cell r="C432">
            <v>7500</v>
          </cell>
          <cell r="E432">
            <v>19.2</v>
          </cell>
          <cell r="F432">
            <v>2207.9999999999995</v>
          </cell>
          <cell r="G432" t="str">
            <v>엔젤러스</v>
          </cell>
          <cell r="H432" t="str">
            <v>6-1.기타</v>
          </cell>
        </row>
        <row r="433">
          <cell r="A433">
            <v>40003052</v>
          </cell>
          <cell r="B433" t="str">
            <v>엔젤러스 왁스구두약-MidniteGreen</v>
          </cell>
          <cell r="C433">
            <v>7500</v>
          </cell>
          <cell r="E433">
            <v>19.2</v>
          </cell>
          <cell r="F433">
            <v>2207.9999999999995</v>
          </cell>
          <cell r="G433" t="str">
            <v>엔젤러스</v>
          </cell>
          <cell r="H433" t="str">
            <v>6-1.기타</v>
          </cell>
        </row>
        <row r="434">
          <cell r="A434">
            <v>40003062</v>
          </cell>
          <cell r="B434" t="str">
            <v>엔젤러스 왁스구두약-Red/Oxblood</v>
          </cell>
          <cell r="C434">
            <v>7500</v>
          </cell>
          <cell r="E434">
            <v>19.2</v>
          </cell>
          <cell r="F434">
            <v>2207.9999999999995</v>
          </cell>
          <cell r="G434" t="str">
            <v>엔젤러스</v>
          </cell>
          <cell r="H434" t="str">
            <v>6-1.기타</v>
          </cell>
        </row>
        <row r="435">
          <cell r="A435">
            <v>40003064</v>
          </cell>
          <cell r="B435" t="str">
            <v xml:space="preserve">엔젤러스 왁스구두약-Red </v>
          </cell>
          <cell r="C435">
            <v>7500</v>
          </cell>
          <cell r="E435">
            <v>19.2</v>
          </cell>
          <cell r="F435">
            <v>2207.9999999999995</v>
          </cell>
          <cell r="G435" t="str">
            <v>엔젤러스</v>
          </cell>
          <cell r="H435" t="str">
            <v>6-1.기타</v>
          </cell>
        </row>
        <row r="436">
          <cell r="A436">
            <v>40003081</v>
          </cell>
          <cell r="B436" t="str">
            <v>엔젤러스 왁스구두약-Grey</v>
          </cell>
          <cell r="C436">
            <v>7500</v>
          </cell>
          <cell r="E436">
            <v>19.2</v>
          </cell>
          <cell r="F436">
            <v>2207.9999999999995</v>
          </cell>
          <cell r="G436" t="str">
            <v>엔젤러스</v>
          </cell>
          <cell r="H436" t="str">
            <v>6-1.기타</v>
          </cell>
        </row>
        <row r="437">
          <cell r="A437">
            <v>53003017</v>
          </cell>
          <cell r="B437" t="str">
            <v>Shine &amp; Dye Cordovan 3 oz.</v>
          </cell>
          <cell r="C437">
            <v>10000</v>
          </cell>
          <cell r="G437" t="str">
            <v>엔젤러스</v>
          </cell>
          <cell r="H437" t="str">
            <v>6-1.기타</v>
          </cell>
        </row>
        <row r="438">
          <cell r="A438">
            <v>53003042</v>
          </cell>
          <cell r="B438" t="str">
            <v>Shine &amp; Dye Navy Blue 3 oz.</v>
          </cell>
          <cell r="C438">
            <v>10000</v>
          </cell>
          <cell r="G438" t="str">
            <v>엔젤러스</v>
          </cell>
          <cell r="H438" t="str">
            <v>6-1.기타</v>
          </cell>
        </row>
        <row r="440">
          <cell r="A440" t="str">
            <v>코튼봉</v>
          </cell>
          <cell r="B440" t="str">
            <v>코튼봉</v>
          </cell>
          <cell r="C440">
            <v>1000</v>
          </cell>
          <cell r="G440" t="str">
            <v>엔젤러스</v>
          </cell>
          <cell r="H440" t="str">
            <v>6-1.기타</v>
          </cell>
        </row>
        <row r="441">
          <cell r="A441" t="str">
            <v>Palette</v>
          </cell>
          <cell r="B441" t="str">
            <v>팔렛트</v>
          </cell>
          <cell r="C441">
            <v>4500</v>
          </cell>
          <cell r="E441">
            <v>1.25</v>
          </cell>
          <cell r="F441">
            <v>1725</v>
          </cell>
          <cell r="G441" t="str">
            <v>엔젤러스</v>
          </cell>
          <cell r="H441" t="str">
            <v>6-1.기타</v>
          </cell>
        </row>
        <row r="442">
          <cell r="A442" t="str">
            <v>paint_cup</v>
          </cell>
          <cell r="B442" t="str">
            <v>페인트컵</v>
          </cell>
          <cell r="C442">
            <v>3000</v>
          </cell>
          <cell r="E442">
            <v>0.8</v>
          </cell>
          <cell r="F442">
            <v>1104</v>
          </cell>
          <cell r="G442" t="str">
            <v>엔젤러스</v>
          </cell>
          <cell r="H442" t="str">
            <v>6-1.기타</v>
          </cell>
        </row>
        <row r="443">
          <cell r="A443" t="str">
            <v>Applicator</v>
          </cell>
          <cell r="B443" t="str">
            <v>올퍼포스애플리케이터</v>
          </cell>
          <cell r="C443">
            <v>2000</v>
          </cell>
          <cell r="E443">
            <v>1.75</v>
          </cell>
          <cell r="F443">
            <v>2415</v>
          </cell>
          <cell r="G443" t="str">
            <v>엔젤러스</v>
          </cell>
          <cell r="H443" t="str">
            <v>6-1.기타</v>
          </cell>
        </row>
        <row r="444">
          <cell r="A444" t="str">
            <v>99200SHOEHORN</v>
          </cell>
          <cell r="B444" t="str">
            <v>메탈슈혼</v>
          </cell>
          <cell r="C444">
            <v>8000</v>
          </cell>
          <cell r="E444">
            <v>1.97</v>
          </cell>
          <cell r="F444">
            <v>2718.6</v>
          </cell>
          <cell r="G444" t="str">
            <v>엔젤러스</v>
          </cell>
          <cell r="H444" t="str">
            <v>6-1.기타</v>
          </cell>
        </row>
        <row r="445">
          <cell r="A445" t="str">
            <v>고무가루</v>
          </cell>
          <cell r="B445" t="str">
            <v>고무가루</v>
          </cell>
          <cell r="C445">
            <v>1000</v>
          </cell>
          <cell r="E445">
            <v>0</v>
          </cell>
          <cell r="F445">
            <v>0</v>
          </cell>
          <cell r="G445" t="str">
            <v>슈구</v>
          </cell>
          <cell r="H445" t="str">
            <v>6-1.기타</v>
          </cell>
        </row>
        <row r="446">
          <cell r="A446" t="str">
            <v>720-02-201</v>
          </cell>
          <cell r="B446" t="str">
            <v>워크온 Black</v>
          </cell>
          <cell r="C446">
            <v>10000</v>
          </cell>
          <cell r="G446" t="str">
            <v>엔젤러스</v>
          </cell>
          <cell r="H446" t="str">
            <v>6-1.기타</v>
          </cell>
        </row>
        <row r="447">
          <cell r="A447" t="str">
            <v>720-02-285</v>
          </cell>
          <cell r="B447" t="str">
            <v>워크온 Red</v>
          </cell>
          <cell r="C447">
            <v>10000</v>
          </cell>
          <cell r="G447" t="str">
            <v>엔젤러스</v>
          </cell>
          <cell r="H447" t="str">
            <v>6-1.기타</v>
          </cell>
        </row>
        <row r="449">
          <cell r="A449" t="str">
            <v>슈구자연</v>
          </cell>
          <cell r="B449" t="str">
            <v>슈구자연</v>
          </cell>
          <cell r="C449">
            <v>18000</v>
          </cell>
          <cell r="D449" t="str">
            <v>4943311101102</v>
          </cell>
          <cell r="F449">
            <v>9500</v>
          </cell>
          <cell r="G449" t="str">
            <v>슈구</v>
          </cell>
          <cell r="H449" t="str">
            <v>7-1.슈구</v>
          </cell>
        </row>
        <row r="450">
          <cell r="A450" t="str">
            <v>슈구블랙</v>
          </cell>
          <cell r="B450" t="str">
            <v>슈구블랙</v>
          </cell>
          <cell r="C450">
            <v>18000</v>
          </cell>
          <cell r="G450" t="str">
            <v>슈구</v>
          </cell>
          <cell r="H450" t="str">
            <v>7-1.슈구</v>
          </cell>
        </row>
        <row r="451">
          <cell r="A451" t="str">
            <v>슈구흰색</v>
          </cell>
          <cell r="B451" t="str">
            <v>슈구흰색</v>
          </cell>
          <cell r="C451">
            <v>18000</v>
          </cell>
          <cell r="G451" t="str">
            <v>슈구</v>
          </cell>
          <cell r="H451" t="str">
            <v>7-1.슈구</v>
          </cell>
        </row>
        <row r="452">
          <cell r="A452" t="str">
            <v>스피드구</v>
          </cell>
          <cell r="B452" t="str">
            <v>스피드구</v>
          </cell>
          <cell r="C452">
            <v>15000</v>
          </cell>
          <cell r="D452" t="str">
            <v>4943311106008</v>
          </cell>
          <cell r="F452">
            <v>8500</v>
          </cell>
          <cell r="G452" t="str">
            <v>슈구</v>
          </cell>
          <cell r="H452" t="str">
            <v>7-1.슈구</v>
          </cell>
        </row>
        <row r="453">
          <cell r="A453" t="str">
            <v>슈구DF</v>
          </cell>
          <cell r="B453" t="str">
            <v>슈구DF</v>
          </cell>
          <cell r="C453">
            <v>15000</v>
          </cell>
          <cell r="G453" t="str">
            <v>슈구</v>
          </cell>
          <cell r="H453" t="str">
            <v>7-1.슈구</v>
          </cell>
        </row>
        <row r="454">
          <cell r="A454" t="str">
            <v>미니슈구</v>
          </cell>
          <cell r="B454" t="str">
            <v>미니슈구</v>
          </cell>
          <cell r="C454">
            <v>15000</v>
          </cell>
          <cell r="G454" t="str">
            <v>슈구</v>
          </cell>
          <cell r="H454" t="str">
            <v>7-1.슈구</v>
          </cell>
        </row>
        <row r="455">
          <cell r="A455" t="str">
            <v>슈구스피드</v>
          </cell>
          <cell r="B455" t="str">
            <v>슈구스피드</v>
          </cell>
          <cell r="C455">
            <v>15000</v>
          </cell>
          <cell r="D455" t="str">
            <v>4943311106008</v>
          </cell>
          <cell r="F455">
            <v>8500</v>
          </cell>
          <cell r="G455" t="str">
            <v>슈구</v>
          </cell>
          <cell r="H455" t="str">
            <v>7-1.슈구</v>
          </cell>
        </row>
        <row r="456">
          <cell r="A456" t="str">
            <v>스포츠구</v>
          </cell>
          <cell r="B456" t="str">
            <v>스포츠구</v>
          </cell>
          <cell r="C456">
            <v>18000</v>
          </cell>
          <cell r="G456" t="str">
            <v>슈구</v>
          </cell>
          <cell r="H456" t="str">
            <v>7-1.슈구</v>
          </cell>
        </row>
        <row r="457">
          <cell r="A457" t="str">
            <v>슈구클리너</v>
          </cell>
          <cell r="B457" t="str">
            <v>슈구클리너 200ml</v>
          </cell>
          <cell r="C457">
            <v>22000</v>
          </cell>
          <cell r="F457">
            <v>12000</v>
          </cell>
          <cell r="G457" t="str">
            <v>슈구</v>
          </cell>
          <cell r="H457" t="str">
            <v>7-1.슈구</v>
          </cell>
        </row>
        <row r="458">
          <cell r="A458" t="str">
            <v>슈구클리너키트</v>
          </cell>
          <cell r="B458" t="str">
            <v>슈구클리너키트</v>
          </cell>
          <cell r="C458">
            <v>25000</v>
          </cell>
          <cell r="F458">
            <v>14000</v>
          </cell>
          <cell r="G458" t="str">
            <v>슈구</v>
          </cell>
          <cell r="H458" t="str">
            <v>7-1.슈구</v>
          </cell>
        </row>
        <row r="459">
          <cell r="A459" t="str">
            <v>고무뒷굽</v>
          </cell>
          <cell r="B459" t="str">
            <v>고무뒷굽(2개 1세트)</v>
          </cell>
          <cell r="C459">
            <v>1000</v>
          </cell>
          <cell r="F459">
            <v>500</v>
          </cell>
          <cell r="G459" t="str">
            <v>슈구</v>
          </cell>
          <cell r="H459" t="str">
            <v>7-1.슈구</v>
          </cell>
        </row>
        <row r="460">
          <cell r="A460" t="str">
            <v>슈구 클리너키트</v>
          </cell>
          <cell r="B460" t="str">
            <v>슈구 클리너키트</v>
          </cell>
          <cell r="C460">
            <v>25000</v>
          </cell>
          <cell r="G460" t="str">
            <v>슈구</v>
          </cell>
          <cell r="H460" t="str">
            <v>7-1.슈구</v>
          </cell>
        </row>
        <row r="461">
          <cell r="A461" t="str">
            <v>paint_strainer</v>
          </cell>
          <cell r="B461" t="str">
            <v>페인트 스트레이너</v>
          </cell>
          <cell r="C461">
            <v>13500</v>
          </cell>
          <cell r="G461" t="str">
            <v>엔젤러스</v>
          </cell>
          <cell r="H461" t="str">
            <v>6-1.기타</v>
          </cell>
        </row>
        <row r="462">
          <cell r="A462">
            <v>86366924006</v>
          </cell>
          <cell r="B462" t="str">
            <v>클리어 슈 시멘트</v>
          </cell>
          <cell r="C462">
            <v>15000</v>
          </cell>
          <cell r="E462">
            <v>39.6</v>
          </cell>
          <cell r="F462">
            <v>4554</v>
          </cell>
          <cell r="G462" t="str">
            <v>엔젤러스</v>
          </cell>
          <cell r="H462" t="str">
            <v>6-1.기타</v>
          </cell>
        </row>
        <row r="463">
          <cell r="A463">
            <v>21208000</v>
          </cell>
          <cell r="B463" t="str">
            <v>Deep conditoiner</v>
          </cell>
          <cell r="C463">
            <v>10000</v>
          </cell>
          <cell r="G463" t="str">
            <v>엔젤러스</v>
          </cell>
          <cell r="H463" t="str">
            <v>6-1.기타</v>
          </cell>
        </row>
        <row r="464">
          <cell r="A464" t="str">
            <v>택배비</v>
          </cell>
          <cell r="B464" t="str">
            <v>택배비</v>
          </cell>
          <cell r="C464">
            <v>2500</v>
          </cell>
          <cell r="F464">
            <v>1900</v>
          </cell>
          <cell r="G464" t="str">
            <v>엔젤러스</v>
          </cell>
          <cell r="H464" t="str">
            <v>6-1.기타</v>
          </cell>
        </row>
        <row r="465">
          <cell r="A465" t="str">
            <v>고무뒷굽</v>
          </cell>
          <cell r="B465" t="str">
            <v>고무뒷굽</v>
          </cell>
          <cell r="C465">
            <v>5</v>
          </cell>
          <cell r="G465" t="str">
            <v>엔젤러스</v>
          </cell>
          <cell r="H465" t="str">
            <v>6-1.기타</v>
          </cell>
        </row>
        <row r="466">
          <cell r="A466" t="str">
            <v>wl-117</v>
          </cell>
          <cell r="B466" t="str">
            <v>스탠드원목헤라 (대)</v>
          </cell>
          <cell r="C466">
            <v>65000</v>
          </cell>
          <cell r="G466" t="str">
            <v>엔젤러스</v>
          </cell>
          <cell r="H466" t="str">
            <v>6-1.기타</v>
          </cell>
        </row>
        <row r="467">
          <cell r="A467" t="str">
            <v>towel</v>
          </cell>
          <cell r="B467" t="str">
            <v>프리미엄 마이크로파이버 타올</v>
          </cell>
          <cell r="C467">
            <v>5000</v>
          </cell>
          <cell r="E467">
            <v>0.65</v>
          </cell>
          <cell r="F467">
            <v>897</v>
          </cell>
          <cell r="G467" t="str">
            <v>엔젤러스</v>
          </cell>
          <cell r="H467" t="str">
            <v>6-1.기타</v>
          </cell>
        </row>
        <row r="468">
          <cell r="A468" t="str">
            <v>hogbrush</v>
          </cell>
          <cell r="B468" t="str">
            <v>돼지털 클리닝브러시</v>
          </cell>
          <cell r="C468">
            <v>14000</v>
          </cell>
          <cell r="E468">
            <v>3.2</v>
          </cell>
          <cell r="F468">
            <v>4416</v>
          </cell>
          <cell r="G468" t="str">
            <v>엔젤러스</v>
          </cell>
          <cell r="H468" t="str">
            <v>6-1.기타</v>
          </cell>
        </row>
        <row r="469">
          <cell r="A469" t="str">
            <v>택배비_abc</v>
          </cell>
          <cell r="B469" t="str">
            <v>택배비</v>
          </cell>
          <cell r="C469">
            <v>2100</v>
          </cell>
          <cell r="F469">
            <v>1900</v>
          </cell>
          <cell r="G469" t="str">
            <v>택배비</v>
          </cell>
          <cell r="H469" t="str">
            <v>6-1.기타</v>
          </cell>
        </row>
        <row r="470">
          <cell r="A470">
            <v>7995100</v>
          </cell>
          <cell r="B470" t="str">
            <v>엔젤러스 페인트 브러시 5종세트</v>
          </cell>
          <cell r="C470">
            <v>15000</v>
          </cell>
          <cell r="E470">
            <v>3.5</v>
          </cell>
          <cell r="F470">
            <v>4830</v>
          </cell>
          <cell r="G470" t="str">
            <v>엔젤러스</v>
          </cell>
          <cell r="H470" t="str">
            <v>6-1.기타</v>
          </cell>
          <cell r="J470" t="str">
            <v>Angelus Paint Brush Set of Five</v>
          </cell>
        </row>
        <row r="471">
          <cell r="A471">
            <v>7995101</v>
          </cell>
          <cell r="B471" t="str">
            <v>엔젤러스 디테일 브러시 5종세트</v>
          </cell>
          <cell r="C471">
            <v>25000</v>
          </cell>
          <cell r="E471">
            <v>7.5</v>
          </cell>
          <cell r="F471">
            <v>10350</v>
          </cell>
          <cell r="G471" t="str">
            <v>엔젤러스</v>
          </cell>
          <cell r="H471" t="str">
            <v>6-1.기타</v>
          </cell>
          <cell r="J471" t="str">
            <v>Angelus Micro Detail Paint Brush Set of 5</v>
          </cell>
        </row>
        <row r="472">
          <cell r="A472" t="str">
            <v>brush17_black</v>
          </cell>
          <cell r="B472" t="str">
            <v>말털브러시 17cm 블랙</v>
          </cell>
          <cell r="C472">
            <v>17000</v>
          </cell>
          <cell r="E472">
            <v>4.95</v>
          </cell>
          <cell r="F472">
            <v>6831</v>
          </cell>
          <cell r="G472" t="str">
            <v>엔젤러스</v>
          </cell>
          <cell r="H472" t="str">
            <v>6-1.기타</v>
          </cell>
          <cell r="J472" t="str">
            <v>#96 shine brush 100% horsehair each</v>
          </cell>
        </row>
        <row r="473">
          <cell r="A473" t="str">
            <v>waxbrush</v>
          </cell>
          <cell r="B473" t="str">
            <v>엔제러스 말털 약솔</v>
          </cell>
          <cell r="C473">
            <v>12000</v>
          </cell>
          <cell r="G473" t="str">
            <v>엔젤러스</v>
          </cell>
          <cell r="H473" t="str">
            <v>6-1.기타</v>
          </cell>
        </row>
        <row r="474">
          <cell r="A474" t="str">
            <v>슈구재정산_s</v>
          </cell>
          <cell r="B474" t="str">
            <v>슈구재정산(스멜바이)</v>
          </cell>
          <cell r="C474">
            <v>272700</v>
          </cell>
          <cell r="E474">
            <v>272700</v>
          </cell>
          <cell r="F474">
            <v>272700</v>
          </cell>
        </row>
        <row r="475">
          <cell r="A475" t="str">
            <v>슈구재정산_a</v>
          </cell>
          <cell r="B475" t="str">
            <v>슈구재정산(스니케어)</v>
          </cell>
          <cell r="C475">
            <v>59400</v>
          </cell>
          <cell r="E475">
            <v>59400</v>
          </cell>
          <cell r="F475">
            <v>59400</v>
          </cell>
        </row>
        <row r="476">
          <cell r="A476" t="str">
            <v>brush_set</v>
          </cell>
          <cell r="B476" t="str">
            <v>엔젤러스 페인트브러시5종세트</v>
          </cell>
          <cell r="C476">
            <v>15000</v>
          </cell>
          <cell r="E476">
            <v>3.5</v>
          </cell>
          <cell r="F476">
            <v>4830</v>
          </cell>
          <cell r="G476" t="str">
            <v>엔젤러스</v>
          </cell>
          <cell r="H476" t="str">
            <v>6-1.기타</v>
          </cell>
        </row>
        <row r="477">
          <cell r="A477">
            <v>53003001</v>
          </cell>
          <cell r="B477" t="str">
            <v>Shine &amp; Dye Black 3 oz.</v>
          </cell>
          <cell r="C477">
            <v>10000</v>
          </cell>
          <cell r="G477" t="str">
            <v>엔젤러스</v>
          </cell>
          <cell r="H477" t="str">
            <v>6-1.기타</v>
          </cell>
        </row>
        <row r="478">
          <cell r="A478">
            <v>53003014</v>
          </cell>
          <cell r="B478" t="str">
            <v>Shine &amp; Dye Brown 3 oz.</v>
          </cell>
          <cell r="C478">
            <v>10000</v>
          </cell>
          <cell r="G478" t="str">
            <v>엔젤러스</v>
          </cell>
          <cell r="H478" t="str">
            <v>6-1.기타</v>
          </cell>
        </row>
        <row r="479">
          <cell r="A479" t="str">
            <v>8804164300011</v>
          </cell>
          <cell r="B479" t="str">
            <v>핑고 실버-264ml</v>
          </cell>
          <cell r="C479">
            <v>16800</v>
          </cell>
        </row>
        <row r="480">
          <cell r="A480" t="str">
            <v>애니맷</v>
          </cell>
          <cell r="B480" t="str">
            <v>엔젤러스 페인트 세트</v>
          </cell>
          <cell r="C480">
            <v>48000</v>
          </cell>
        </row>
        <row r="481">
          <cell r="A481" t="str">
            <v>Chocolate</v>
          </cell>
          <cell r="B481" t="str">
            <v>Chocolate</v>
          </cell>
          <cell r="C481">
            <v>110000</v>
          </cell>
          <cell r="F481">
            <v>45000</v>
          </cell>
          <cell r="G481">
            <v>2</v>
          </cell>
        </row>
        <row r="482">
          <cell r="A482" t="str">
            <v>Mustard</v>
          </cell>
          <cell r="B482" t="str">
            <v>Mustard</v>
          </cell>
          <cell r="C482">
            <v>110000</v>
          </cell>
          <cell r="F482">
            <v>45000</v>
          </cell>
          <cell r="G482">
            <v>1</v>
          </cell>
        </row>
        <row r="483">
          <cell r="A483" t="str">
            <v xml:space="preserve">Turquoise </v>
          </cell>
          <cell r="B483" t="str">
            <v xml:space="preserve">Turquoise </v>
          </cell>
          <cell r="C483">
            <v>110000</v>
          </cell>
          <cell r="F483">
            <v>45000</v>
          </cell>
          <cell r="G483">
            <v>1</v>
          </cell>
        </row>
        <row r="484">
          <cell r="A484" t="str">
            <v>Metallic Gold</v>
          </cell>
          <cell r="B484" t="str">
            <v>Metallic Gold</v>
          </cell>
          <cell r="C484">
            <v>55000</v>
          </cell>
          <cell r="F484">
            <v>16000</v>
          </cell>
          <cell r="G484">
            <v>1</v>
          </cell>
        </row>
        <row r="485">
          <cell r="A485" t="str">
            <v>Metallic Silver</v>
          </cell>
          <cell r="B485" t="str">
            <v>Metallic Silver</v>
          </cell>
          <cell r="C485">
            <v>55000</v>
          </cell>
          <cell r="F485">
            <v>16000</v>
          </cell>
          <cell r="G485">
            <v>1</v>
          </cell>
        </row>
        <row r="486">
          <cell r="A486" t="str">
            <v>Metallic Bronze</v>
          </cell>
          <cell r="B486" t="str">
            <v>Metallic Bronze</v>
          </cell>
          <cell r="C486">
            <v>55000</v>
          </cell>
          <cell r="F486">
            <v>16000</v>
          </cell>
          <cell r="G486">
            <v>1</v>
          </cell>
        </row>
        <row r="487">
          <cell r="A487" t="str">
            <v>Metallic Pearl</v>
          </cell>
          <cell r="B487" t="str">
            <v>Metallic Pearl</v>
          </cell>
          <cell r="C487">
            <v>55000</v>
          </cell>
          <cell r="F487">
            <v>16000</v>
          </cell>
          <cell r="G487">
            <v>1</v>
          </cell>
        </row>
        <row r="488">
          <cell r="A488" t="str">
            <v>Metallic Cooper</v>
          </cell>
          <cell r="B488" t="str">
            <v>Metallic Cooper</v>
          </cell>
          <cell r="C488">
            <v>55000</v>
          </cell>
          <cell r="F488">
            <v>16000</v>
          </cell>
          <cell r="G488">
            <v>1</v>
          </cell>
        </row>
        <row r="489">
          <cell r="A489" t="str">
            <v>Tropic Sunyellow</v>
          </cell>
          <cell r="B489" t="str">
            <v>Tropic Sunyellow</v>
          </cell>
          <cell r="C489">
            <v>55000</v>
          </cell>
          <cell r="F489">
            <v>16000</v>
          </cell>
          <cell r="G489">
            <v>1</v>
          </cell>
        </row>
        <row r="490">
          <cell r="A490" t="str">
            <v>Lava Orange</v>
          </cell>
          <cell r="B490" t="str">
            <v>Lava Orange</v>
          </cell>
          <cell r="C490">
            <v>55000</v>
          </cell>
          <cell r="F490">
            <v>16000</v>
          </cell>
          <cell r="G490">
            <v>1</v>
          </cell>
        </row>
        <row r="491">
          <cell r="A491" t="str">
            <v>Bahama Blue</v>
          </cell>
          <cell r="B491" t="str">
            <v>Bahama Blue</v>
          </cell>
          <cell r="C491">
            <v>55000</v>
          </cell>
          <cell r="F491">
            <v>16000</v>
          </cell>
          <cell r="G491">
            <v>1</v>
          </cell>
        </row>
        <row r="492">
          <cell r="A492" t="str">
            <v>Jamaican Joypink</v>
          </cell>
          <cell r="B492" t="str">
            <v>Jamaican Joypink</v>
          </cell>
          <cell r="C492">
            <v>55000</v>
          </cell>
          <cell r="F492">
            <v>16000</v>
          </cell>
          <cell r="G492">
            <v>1</v>
          </cell>
        </row>
        <row r="493">
          <cell r="A493" t="str">
            <v>Paradise purple</v>
          </cell>
          <cell r="B493" t="str">
            <v>Paradise purple</v>
          </cell>
          <cell r="C493">
            <v>55000</v>
          </cell>
          <cell r="F493">
            <v>16000</v>
          </cell>
          <cell r="G493">
            <v>2</v>
          </cell>
        </row>
        <row r="494">
          <cell r="A494" t="str">
            <v>Amazon Green</v>
          </cell>
          <cell r="B494" t="str">
            <v>Amazon Green</v>
          </cell>
          <cell r="C494">
            <v>55000</v>
          </cell>
          <cell r="F494">
            <v>16000</v>
          </cell>
          <cell r="G494">
            <v>2</v>
          </cell>
        </row>
        <row r="495">
          <cell r="A495" t="str">
            <v>Deglazer</v>
          </cell>
          <cell r="B495" t="str">
            <v>Deglazer</v>
          </cell>
          <cell r="C495">
            <v>9900</v>
          </cell>
          <cell r="F495">
            <v>7000</v>
          </cell>
          <cell r="G495">
            <v>2</v>
          </cell>
        </row>
        <row r="496">
          <cell r="A496" t="str">
            <v>애니맷</v>
          </cell>
          <cell r="B496" t="str">
            <v>엔젤러스 페인트 세트</v>
          </cell>
          <cell r="C496">
            <v>48000</v>
          </cell>
        </row>
        <row r="497">
          <cell r="A497" t="str">
            <v>720PT101</v>
          </cell>
          <cell r="B497" t="str">
            <v>파인트-#101-페인트-Flat Black</v>
          </cell>
          <cell r="C497">
            <v>44000</v>
          </cell>
          <cell r="F497">
            <v>10000</v>
          </cell>
          <cell r="G497" t="str">
            <v>엔젤러스</v>
          </cell>
        </row>
        <row r="498">
          <cell r="A498" t="str">
            <v>720PT001</v>
          </cell>
          <cell r="B498" t="str">
            <v>파인트-#001-페인트-Black</v>
          </cell>
          <cell r="C498">
            <v>44000</v>
          </cell>
          <cell r="F498">
            <v>10000</v>
          </cell>
          <cell r="G498" t="str">
            <v>엔젤러스</v>
          </cell>
        </row>
        <row r="499">
          <cell r="A499" t="str">
            <v>720PT005</v>
          </cell>
          <cell r="B499" t="str">
            <v>파인트-#005-페인트-White</v>
          </cell>
          <cell r="C499">
            <v>44000</v>
          </cell>
          <cell r="F499">
            <v>10000</v>
          </cell>
          <cell r="G499" t="str">
            <v>엔젤러스</v>
          </cell>
        </row>
        <row r="500">
          <cell r="A500" t="str">
            <v>720pt005</v>
          </cell>
          <cell r="B500" t="str">
            <v>파인트-#101-페인트-Flat Black</v>
          </cell>
          <cell r="C500">
            <v>44000</v>
          </cell>
          <cell r="F500">
            <v>10000</v>
          </cell>
          <cell r="G500" t="str">
            <v>엔젤러스</v>
          </cell>
        </row>
        <row r="501">
          <cell r="A501" t="str">
            <v>720PT101</v>
          </cell>
          <cell r="B501" t="str">
            <v>720PT101</v>
          </cell>
          <cell r="C501">
            <v>44000</v>
          </cell>
          <cell r="F501">
            <v>10000</v>
          </cell>
          <cell r="G501" t="str">
            <v>엔젤러스</v>
          </cell>
        </row>
        <row r="502">
          <cell r="A502" t="str">
            <v>720pt075</v>
          </cell>
          <cell r="B502" t="str">
            <v>파인트-#075-페인트-Yellow</v>
          </cell>
          <cell r="C502">
            <v>44000</v>
          </cell>
          <cell r="G502" t="str">
            <v>엔젤러스</v>
          </cell>
        </row>
        <row r="503">
          <cell r="A503" t="str">
            <v>ASW</v>
          </cell>
          <cell r="B503" t="str">
            <v>[앳스코]실리콘 워터가드 스프레이</v>
          </cell>
          <cell r="C503">
            <v>20000</v>
          </cell>
          <cell r="E503">
            <v>3.09</v>
          </cell>
          <cell r="F503">
            <v>4619.55</v>
          </cell>
          <cell r="G503" t="str">
            <v>앳스코</v>
          </cell>
          <cell r="H503" t="str">
            <v>33.앳스코</v>
          </cell>
        </row>
        <row r="504">
          <cell r="A504" t="str">
            <v>ASS</v>
          </cell>
          <cell r="B504" t="str">
            <v>[앳스코]스노씰</v>
          </cell>
          <cell r="C504">
            <v>18000</v>
          </cell>
          <cell r="E504">
            <v>2.79</v>
          </cell>
          <cell r="F504">
            <v>4171.05</v>
          </cell>
          <cell r="G504" t="str">
            <v>앳스코</v>
          </cell>
          <cell r="H504" t="str">
            <v>33.앳스코</v>
          </cell>
        </row>
        <row r="505">
          <cell r="A505" t="str">
            <v>APW</v>
          </cell>
          <cell r="B505" t="str">
            <v>[앳스코]퍼머넌트워터가드</v>
          </cell>
          <cell r="C505">
            <v>25000</v>
          </cell>
          <cell r="E505">
            <v>6.21</v>
          </cell>
          <cell r="F505">
            <v>9283.9500000000007</v>
          </cell>
          <cell r="G505" t="str">
            <v>앳스코</v>
          </cell>
          <cell r="H505" t="str">
            <v>33.앳스코</v>
          </cell>
        </row>
        <row r="507">
          <cell r="A507" t="str">
            <v>R01</v>
          </cell>
          <cell r="B507" t="str">
            <v>R01-[레이스랩]Black/White Rope Laces</v>
          </cell>
          <cell r="C507">
            <v>10000</v>
          </cell>
          <cell r="D507" t="str">
            <v>Rope Laces</v>
          </cell>
          <cell r="E507">
            <v>2.38</v>
          </cell>
          <cell r="F507">
            <v>3558.1</v>
          </cell>
          <cell r="G507" t="str">
            <v>레이스랩</v>
          </cell>
          <cell r="H507" t="str">
            <v>7-1.LaceLab</v>
          </cell>
          <cell r="I507" t="str">
            <v>Black/White Rope Laces</v>
          </cell>
        </row>
        <row r="508">
          <cell r="A508" t="str">
            <v>R02</v>
          </cell>
          <cell r="B508" t="str">
            <v>R02-[레이스랩]Grey/Black Rope Laces</v>
          </cell>
          <cell r="C508">
            <v>10000</v>
          </cell>
          <cell r="D508" t="str">
            <v>Rope Laces</v>
          </cell>
          <cell r="E508">
            <v>2.38</v>
          </cell>
          <cell r="F508">
            <v>3558.1</v>
          </cell>
          <cell r="G508" t="str">
            <v>레이스랩</v>
          </cell>
          <cell r="H508" t="str">
            <v>7-1.LaceLab</v>
          </cell>
          <cell r="I508" t="str">
            <v>Grey/Black Rope Laces</v>
          </cell>
        </row>
        <row r="509">
          <cell r="A509" t="str">
            <v>R03</v>
          </cell>
          <cell r="B509" t="str">
            <v>R03-[레이스랩]Grey/White Rope Laces</v>
          </cell>
          <cell r="C509">
            <v>10000</v>
          </cell>
          <cell r="D509" t="str">
            <v>Rope Laces</v>
          </cell>
          <cell r="E509">
            <v>2.38</v>
          </cell>
          <cell r="F509">
            <v>3558.1</v>
          </cell>
          <cell r="G509" t="str">
            <v>레이스랩</v>
          </cell>
          <cell r="H509" t="str">
            <v>7-1.LaceLab</v>
          </cell>
          <cell r="I509" t="str">
            <v>Grey/White Rope Laces</v>
          </cell>
        </row>
        <row r="510">
          <cell r="A510" t="str">
            <v>R04</v>
          </cell>
          <cell r="B510" t="str">
            <v>R04-[레이스랩]Black/Red Rope Laces</v>
          </cell>
          <cell r="C510">
            <v>10000</v>
          </cell>
          <cell r="D510" t="str">
            <v>Rope Laces</v>
          </cell>
          <cell r="E510">
            <v>2.38</v>
          </cell>
          <cell r="F510">
            <v>3558.1</v>
          </cell>
          <cell r="G510" t="str">
            <v>레이스랩</v>
          </cell>
          <cell r="H510" t="str">
            <v>7-1.LaceLab</v>
          </cell>
          <cell r="I510" t="str">
            <v>Black/Red Rope Laces</v>
          </cell>
        </row>
        <row r="511">
          <cell r="A511" t="str">
            <v>R05</v>
          </cell>
          <cell r="B511" t="str">
            <v>R05-[레이스랩]Blue/White Rope Laces</v>
          </cell>
          <cell r="C511">
            <v>10000</v>
          </cell>
          <cell r="D511" t="str">
            <v>Rope Laces</v>
          </cell>
          <cell r="E511">
            <v>2.38</v>
          </cell>
          <cell r="F511">
            <v>3558.1</v>
          </cell>
          <cell r="G511" t="str">
            <v>레이스랩</v>
          </cell>
          <cell r="H511" t="str">
            <v>7-1.LaceLab</v>
          </cell>
          <cell r="I511" t="str">
            <v>Blue/White Rope Laces</v>
          </cell>
        </row>
        <row r="512">
          <cell r="A512" t="str">
            <v>R06</v>
          </cell>
          <cell r="B512" t="str">
            <v>R06-[레이스랩]Red/White Rope Laces</v>
          </cell>
          <cell r="C512">
            <v>10000</v>
          </cell>
          <cell r="D512" t="str">
            <v>Rope Laces</v>
          </cell>
          <cell r="E512">
            <v>2.38</v>
          </cell>
          <cell r="F512">
            <v>3558.1</v>
          </cell>
          <cell r="G512" t="str">
            <v>레이스랩</v>
          </cell>
          <cell r="H512" t="str">
            <v>7-1.LaceLab</v>
          </cell>
          <cell r="I512" t="str">
            <v>Red/White Rope Laces</v>
          </cell>
        </row>
        <row r="513">
          <cell r="A513" t="str">
            <v>R07</v>
          </cell>
          <cell r="B513" t="str">
            <v>R07-[레이스랩]Blue/Black Rope Laces</v>
          </cell>
          <cell r="C513">
            <v>10000</v>
          </cell>
          <cell r="D513" t="str">
            <v>Rope Laces</v>
          </cell>
          <cell r="E513">
            <v>2.38</v>
          </cell>
          <cell r="F513">
            <v>3558.1</v>
          </cell>
          <cell r="G513" t="str">
            <v>레이스랩</v>
          </cell>
          <cell r="H513" t="str">
            <v>7-1.LaceLab</v>
          </cell>
          <cell r="I513" t="str">
            <v>Blue/Black Rope Laces</v>
          </cell>
        </row>
        <row r="514">
          <cell r="A514" t="str">
            <v>R08</v>
          </cell>
          <cell r="B514" t="str">
            <v>R08-[레이스랩]Mint/Black Rope Laces</v>
          </cell>
          <cell r="C514">
            <v>10000</v>
          </cell>
          <cell r="D514" t="str">
            <v>Rope Laces</v>
          </cell>
          <cell r="E514">
            <v>2.38</v>
          </cell>
          <cell r="F514">
            <v>3558.1</v>
          </cell>
          <cell r="G514" t="str">
            <v>레이스랩</v>
          </cell>
          <cell r="H514" t="str">
            <v>7-1.LaceLab</v>
          </cell>
          <cell r="I514" t="str">
            <v>Mint/Black Rope Laces</v>
          </cell>
        </row>
        <row r="515">
          <cell r="A515" t="str">
            <v>R09</v>
          </cell>
          <cell r="B515" t="str">
            <v>R09-[레이스랩]Oxford Tan Rope Laces</v>
          </cell>
          <cell r="C515">
            <v>10000</v>
          </cell>
          <cell r="D515" t="str">
            <v>Rope Laces</v>
          </cell>
          <cell r="E515">
            <v>2.38</v>
          </cell>
          <cell r="F515">
            <v>3558.1</v>
          </cell>
          <cell r="G515" t="str">
            <v>레이스랩</v>
          </cell>
          <cell r="H515" t="str">
            <v>7-1.LaceLab</v>
          </cell>
          <cell r="I515" t="str">
            <v>Oxford Tan Rope Laces</v>
          </cell>
        </row>
        <row r="516">
          <cell r="A516" t="str">
            <v>R10</v>
          </cell>
          <cell r="B516" t="str">
            <v>R10-[레이스랩]Metallic Red/Black Rope Laces</v>
          </cell>
          <cell r="C516">
            <v>10000</v>
          </cell>
          <cell r="D516" t="str">
            <v>Rope Laces</v>
          </cell>
          <cell r="E516">
            <v>2.38</v>
          </cell>
          <cell r="F516">
            <v>3558.1</v>
          </cell>
          <cell r="G516" t="str">
            <v>레이스랩</v>
          </cell>
          <cell r="H516" t="str">
            <v>7-1.LaceLab</v>
          </cell>
          <cell r="I516" t="str">
            <v>Metallic Red/Black Rope Laces</v>
          </cell>
        </row>
        <row r="517">
          <cell r="A517" t="str">
            <v>R11</v>
          </cell>
          <cell r="B517" t="str">
            <v>R11-[레이스랩]Metallic Gold/White Rope Laces</v>
          </cell>
          <cell r="C517">
            <v>10000</v>
          </cell>
          <cell r="D517" t="str">
            <v>Rope Laces</v>
          </cell>
          <cell r="E517">
            <v>2.38</v>
          </cell>
          <cell r="F517">
            <v>3558.1</v>
          </cell>
          <cell r="G517" t="str">
            <v>레이스랩</v>
          </cell>
          <cell r="H517" t="str">
            <v>7-1.LaceLab</v>
          </cell>
          <cell r="I517" t="str">
            <v>Metallic Gold/White Rope Laces</v>
          </cell>
        </row>
        <row r="518">
          <cell r="A518" t="str">
            <v>R12</v>
          </cell>
          <cell r="B518" t="str">
            <v>R12-[레이스랩]Olive/Black Rope Laces</v>
          </cell>
          <cell r="C518">
            <v>10000</v>
          </cell>
          <cell r="D518" t="str">
            <v>Rope Laces</v>
          </cell>
          <cell r="E518">
            <v>2.38</v>
          </cell>
          <cell r="F518">
            <v>3558.1</v>
          </cell>
          <cell r="G518" t="str">
            <v>레이스랩</v>
          </cell>
          <cell r="H518" t="str">
            <v>7-1.LaceLab</v>
          </cell>
          <cell r="I518" t="str">
            <v>Olive/Black Rope Laces</v>
          </cell>
        </row>
        <row r="519">
          <cell r="A519" t="str">
            <v>R13</v>
          </cell>
          <cell r="B519" t="str">
            <v>R13-[레이스랩]Pink/White Rope Laces</v>
          </cell>
          <cell r="C519">
            <v>10000</v>
          </cell>
          <cell r="D519" t="str">
            <v>Rope Laces</v>
          </cell>
          <cell r="E519">
            <v>2.38</v>
          </cell>
          <cell r="F519">
            <v>3558.1</v>
          </cell>
          <cell r="G519" t="str">
            <v>레이스랩</v>
          </cell>
          <cell r="H519" t="str">
            <v>7-1.LaceLab</v>
          </cell>
          <cell r="I519" t="str">
            <v>Pink/White Rope Laces</v>
          </cell>
        </row>
        <row r="520">
          <cell r="A520" t="str">
            <v>R14</v>
          </cell>
          <cell r="B520" t="str">
            <v>R14-[레이스랩]Mint Green/White Rope Laces</v>
          </cell>
          <cell r="C520">
            <v>10000</v>
          </cell>
          <cell r="D520" t="str">
            <v>Rope Laces</v>
          </cell>
          <cell r="E520">
            <v>2.38</v>
          </cell>
          <cell r="F520">
            <v>3558.1</v>
          </cell>
          <cell r="G520" t="str">
            <v>레이스랩</v>
          </cell>
          <cell r="H520" t="str">
            <v>7-1.LaceLab</v>
          </cell>
          <cell r="I520" t="str">
            <v>Mint Green/White Rope Laces</v>
          </cell>
        </row>
        <row r="521">
          <cell r="A521" t="str">
            <v>R15</v>
          </cell>
          <cell r="B521" t="str">
            <v>R15-[레이스랩]Volt/Black Rope Laces</v>
          </cell>
          <cell r="C521">
            <v>10000</v>
          </cell>
          <cell r="D521" t="str">
            <v>Rope Laces</v>
          </cell>
          <cell r="E521">
            <v>2.38</v>
          </cell>
          <cell r="F521">
            <v>3558.1</v>
          </cell>
          <cell r="G521" t="str">
            <v>레이스랩</v>
          </cell>
          <cell r="H521" t="str">
            <v>7-1.LaceLab</v>
          </cell>
          <cell r="I521" t="str">
            <v>Volt/Black Rope Laces</v>
          </cell>
        </row>
        <row r="522">
          <cell r="A522" t="str">
            <v>R16</v>
          </cell>
          <cell r="B522" t="str">
            <v>R16-[레이스랩]Green/White Rope Laces</v>
          </cell>
          <cell r="C522">
            <v>10000</v>
          </cell>
          <cell r="D522" t="str">
            <v>Rope Laces</v>
          </cell>
          <cell r="E522">
            <v>2.38</v>
          </cell>
          <cell r="F522">
            <v>3558.1</v>
          </cell>
          <cell r="G522" t="str">
            <v>레이스랩</v>
          </cell>
          <cell r="H522" t="str">
            <v>7-1.LaceLab</v>
          </cell>
          <cell r="I522" t="str">
            <v>Green/White Rope Laces</v>
          </cell>
        </row>
        <row r="523">
          <cell r="A523" t="str">
            <v>R17</v>
          </cell>
          <cell r="B523" t="str">
            <v>R17-[레이스랩]Black/Metallic Gold Rope Laces</v>
          </cell>
          <cell r="C523">
            <v>10000</v>
          </cell>
          <cell r="D523" t="str">
            <v>Rope Laces</v>
          </cell>
          <cell r="E523">
            <v>2.38</v>
          </cell>
          <cell r="F523">
            <v>3558.1</v>
          </cell>
          <cell r="G523" t="str">
            <v>레이스랩</v>
          </cell>
          <cell r="H523" t="str">
            <v>7-1.LaceLab</v>
          </cell>
          <cell r="I523" t="str">
            <v>Black/Metallic Gold Rope Laces</v>
          </cell>
        </row>
        <row r="524">
          <cell r="A524" t="str">
            <v>R18</v>
          </cell>
          <cell r="B524" t="str">
            <v>R18-[레이스랩]Columbia Blue/Black Rope Laces</v>
          </cell>
          <cell r="C524">
            <v>10000</v>
          </cell>
          <cell r="D524" t="str">
            <v>Rope Laces</v>
          </cell>
          <cell r="E524">
            <v>2.38</v>
          </cell>
          <cell r="F524">
            <v>3558.1</v>
          </cell>
          <cell r="G524" t="str">
            <v>레이스랩</v>
          </cell>
          <cell r="H524" t="str">
            <v>7-1.LaceLab</v>
          </cell>
          <cell r="I524" t="str">
            <v>Columbia Blue/Black Rope Laces</v>
          </cell>
        </row>
        <row r="525">
          <cell r="A525" t="str">
            <v>R19</v>
          </cell>
          <cell r="B525" t="str">
            <v>R19-[레이스랩]Red/Orange Rope Laces</v>
          </cell>
          <cell r="C525">
            <v>10000</v>
          </cell>
          <cell r="D525" t="str">
            <v>Rope Laces</v>
          </cell>
          <cell r="E525">
            <v>2.38</v>
          </cell>
          <cell r="F525">
            <v>3558.1</v>
          </cell>
          <cell r="G525" t="str">
            <v>레이스랩</v>
          </cell>
          <cell r="H525" t="str">
            <v>7-1.LaceLab</v>
          </cell>
          <cell r="I525" t="str">
            <v>Red/Orange Rope Laces</v>
          </cell>
        </row>
        <row r="526">
          <cell r="A526" t="str">
            <v>R20</v>
          </cell>
          <cell r="B526" t="str">
            <v>R20-[레이스랩]Infrapink/Black Rope Laces</v>
          </cell>
          <cell r="C526">
            <v>10000</v>
          </cell>
          <cell r="D526" t="str">
            <v>Rope Laces</v>
          </cell>
          <cell r="E526">
            <v>2.38</v>
          </cell>
          <cell r="F526">
            <v>3558.1</v>
          </cell>
          <cell r="G526" t="str">
            <v>레이스랩</v>
          </cell>
          <cell r="H526" t="str">
            <v>7-1.LaceLab</v>
          </cell>
          <cell r="I526" t="str">
            <v>Infrapink/Black Rope Laces</v>
          </cell>
        </row>
        <row r="527">
          <cell r="A527" t="str">
            <v>R21</v>
          </cell>
          <cell r="B527" t="str">
            <v>R21-[레이스랩]Hot Pink/Black Rope Laces</v>
          </cell>
          <cell r="C527">
            <v>10000</v>
          </cell>
          <cell r="D527" t="str">
            <v>Rope Laces</v>
          </cell>
          <cell r="E527">
            <v>2.38</v>
          </cell>
          <cell r="F527">
            <v>3558.1</v>
          </cell>
          <cell r="G527" t="str">
            <v>레이스랩</v>
          </cell>
          <cell r="H527" t="str">
            <v>7-1.LaceLab</v>
          </cell>
          <cell r="I527" t="str">
            <v>Hot Pink/Black Rope Laces</v>
          </cell>
        </row>
        <row r="528">
          <cell r="A528" t="str">
            <v>R22</v>
          </cell>
          <cell r="B528" t="str">
            <v>R22-[레이스랩]Purple/Black Rope Laces</v>
          </cell>
          <cell r="C528">
            <v>10000</v>
          </cell>
          <cell r="D528" t="str">
            <v>Rope Laces</v>
          </cell>
          <cell r="E528">
            <v>2.38</v>
          </cell>
          <cell r="F528">
            <v>3558.1</v>
          </cell>
          <cell r="G528" t="str">
            <v>레이스랩</v>
          </cell>
          <cell r="H528" t="str">
            <v>7-1.LaceLab</v>
          </cell>
          <cell r="I528" t="str">
            <v>Purple/Black Rope Laces</v>
          </cell>
        </row>
        <row r="529">
          <cell r="A529" t="str">
            <v>R23</v>
          </cell>
          <cell r="B529" t="str">
            <v>R23-[레이스랩]Yellow/Black Rope Laces</v>
          </cell>
          <cell r="C529">
            <v>10000</v>
          </cell>
          <cell r="D529" t="str">
            <v>Rope Laces</v>
          </cell>
          <cell r="E529">
            <v>2.38</v>
          </cell>
          <cell r="F529">
            <v>3558.1</v>
          </cell>
          <cell r="G529" t="str">
            <v>레이스랩</v>
          </cell>
          <cell r="H529" t="str">
            <v>7-1.LaceLab</v>
          </cell>
          <cell r="I529" t="str">
            <v>Yellow/Black Rope Laces</v>
          </cell>
        </row>
        <row r="530">
          <cell r="A530" t="str">
            <v>R24</v>
          </cell>
          <cell r="B530" t="str">
            <v>R24-[레이스랩]Yellow/White Rope Laces</v>
          </cell>
          <cell r="C530">
            <v>10000</v>
          </cell>
          <cell r="D530" t="str">
            <v>Rope Laces</v>
          </cell>
          <cell r="E530">
            <v>2.38</v>
          </cell>
          <cell r="F530">
            <v>3558.1</v>
          </cell>
          <cell r="G530" t="str">
            <v>레이스랩</v>
          </cell>
          <cell r="H530" t="str">
            <v>7-1.LaceLab</v>
          </cell>
          <cell r="I530" t="str">
            <v>Yellow/White Rope Laces</v>
          </cell>
        </row>
        <row r="531">
          <cell r="A531" t="str">
            <v>R25</v>
          </cell>
          <cell r="B531" t="str">
            <v>R25-[레이스랩]Black/Tan Rope Laces</v>
          </cell>
          <cell r="C531">
            <v>10000</v>
          </cell>
          <cell r="D531" t="str">
            <v>Rope Laces</v>
          </cell>
          <cell r="E531">
            <v>2.38</v>
          </cell>
          <cell r="F531">
            <v>3558.1</v>
          </cell>
          <cell r="G531" t="str">
            <v>레이스랩</v>
          </cell>
          <cell r="H531" t="str">
            <v>7-1.LaceLab</v>
          </cell>
          <cell r="I531" t="str">
            <v>Black/Tan Rope Laces</v>
          </cell>
        </row>
        <row r="532">
          <cell r="A532" t="str">
            <v>R26</v>
          </cell>
          <cell r="B532" t="str">
            <v>R26-[레이스랩]Cream/White Rope Laces</v>
          </cell>
          <cell r="C532">
            <v>10000</v>
          </cell>
          <cell r="D532" t="str">
            <v>Rope Laces</v>
          </cell>
          <cell r="E532">
            <v>2.38</v>
          </cell>
          <cell r="F532">
            <v>3558.1</v>
          </cell>
          <cell r="G532" t="str">
            <v>레이스랩</v>
          </cell>
          <cell r="H532" t="str">
            <v>7-1.LaceLab</v>
          </cell>
          <cell r="I532" t="str">
            <v>Cream/White Rope Laces</v>
          </cell>
        </row>
        <row r="533">
          <cell r="A533" t="str">
            <v>R27</v>
          </cell>
          <cell r="B533" t="str">
            <v>R27-[레이스랩]Black/Metallic Gold v2.0 Rope Laces</v>
          </cell>
          <cell r="C533">
            <v>10000</v>
          </cell>
          <cell r="D533" t="str">
            <v>Rope Laces</v>
          </cell>
          <cell r="E533">
            <v>2.38</v>
          </cell>
          <cell r="F533">
            <v>3558.1</v>
          </cell>
          <cell r="G533" t="str">
            <v>레이스랩</v>
          </cell>
          <cell r="H533" t="str">
            <v>7-1.LaceLab</v>
          </cell>
          <cell r="I533" t="str">
            <v>Black/Metallic Gold v2.0 Rope Laces</v>
          </cell>
        </row>
        <row r="534">
          <cell r="A534" t="str">
            <v>R28</v>
          </cell>
          <cell r="B534" t="str">
            <v>R28-[레이스랩]White/Metallic Gold v2.0 Rope Laces</v>
          </cell>
          <cell r="C534">
            <v>10000</v>
          </cell>
          <cell r="D534" t="str">
            <v>Rope Laces</v>
          </cell>
          <cell r="E534">
            <v>2.38</v>
          </cell>
          <cell r="F534">
            <v>3558.1</v>
          </cell>
          <cell r="G534" t="str">
            <v>레이스랩</v>
          </cell>
          <cell r="H534" t="str">
            <v>7-1.LaceLab</v>
          </cell>
          <cell r="I534" t="str">
            <v>White/Metallic Gold v2.0 Rope Laces</v>
          </cell>
        </row>
        <row r="535">
          <cell r="A535" t="str">
            <v>R29</v>
          </cell>
          <cell r="B535" t="str">
            <v>R29-[레이스랩]Green/Black Rope Laces</v>
          </cell>
          <cell r="C535">
            <v>10000</v>
          </cell>
          <cell r="D535" t="str">
            <v>Rope Laces</v>
          </cell>
          <cell r="E535">
            <v>2.38</v>
          </cell>
          <cell r="F535">
            <v>3558.1</v>
          </cell>
          <cell r="G535" t="str">
            <v>레이스랩</v>
          </cell>
          <cell r="H535" t="str">
            <v>7-1.LaceLab</v>
          </cell>
          <cell r="I535" t="str">
            <v>Green/Black Rope Laces</v>
          </cell>
        </row>
        <row r="536">
          <cell r="A536" t="str">
            <v>R30</v>
          </cell>
          <cell r="B536" t="str">
            <v>R30-[레이스랩]Burgundy/Grey Rope Laces</v>
          </cell>
          <cell r="C536">
            <v>10000</v>
          </cell>
          <cell r="D536" t="str">
            <v>Rope Laces</v>
          </cell>
          <cell r="E536">
            <v>2.38</v>
          </cell>
          <cell r="F536">
            <v>3558.1</v>
          </cell>
          <cell r="G536" t="str">
            <v>레이스랩</v>
          </cell>
          <cell r="H536" t="str">
            <v>7-1.LaceLab</v>
          </cell>
          <cell r="I536" t="str">
            <v>Burgundy/Grey Rope Laces</v>
          </cell>
        </row>
        <row r="537">
          <cell r="A537" t="str">
            <v>R31</v>
          </cell>
          <cell r="B537" t="str">
            <v>R31-[레이스랩]Navy Blue/Burgundy Rope Laces</v>
          </cell>
          <cell r="C537">
            <v>10000</v>
          </cell>
          <cell r="D537" t="str">
            <v>Rope Laces</v>
          </cell>
          <cell r="E537">
            <v>2.38</v>
          </cell>
          <cell r="F537">
            <v>3558.1</v>
          </cell>
          <cell r="G537" t="str">
            <v>레이스랩</v>
          </cell>
          <cell r="H537" t="str">
            <v>7-1.LaceLab</v>
          </cell>
          <cell r="I537" t="str">
            <v>Navy Blue/Burgundy Rope Laces</v>
          </cell>
        </row>
        <row r="538">
          <cell r="A538" t="str">
            <v>R32</v>
          </cell>
          <cell r="B538" t="str">
            <v>R32-[레이스랩]Sail Blue Rope Laces</v>
          </cell>
          <cell r="C538">
            <v>10000</v>
          </cell>
          <cell r="D538" t="str">
            <v>Rope Laces</v>
          </cell>
          <cell r="E538">
            <v>2.38</v>
          </cell>
          <cell r="F538">
            <v>3558.1</v>
          </cell>
          <cell r="G538" t="str">
            <v>레이스랩</v>
          </cell>
          <cell r="H538" t="str">
            <v>7-1.LaceLab</v>
          </cell>
          <cell r="I538" t="str">
            <v>Sail Blue Rope Laces</v>
          </cell>
        </row>
        <row r="539">
          <cell r="A539" t="str">
            <v>R33</v>
          </cell>
          <cell r="B539" t="str">
            <v>R33-[레이스랩]Team Red/White Rope Laces</v>
          </cell>
          <cell r="C539">
            <v>10000</v>
          </cell>
          <cell r="D539" t="str">
            <v>Rope Laces</v>
          </cell>
          <cell r="E539">
            <v>2.38</v>
          </cell>
          <cell r="F539">
            <v>3558.1</v>
          </cell>
          <cell r="G539" t="str">
            <v>레이스랩</v>
          </cell>
          <cell r="H539" t="str">
            <v>7-1.LaceLab</v>
          </cell>
          <cell r="I539" t="str">
            <v>Team Red/White Rope Laces</v>
          </cell>
        </row>
        <row r="540">
          <cell r="A540" t="str">
            <v>R34</v>
          </cell>
          <cell r="B540" t="str">
            <v>R34-[레이스랩]Beige Rope Laces</v>
          </cell>
          <cell r="C540">
            <v>10000</v>
          </cell>
          <cell r="D540" t="str">
            <v>Rope Laces</v>
          </cell>
          <cell r="E540">
            <v>2.38</v>
          </cell>
          <cell r="F540">
            <v>3558.1</v>
          </cell>
          <cell r="G540" t="str">
            <v>레이스랩</v>
          </cell>
          <cell r="H540" t="str">
            <v>7-1.LaceLab</v>
          </cell>
          <cell r="I540" t="str">
            <v>Beige Rope Laces</v>
          </cell>
        </row>
        <row r="541">
          <cell r="A541" t="str">
            <v>R35</v>
          </cell>
          <cell r="B541" t="str">
            <v>R35-[레이스랩]Black Rope Laces</v>
          </cell>
          <cell r="C541">
            <v>10000</v>
          </cell>
          <cell r="D541" t="str">
            <v>Rope Laces</v>
          </cell>
          <cell r="E541">
            <v>2.38</v>
          </cell>
          <cell r="F541">
            <v>3558.1</v>
          </cell>
          <cell r="G541" t="str">
            <v>레이스랩</v>
          </cell>
          <cell r="H541" t="str">
            <v>7-1.LaceLab</v>
          </cell>
          <cell r="I541" t="str">
            <v>Black Rope Laces</v>
          </cell>
        </row>
        <row r="542">
          <cell r="A542" t="str">
            <v>R36</v>
          </cell>
          <cell r="B542" t="str">
            <v>R36-[레이스랩]White Rope Laces</v>
          </cell>
          <cell r="C542">
            <v>10000</v>
          </cell>
          <cell r="D542" t="str">
            <v>Rope Laces</v>
          </cell>
          <cell r="E542">
            <v>2.38</v>
          </cell>
          <cell r="F542">
            <v>3558.1</v>
          </cell>
          <cell r="G542" t="str">
            <v>레이스랩</v>
          </cell>
          <cell r="H542" t="str">
            <v>7-1.LaceLab</v>
          </cell>
          <cell r="I542" t="str">
            <v>White Rope Laces</v>
          </cell>
        </row>
        <row r="543">
          <cell r="A543" t="str">
            <v>R37</v>
          </cell>
          <cell r="B543" t="str">
            <v>R37-[레이스랩]Blue Rope Laces</v>
          </cell>
          <cell r="C543">
            <v>10000</v>
          </cell>
          <cell r="D543" t="str">
            <v>Rope Laces</v>
          </cell>
          <cell r="E543">
            <v>2.38</v>
          </cell>
          <cell r="F543">
            <v>3558.1</v>
          </cell>
          <cell r="G543" t="str">
            <v>레이스랩</v>
          </cell>
          <cell r="H543" t="str">
            <v>7-1.LaceLab</v>
          </cell>
          <cell r="I543" t="str">
            <v>Blue Rope Laces</v>
          </cell>
        </row>
        <row r="544">
          <cell r="A544" t="str">
            <v>R38</v>
          </cell>
          <cell r="B544" t="str">
            <v>R38-[레이스랩]Red Rope Laces</v>
          </cell>
          <cell r="C544">
            <v>10000</v>
          </cell>
          <cell r="D544" t="str">
            <v>Rope Laces</v>
          </cell>
          <cell r="E544">
            <v>2.38</v>
          </cell>
          <cell r="F544">
            <v>3558.1</v>
          </cell>
          <cell r="G544" t="str">
            <v>레이스랩</v>
          </cell>
          <cell r="H544" t="str">
            <v>7-1.LaceLab</v>
          </cell>
          <cell r="I544" t="str">
            <v>Red Rope Laces</v>
          </cell>
        </row>
        <row r="545">
          <cell r="A545" t="str">
            <v>R39</v>
          </cell>
          <cell r="B545" t="str">
            <v>R39-[레이스랩]Navy Blue Rope Laces</v>
          </cell>
          <cell r="C545">
            <v>10000</v>
          </cell>
          <cell r="D545" t="str">
            <v>Rope Laces</v>
          </cell>
          <cell r="E545">
            <v>2.38</v>
          </cell>
          <cell r="F545">
            <v>3558.1</v>
          </cell>
          <cell r="G545" t="str">
            <v>레이스랩</v>
          </cell>
          <cell r="H545" t="str">
            <v>7-1.LaceLab</v>
          </cell>
          <cell r="I545" t="str">
            <v>Navy Blue Rope Laces</v>
          </cell>
        </row>
        <row r="546">
          <cell r="A546" t="str">
            <v>3M01</v>
          </cell>
          <cell r="B546" t="str">
            <v>3M01-[레이스랩]Black 3M Reflective Rope Laces</v>
          </cell>
          <cell r="C546">
            <v>11000</v>
          </cell>
          <cell r="D546" t="str">
            <v>3M Reflective Rope Laces</v>
          </cell>
          <cell r="E546">
            <v>2.78</v>
          </cell>
          <cell r="F546">
            <v>4156.1000000000004</v>
          </cell>
          <cell r="G546" t="str">
            <v>레이스랩</v>
          </cell>
          <cell r="H546" t="str">
            <v>7-1.LaceLab</v>
          </cell>
          <cell r="I546" t="str">
            <v>Black 3M Reflective Rope Laces</v>
          </cell>
        </row>
        <row r="547">
          <cell r="A547" t="str">
            <v>3M02</v>
          </cell>
          <cell r="B547" t="str">
            <v>3M02-[레이스랩]Blue 3M Reflective Rope Laces</v>
          </cell>
          <cell r="C547">
            <v>11000</v>
          </cell>
          <cell r="D547" t="str">
            <v>3M Reflective Rope Laces</v>
          </cell>
          <cell r="E547">
            <v>2.78</v>
          </cell>
          <cell r="F547">
            <v>4156.1000000000004</v>
          </cell>
          <cell r="G547" t="str">
            <v>레이스랩</v>
          </cell>
          <cell r="H547" t="str">
            <v>7-1.LaceLab</v>
          </cell>
          <cell r="I547" t="str">
            <v>Blue 3M Reflective Rope Laces</v>
          </cell>
        </row>
        <row r="548">
          <cell r="A548" t="str">
            <v>3M03</v>
          </cell>
          <cell r="B548" t="str">
            <v>3M03-[레이스랩]White 3M Reflective Rope Laces</v>
          </cell>
          <cell r="C548">
            <v>11000</v>
          </cell>
          <cell r="D548" t="str">
            <v>3M Reflective Rope Laces</v>
          </cell>
          <cell r="E548">
            <v>2.78</v>
          </cell>
          <cell r="F548">
            <v>4156.1000000000004</v>
          </cell>
          <cell r="G548" t="str">
            <v>레이스랩</v>
          </cell>
          <cell r="H548" t="str">
            <v>7-1.LaceLab</v>
          </cell>
          <cell r="I548" t="str">
            <v>White 3M Reflective Rope Laces</v>
          </cell>
        </row>
        <row r="549">
          <cell r="A549" t="str">
            <v>3M04</v>
          </cell>
          <cell r="B549" t="str">
            <v>3M04-[레이스랩]Red 3M Reflective Rope Laces</v>
          </cell>
          <cell r="C549">
            <v>11000</v>
          </cell>
          <cell r="D549" t="str">
            <v>3M Reflective Rope Laces</v>
          </cell>
          <cell r="E549">
            <v>2.78</v>
          </cell>
          <cell r="F549">
            <v>4156.1000000000004</v>
          </cell>
          <cell r="G549" t="str">
            <v>레이스랩</v>
          </cell>
          <cell r="H549" t="str">
            <v>7-1.LaceLab</v>
          </cell>
          <cell r="I549" t="str">
            <v>Red 3M Reflective Rope Laces</v>
          </cell>
        </row>
        <row r="550">
          <cell r="A550" t="str">
            <v>3M05</v>
          </cell>
          <cell r="B550" t="str">
            <v>3M05-[레이스랩]Grey 3M/3M Reflective Rope Laces</v>
          </cell>
          <cell r="C550">
            <v>11000</v>
          </cell>
          <cell r="D550" t="str">
            <v>3M Reflective Rope Laces</v>
          </cell>
          <cell r="E550">
            <v>2.78</v>
          </cell>
          <cell r="F550">
            <v>4156.1000000000004</v>
          </cell>
          <cell r="G550" t="str">
            <v>레이스랩</v>
          </cell>
          <cell r="H550" t="str">
            <v>7-1.LaceLab</v>
          </cell>
          <cell r="I550" t="str">
            <v>Grey 3M/3M Reflective Rope Laces</v>
          </cell>
        </row>
        <row r="551">
          <cell r="A551" t="str">
            <v>3M06</v>
          </cell>
          <cell r="B551" t="str">
            <v>3M06-[레이스랩]Olive 3M Reflective Rope Laces</v>
          </cell>
          <cell r="C551">
            <v>11000</v>
          </cell>
          <cell r="D551" t="str">
            <v>3M Reflective Rope Laces</v>
          </cell>
          <cell r="E551">
            <v>2.78</v>
          </cell>
          <cell r="F551">
            <v>4156.1000000000004</v>
          </cell>
          <cell r="G551" t="str">
            <v>레이스랩</v>
          </cell>
          <cell r="H551" t="str">
            <v>7-1.LaceLab</v>
          </cell>
          <cell r="I551" t="str">
            <v>Olive 3M Reflective Rope Laces</v>
          </cell>
        </row>
        <row r="552">
          <cell r="A552" t="str">
            <v>3M07</v>
          </cell>
          <cell r="B552" t="str">
            <v>3M07-[레이스랩]Volt 3M Reflective Rope Laces</v>
          </cell>
          <cell r="C552">
            <v>11000</v>
          </cell>
          <cell r="D552" t="str">
            <v>3M Reflective Rope Laces</v>
          </cell>
          <cell r="E552">
            <v>2.78</v>
          </cell>
          <cell r="F552">
            <v>4156.1000000000004</v>
          </cell>
          <cell r="G552" t="str">
            <v>레이스랩</v>
          </cell>
          <cell r="H552" t="str">
            <v>7-1.LaceLab</v>
          </cell>
          <cell r="I552" t="str">
            <v>Volt 3M Reflective Rope Laces</v>
          </cell>
        </row>
        <row r="553">
          <cell r="A553" t="str">
            <v>3M08</v>
          </cell>
          <cell r="B553" t="str">
            <v>3M08-[레이스랩]Mint 3M Reflective Rope Laces</v>
          </cell>
          <cell r="C553">
            <v>11000</v>
          </cell>
          <cell r="D553" t="str">
            <v>3M Reflective Rope Laces</v>
          </cell>
          <cell r="E553">
            <v>2.78</v>
          </cell>
          <cell r="F553">
            <v>4156.1000000000004</v>
          </cell>
          <cell r="G553" t="str">
            <v>레이스랩</v>
          </cell>
          <cell r="H553" t="str">
            <v>7-1.LaceLab</v>
          </cell>
          <cell r="I553" t="str">
            <v>Mint 3M Reflective Rope Laces</v>
          </cell>
        </row>
        <row r="554">
          <cell r="A554" t="str">
            <v>3M09</v>
          </cell>
          <cell r="B554" t="str">
            <v>3M09-[레이스랩]Cove Blue 3M Reflective Rope Laces</v>
          </cell>
          <cell r="C554">
            <v>11000</v>
          </cell>
          <cell r="D554" t="str">
            <v>3M Reflective Rope Laces</v>
          </cell>
          <cell r="E554">
            <v>2.78</v>
          </cell>
          <cell r="F554">
            <v>4156.1000000000004</v>
          </cell>
          <cell r="G554" t="str">
            <v>레이스랩</v>
          </cell>
          <cell r="H554" t="str">
            <v>7-1.LaceLab</v>
          </cell>
          <cell r="I554" t="str">
            <v>Cove Blue 3M Reflective Rope Laces</v>
          </cell>
        </row>
        <row r="555">
          <cell r="A555" t="str">
            <v>3M10</v>
          </cell>
          <cell r="B555" t="str">
            <v>3M10-[레이스랩]Yellow 3M Reflective Rope Laces</v>
          </cell>
          <cell r="C555">
            <v>11000</v>
          </cell>
          <cell r="D555" t="str">
            <v>3M Reflective Rope Laces</v>
          </cell>
          <cell r="E555">
            <v>2.78</v>
          </cell>
          <cell r="F555">
            <v>4156.1000000000004</v>
          </cell>
          <cell r="G555" t="str">
            <v>레이스랩</v>
          </cell>
          <cell r="H555" t="str">
            <v>7-1.LaceLab</v>
          </cell>
          <cell r="I555" t="str">
            <v>Yellow 3M Reflective Rope Laces</v>
          </cell>
        </row>
        <row r="556">
          <cell r="A556" t="str">
            <v>3M11</v>
          </cell>
          <cell r="B556" t="str">
            <v>3M11-[레이스랩]Purple 3M Reflective Rope Laces</v>
          </cell>
          <cell r="C556">
            <v>11000</v>
          </cell>
          <cell r="D556" t="str">
            <v>3M Reflective Rope Laces</v>
          </cell>
          <cell r="E556">
            <v>2.78</v>
          </cell>
          <cell r="F556">
            <v>4156.1000000000004</v>
          </cell>
          <cell r="G556" t="str">
            <v>레이스랩</v>
          </cell>
          <cell r="H556" t="str">
            <v>7-1.LaceLab</v>
          </cell>
          <cell r="I556" t="str">
            <v>Purple 3M Reflective Rope Laces</v>
          </cell>
        </row>
        <row r="557">
          <cell r="A557" t="str">
            <v>3M12</v>
          </cell>
          <cell r="B557" t="str">
            <v>3M12-[레이스랩]Orange 3M Reflective Rope Laces</v>
          </cell>
          <cell r="C557">
            <v>11000</v>
          </cell>
          <cell r="D557" t="str">
            <v>3M Reflective Rope Laces</v>
          </cell>
          <cell r="E557">
            <v>2.78</v>
          </cell>
          <cell r="F557">
            <v>4156.1000000000004</v>
          </cell>
          <cell r="G557" t="str">
            <v>레이스랩</v>
          </cell>
          <cell r="H557" t="str">
            <v>7-1.LaceLab</v>
          </cell>
          <cell r="I557" t="str">
            <v>Orange 3M Reflective Rope Laces</v>
          </cell>
        </row>
        <row r="558">
          <cell r="A558" t="str">
            <v>3M13</v>
          </cell>
          <cell r="B558" t="str">
            <v>3M13-[레이스랩]Pink 3M Reflective Rope Laces</v>
          </cell>
          <cell r="C558">
            <v>11000</v>
          </cell>
          <cell r="D558" t="str">
            <v>3M Reflective Rope Laces</v>
          </cell>
          <cell r="E558">
            <v>2.78</v>
          </cell>
          <cell r="F558">
            <v>4156.1000000000004</v>
          </cell>
          <cell r="G558" t="str">
            <v>레이스랩</v>
          </cell>
          <cell r="H558" t="str">
            <v>7-1.LaceLab</v>
          </cell>
          <cell r="I558" t="str">
            <v>Pink 3M Reflective Rope Laces</v>
          </cell>
        </row>
        <row r="559">
          <cell r="A559" t="str">
            <v>3M14</v>
          </cell>
          <cell r="B559" t="str">
            <v>3M14-[레이스랩]Green 3M Reflective Rope Laces</v>
          </cell>
          <cell r="C559">
            <v>11000</v>
          </cell>
          <cell r="D559" t="str">
            <v>3M Reflective Rope Laces</v>
          </cell>
          <cell r="E559">
            <v>2.78</v>
          </cell>
          <cell r="F559">
            <v>4156.1000000000004</v>
          </cell>
          <cell r="G559" t="str">
            <v>레이스랩</v>
          </cell>
          <cell r="H559" t="str">
            <v>7-1.LaceLab</v>
          </cell>
          <cell r="I559" t="str">
            <v>Green 3M Reflective Rope Laces</v>
          </cell>
        </row>
        <row r="560">
          <cell r="A560" t="str">
            <v>3M15</v>
          </cell>
          <cell r="B560" t="str">
            <v>3M15-[레이스랩]Sapphire 3M Reflective Rope Laces</v>
          </cell>
          <cell r="C560">
            <v>11000</v>
          </cell>
          <cell r="D560" t="str">
            <v>3M Reflective Rope Laces</v>
          </cell>
          <cell r="E560">
            <v>2.78</v>
          </cell>
          <cell r="F560">
            <v>4156.1000000000004</v>
          </cell>
          <cell r="G560" t="str">
            <v>레이스랩</v>
          </cell>
          <cell r="H560" t="str">
            <v>7-1.LaceLab</v>
          </cell>
          <cell r="I560" t="str">
            <v>Sapphire 3M Reflective Rope Laces</v>
          </cell>
        </row>
        <row r="561">
          <cell r="A561" t="str">
            <v>I01</v>
          </cell>
          <cell r="B561" t="str">
            <v>I01-[레이스랩]Black 3M Inverse Rope Laces</v>
          </cell>
          <cell r="C561">
            <v>11000</v>
          </cell>
          <cell r="D561" t="str">
            <v>3M Inverse Rope Laces</v>
          </cell>
          <cell r="E561">
            <v>2.78</v>
          </cell>
          <cell r="F561">
            <v>4156.1000000000004</v>
          </cell>
          <cell r="G561" t="str">
            <v>레이스랩</v>
          </cell>
          <cell r="H561" t="str">
            <v>7-1.LaceLab</v>
          </cell>
          <cell r="I561" t="str">
            <v>Black 3M Inverse Rope Laces</v>
          </cell>
        </row>
        <row r="562">
          <cell r="A562" t="str">
            <v>I02</v>
          </cell>
          <cell r="B562" t="str">
            <v>I02-[레이스랩]White 3M Inverse Rope Laces</v>
          </cell>
          <cell r="C562">
            <v>11000</v>
          </cell>
          <cell r="D562" t="str">
            <v>3M Inverse Rope Laces</v>
          </cell>
          <cell r="E562">
            <v>2.78</v>
          </cell>
          <cell r="F562">
            <v>4156.1000000000004</v>
          </cell>
          <cell r="G562" t="str">
            <v>레이스랩</v>
          </cell>
          <cell r="H562" t="str">
            <v>7-1.LaceLab</v>
          </cell>
          <cell r="I562" t="str">
            <v>White 3M Inverse Rope Laces</v>
          </cell>
        </row>
        <row r="563">
          <cell r="A563" t="str">
            <v>I03</v>
          </cell>
          <cell r="B563" t="str">
            <v>I03-[레이스랩]Blue 3M Inverse Rope Laces</v>
          </cell>
          <cell r="C563">
            <v>11000</v>
          </cell>
          <cell r="D563" t="str">
            <v>3M Inverse Rope Laces</v>
          </cell>
          <cell r="E563">
            <v>2.78</v>
          </cell>
          <cell r="F563">
            <v>4156.1000000000004</v>
          </cell>
          <cell r="G563" t="str">
            <v>레이스랩</v>
          </cell>
          <cell r="H563" t="str">
            <v>7-1.LaceLab</v>
          </cell>
          <cell r="I563" t="str">
            <v>Blue 3M Inverse Rope Laces</v>
          </cell>
        </row>
        <row r="564">
          <cell r="A564" t="str">
            <v>I04</v>
          </cell>
          <cell r="B564" t="str">
            <v>I04-[레이스랩]Red 3M Inverse Rope Laces</v>
          </cell>
          <cell r="C564">
            <v>11000</v>
          </cell>
          <cell r="D564" t="str">
            <v>3M Inverse Rope Laces</v>
          </cell>
          <cell r="E564">
            <v>2.78</v>
          </cell>
          <cell r="F564">
            <v>4156.1000000000004</v>
          </cell>
          <cell r="G564" t="str">
            <v>레이스랩</v>
          </cell>
          <cell r="H564" t="str">
            <v>7-1.LaceLab</v>
          </cell>
          <cell r="I564" t="str">
            <v>Red 3M Inverse Rope Laces</v>
          </cell>
        </row>
        <row r="565">
          <cell r="A565" t="str">
            <v>I05</v>
          </cell>
          <cell r="B565" t="str">
            <v>I05-[레이스랩]Charcoal 3M Inverse Rope Laces</v>
          </cell>
          <cell r="C565">
            <v>11000</v>
          </cell>
          <cell r="D565" t="str">
            <v>3M Inverse Rope Laces</v>
          </cell>
          <cell r="E565">
            <v>2.78</v>
          </cell>
          <cell r="F565">
            <v>4156.1000000000004</v>
          </cell>
          <cell r="G565" t="str">
            <v>레이스랩</v>
          </cell>
          <cell r="H565" t="str">
            <v>7-1.LaceLab</v>
          </cell>
          <cell r="I565" t="str">
            <v>Charcoal 3M Inverse Rope Laces</v>
          </cell>
        </row>
        <row r="566">
          <cell r="A566" t="str">
            <v>I06</v>
          </cell>
          <cell r="B566" t="str">
            <v>I06-[레이스랩]Mint 3M Inverse Rope Laces</v>
          </cell>
          <cell r="C566">
            <v>11000</v>
          </cell>
          <cell r="D566" t="str">
            <v>3M Inverse Rope Laces</v>
          </cell>
          <cell r="E566">
            <v>2.78</v>
          </cell>
          <cell r="F566">
            <v>4156.1000000000004</v>
          </cell>
          <cell r="G566" t="str">
            <v>레이스랩</v>
          </cell>
          <cell r="H566" t="str">
            <v>7-1.LaceLab</v>
          </cell>
          <cell r="I566" t="str">
            <v>Mint 3M Inverse Rope Laces</v>
          </cell>
        </row>
        <row r="567">
          <cell r="A567" t="str">
            <v>I07</v>
          </cell>
          <cell r="B567" t="str">
            <v>I07-[레이스랩]Cove Blue 3M Inverse Rope Laces</v>
          </cell>
          <cell r="C567">
            <v>11000</v>
          </cell>
          <cell r="D567" t="str">
            <v>3M Inverse Rope Laces</v>
          </cell>
          <cell r="E567">
            <v>2.78</v>
          </cell>
          <cell r="F567">
            <v>4156.1000000000004</v>
          </cell>
          <cell r="G567" t="str">
            <v>레이스랩</v>
          </cell>
          <cell r="H567" t="str">
            <v>7-1.LaceLab</v>
          </cell>
          <cell r="I567" t="str">
            <v>Cove Blue 3M Inverse Rope Laces</v>
          </cell>
        </row>
        <row r="568">
          <cell r="A568" t="str">
            <v>I08</v>
          </cell>
          <cell r="B568" t="str">
            <v>I08-[레이스랩]Volt 3M Inverse Rope Laces</v>
          </cell>
          <cell r="C568">
            <v>11000</v>
          </cell>
          <cell r="D568" t="str">
            <v>3M Inverse Rope Laces</v>
          </cell>
          <cell r="E568">
            <v>2.78</v>
          </cell>
          <cell r="F568">
            <v>4156.1000000000004</v>
          </cell>
          <cell r="G568" t="str">
            <v>레이스랩</v>
          </cell>
          <cell r="H568" t="str">
            <v>7-1.LaceLab</v>
          </cell>
          <cell r="I568" t="str">
            <v>Volt 3M Inverse Rope Laces</v>
          </cell>
        </row>
        <row r="569">
          <cell r="A569" t="str">
            <v>F01</v>
          </cell>
          <cell r="B569" t="str">
            <v>F01-[레이스랩]White Shoe Laces</v>
          </cell>
          <cell r="C569">
            <v>8000</v>
          </cell>
          <cell r="D569" t="str">
            <v>Shoe Laces</v>
          </cell>
          <cell r="E569">
            <v>1.98</v>
          </cell>
          <cell r="F569">
            <v>2960.1</v>
          </cell>
          <cell r="G569" t="str">
            <v>레이스랩</v>
          </cell>
          <cell r="H569" t="str">
            <v>7-1.LaceLab</v>
          </cell>
          <cell r="I569" t="str">
            <v>White Shoe Laces</v>
          </cell>
        </row>
        <row r="570">
          <cell r="A570" t="str">
            <v>F02</v>
          </cell>
          <cell r="B570" t="str">
            <v>F02-[레이스랩]Black Shoe Laces</v>
          </cell>
          <cell r="C570">
            <v>8000</v>
          </cell>
          <cell r="D570" t="str">
            <v>Shoe Laces</v>
          </cell>
          <cell r="E570">
            <v>1.98</v>
          </cell>
          <cell r="F570">
            <v>2960.1</v>
          </cell>
          <cell r="G570" t="str">
            <v>레이스랩</v>
          </cell>
          <cell r="H570" t="str">
            <v>7-1.LaceLab</v>
          </cell>
          <cell r="I570" t="str">
            <v>Black Shoe Laces</v>
          </cell>
        </row>
        <row r="571">
          <cell r="A571" t="str">
            <v>F03</v>
          </cell>
          <cell r="B571" t="str">
            <v>F03-[레이스랩]Red Shoe Laces</v>
          </cell>
          <cell r="C571">
            <v>8000</v>
          </cell>
          <cell r="D571" t="str">
            <v>Shoe Laces</v>
          </cell>
          <cell r="E571">
            <v>1.98</v>
          </cell>
          <cell r="F571">
            <v>2960.1</v>
          </cell>
          <cell r="G571" t="str">
            <v>레이스랩</v>
          </cell>
          <cell r="H571" t="str">
            <v>7-1.LaceLab</v>
          </cell>
          <cell r="I571" t="str">
            <v>Red Shoe Laces</v>
          </cell>
        </row>
        <row r="572">
          <cell r="A572" t="str">
            <v>F04</v>
          </cell>
          <cell r="B572" t="str">
            <v>F04-[레이스랩]Royal Blue Shoe Laces</v>
          </cell>
          <cell r="C572">
            <v>8000</v>
          </cell>
          <cell r="D572" t="str">
            <v>Shoe Laces</v>
          </cell>
          <cell r="E572">
            <v>1.98</v>
          </cell>
          <cell r="F572">
            <v>2960.1</v>
          </cell>
          <cell r="G572" t="str">
            <v>레이스랩</v>
          </cell>
          <cell r="H572" t="str">
            <v>7-1.LaceLab</v>
          </cell>
          <cell r="I572" t="str">
            <v>Royal Blue Shoe Laces</v>
          </cell>
        </row>
        <row r="573">
          <cell r="A573" t="str">
            <v>F05</v>
          </cell>
          <cell r="B573" t="str">
            <v>F05-[레이스랩]Mint Shoe Laces</v>
          </cell>
          <cell r="C573">
            <v>8000</v>
          </cell>
          <cell r="D573" t="str">
            <v>Shoe Laces</v>
          </cell>
          <cell r="E573">
            <v>1.98</v>
          </cell>
          <cell r="F573">
            <v>2960.1</v>
          </cell>
          <cell r="G573" t="str">
            <v>레이스랩</v>
          </cell>
          <cell r="H573" t="str">
            <v>7-1.LaceLab</v>
          </cell>
          <cell r="I573" t="str">
            <v>Mint Shoe Laces</v>
          </cell>
        </row>
        <row r="574">
          <cell r="A574" t="str">
            <v>F06</v>
          </cell>
          <cell r="B574" t="str">
            <v>F06-[레이스랩]Bahama Blue Shoe Laces</v>
          </cell>
          <cell r="C574">
            <v>8000</v>
          </cell>
          <cell r="D574" t="str">
            <v>Shoe Laces</v>
          </cell>
          <cell r="E574">
            <v>1.98</v>
          </cell>
          <cell r="F574">
            <v>2960.1</v>
          </cell>
          <cell r="G574" t="str">
            <v>레이스랩</v>
          </cell>
          <cell r="H574" t="str">
            <v>7-1.LaceLab</v>
          </cell>
          <cell r="I574" t="str">
            <v>Bahama Blue Shoe Laces</v>
          </cell>
        </row>
        <row r="575">
          <cell r="A575" t="str">
            <v>F07</v>
          </cell>
          <cell r="B575" t="str">
            <v>F07-[레이스랩]Maize Shoe Laces</v>
          </cell>
          <cell r="C575">
            <v>8000</v>
          </cell>
          <cell r="D575" t="str">
            <v>Shoe Laces</v>
          </cell>
          <cell r="E575">
            <v>1.98</v>
          </cell>
          <cell r="F575">
            <v>2960.1</v>
          </cell>
          <cell r="G575" t="str">
            <v>레이스랩</v>
          </cell>
          <cell r="H575" t="str">
            <v>7-1.LaceLab</v>
          </cell>
          <cell r="I575" t="str">
            <v>Maize Shoe Laces</v>
          </cell>
        </row>
        <row r="576">
          <cell r="A576" t="str">
            <v>F08</v>
          </cell>
          <cell r="B576" t="str">
            <v>F08-[레이스랩]Maroon Shoe Laces</v>
          </cell>
          <cell r="C576">
            <v>8000</v>
          </cell>
          <cell r="D576" t="str">
            <v>Shoe Laces</v>
          </cell>
          <cell r="E576">
            <v>1.98</v>
          </cell>
          <cell r="F576">
            <v>2960.1</v>
          </cell>
          <cell r="G576" t="str">
            <v>레이스랩</v>
          </cell>
          <cell r="H576" t="str">
            <v>7-1.LaceLab</v>
          </cell>
          <cell r="I576" t="str">
            <v>Maroon Shoe Laces</v>
          </cell>
        </row>
        <row r="577">
          <cell r="A577" t="str">
            <v>F09</v>
          </cell>
          <cell r="B577" t="str">
            <v>F09-[레이스랩]Navy Blue Shoe Laces</v>
          </cell>
          <cell r="C577">
            <v>8000</v>
          </cell>
          <cell r="D577" t="str">
            <v>Shoe Laces</v>
          </cell>
          <cell r="E577">
            <v>1.98</v>
          </cell>
          <cell r="F577">
            <v>2960.1</v>
          </cell>
          <cell r="G577" t="str">
            <v>레이스랩</v>
          </cell>
          <cell r="H577" t="str">
            <v>7-1.LaceLab</v>
          </cell>
          <cell r="I577" t="str">
            <v>Navy Blue Shoe Laces</v>
          </cell>
        </row>
        <row r="578">
          <cell r="A578" t="str">
            <v>F10</v>
          </cell>
          <cell r="B578" t="str">
            <v>F10-[레이스랩]Neon Green Shoe Laces</v>
          </cell>
          <cell r="C578">
            <v>8000</v>
          </cell>
          <cell r="D578" t="str">
            <v>Shoe Laces</v>
          </cell>
          <cell r="E578">
            <v>1.98</v>
          </cell>
          <cell r="F578">
            <v>2960.1</v>
          </cell>
          <cell r="G578" t="str">
            <v>레이스랩</v>
          </cell>
          <cell r="H578" t="str">
            <v>7-1.LaceLab</v>
          </cell>
          <cell r="I578" t="str">
            <v>Neon Green Shoe Laces</v>
          </cell>
        </row>
        <row r="579">
          <cell r="A579" t="str">
            <v>F11</v>
          </cell>
          <cell r="B579" t="str">
            <v>F11-[레이스랩]Neon Pink Shoe Laces</v>
          </cell>
          <cell r="C579">
            <v>8000</v>
          </cell>
          <cell r="D579" t="str">
            <v>Shoe Laces</v>
          </cell>
          <cell r="E579">
            <v>1.98</v>
          </cell>
          <cell r="F579">
            <v>2960.1</v>
          </cell>
          <cell r="G579" t="str">
            <v>레이스랩</v>
          </cell>
          <cell r="H579" t="str">
            <v>7-1.LaceLab</v>
          </cell>
          <cell r="I579" t="str">
            <v>Neon Pink Shoe Laces</v>
          </cell>
        </row>
        <row r="580">
          <cell r="A580" t="str">
            <v>F12</v>
          </cell>
          <cell r="B580" t="str">
            <v>F12-[레이스랩]Pale Yellow Shoe Laces</v>
          </cell>
          <cell r="C580">
            <v>8000</v>
          </cell>
          <cell r="D580" t="str">
            <v>Shoe Laces</v>
          </cell>
          <cell r="E580">
            <v>1.98</v>
          </cell>
          <cell r="F580">
            <v>2960.1</v>
          </cell>
          <cell r="G580" t="str">
            <v>레이스랩</v>
          </cell>
          <cell r="H580" t="str">
            <v>7-1.LaceLab</v>
          </cell>
          <cell r="I580" t="str">
            <v>Pale Yellow Shoe Laces</v>
          </cell>
        </row>
        <row r="581">
          <cell r="A581" t="str">
            <v>F13</v>
          </cell>
          <cell r="B581" t="str">
            <v>F13-[레이스랩]Paradise Purple Shoe Laces</v>
          </cell>
          <cell r="C581">
            <v>8000</v>
          </cell>
          <cell r="D581" t="str">
            <v>Shoe Laces</v>
          </cell>
          <cell r="E581">
            <v>1.98</v>
          </cell>
          <cell r="F581">
            <v>2960.1</v>
          </cell>
          <cell r="G581" t="str">
            <v>레이스랩</v>
          </cell>
          <cell r="H581" t="str">
            <v>7-1.LaceLab</v>
          </cell>
          <cell r="I581" t="str">
            <v>Paradise Purple Shoe Laces</v>
          </cell>
        </row>
        <row r="582">
          <cell r="A582" t="str">
            <v>F14</v>
          </cell>
          <cell r="B582" t="str">
            <v>F14-[레이스랩]Pink Shoe Laces</v>
          </cell>
          <cell r="C582">
            <v>8000</v>
          </cell>
          <cell r="D582" t="str">
            <v>Shoe Laces</v>
          </cell>
          <cell r="E582">
            <v>1.98</v>
          </cell>
          <cell r="F582">
            <v>2960.1</v>
          </cell>
          <cell r="G582" t="str">
            <v>레이스랩</v>
          </cell>
          <cell r="H582" t="str">
            <v>7-1.LaceLab</v>
          </cell>
          <cell r="I582" t="str">
            <v>Pink Shoe Laces</v>
          </cell>
        </row>
        <row r="583">
          <cell r="A583" t="str">
            <v>F15</v>
          </cell>
          <cell r="B583" t="str">
            <v>F15-[레이스랩]Purple Shoe Laces</v>
          </cell>
          <cell r="C583">
            <v>8000</v>
          </cell>
          <cell r="D583" t="str">
            <v>Shoe Laces</v>
          </cell>
          <cell r="E583">
            <v>1.98</v>
          </cell>
          <cell r="F583">
            <v>2960.1</v>
          </cell>
          <cell r="G583" t="str">
            <v>레이스랩</v>
          </cell>
          <cell r="H583" t="str">
            <v>7-1.LaceLab</v>
          </cell>
          <cell r="I583" t="str">
            <v>Purple Shoe Laces</v>
          </cell>
        </row>
        <row r="584">
          <cell r="A584" t="str">
            <v>F16</v>
          </cell>
          <cell r="B584" t="str">
            <v>F16-[레이스랩]Silver Shoe Laces</v>
          </cell>
          <cell r="C584">
            <v>8000</v>
          </cell>
          <cell r="D584" t="str">
            <v>Shoe Laces</v>
          </cell>
          <cell r="E584">
            <v>1.98</v>
          </cell>
          <cell r="F584">
            <v>2960.1</v>
          </cell>
          <cell r="G584" t="str">
            <v>레이스랩</v>
          </cell>
          <cell r="H584" t="str">
            <v>7-1.LaceLab</v>
          </cell>
          <cell r="I584" t="str">
            <v>Silver Shoe Laces</v>
          </cell>
        </row>
        <row r="585">
          <cell r="A585" t="str">
            <v>F17</v>
          </cell>
          <cell r="B585" t="str">
            <v>F17-[레이스랩]Teal Shoe Laces</v>
          </cell>
          <cell r="C585">
            <v>8000</v>
          </cell>
          <cell r="D585" t="str">
            <v>Shoe Laces</v>
          </cell>
          <cell r="E585">
            <v>1.98</v>
          </cell>
          <cell r="F585">
            <v>2960.1</v>
          </cell>
          <cell r="G585" t="str">
            <v>레이스랩</v>
          </cell>
          <cell r="H585" t="str">
            <v>7-1.LaceLab</v>
          </cell>
          <cell r="I585" t="str">
            <v>Teal Shoe Laces</v>
          </cell>
        </row>
        <row r="586">
          <cell r="A586" t="str">
            <v>F18</v>
          </cell>
          <cell r="B586" t="str">
            <v>F18-[레이스랩]Volt Shoe Laces</v>
          </cell>
          <cell r="C586">
            <v>8000</v>
          </cell>
          <cell r="D586" t="str">
            <v>Shoe Laces</v>
          </cell>
          <cell r="E586">
            <v>1.98</v>
          </cell>
          <cell r="F586">
            <v>2960.1</v>
          </cell>
          <cell r="G586" t="str">
            <v>레이스랩</v>
          </cell>
          <cell r="H586" t="str">
            <v>7-1.LaceLab</v>
          </cell>
          <cell r="I586" t="str">
            <v>Volt Shoe Laces</v>
          </cell>
        </row>
        <row r="587">
          <cell r="A587" t="str">
            <v>F19</v>
          </cell>
          <cell r="B587" t="str">
            <v>F19-[레이스랩]Olive Shoe Laces</v>
          </cell>
          <cell r="C587">
            <v>8000</v>
          </cell>
          <cell r="D587" t="str">
            <v>Shoe Laces</v>
          </cell>
          <cell r="E587">
            <v>1.98</v>
          </cell>
          <cell r="F587">
            <v>2960.1</v>
          </cell>
          <cell r="G587" t="str">
            <v>레이스랩</v>
          </cell>
          <cell r="H587" t="str">
            <v>7-1.LaceLab</v>
          </cell>
          <cell r="I587" t="str">
            <v>Olive Shoe Laces</v>
          </cell>
        </row>
        <row r="588">
          <cell r="A588" t="str">
            <v>F20</v>
          </cell>
          <cell r="B588" t="str">
            <v>F20-[레이스랩]Lilac Shoe Laces</v>
          </cell>
          <cell r="C588">
            <v>8000</v>
          </cell>
          <cell r="D588" t="str">
            <v>Shoe Laces</v>
          </cell>
          <cell r="E588">
            <v>1.98</v>
          </cell>
          <cell r="F588">
            <v>2960.1</v>
          </cell>
          <cell r="G588" t="str">
            <v>레이스랩</v>
          </cell>
          <cell r="H588" t="str">
            <v>7-1.LaceLab</v>
          </cell>
          <cell r="I588" t="str">
            <v>Lilac Shoe Laces</v>
          </cell>
        </row>
        <row r="589">
          <cell r="A589" t="str">
            <v>F21</v>
          </cell>
          <cell r="B589" t="str">
            <v>F21-[레이스랩]Light Grey Shoe Laces</v>
          </cell>
          <cell r="C589">
            <v>8000</v>
          </cell>
          <cell r="D589" t="str">
            <v>Shoe Laces</v>
          </cell>
          <cell r="E589">
            <v>1.98</v>
          </cell>
          <cell r="F589">
            <v>2960.1</v>
          </cell>
          <cell r="G589" t="str">
            <v>레이스랩</v>
          </cell>
          <cell r="H589" t="str">
            <v>7-1.LaceLab</v>
          </cell>
          <cell r="I589" t="str">
            <v>Light Grey Shoe Laces</v>
          </cell>
        </row>
        <row r="590">
          <cell r="A590" t="str">
            <v>F22</v>
          </cell>
          <cell r="B590" t="str">
            <v>F22-[레이스랩]Beige Shoe Laces</v>
          </cell>
          <cell r="C590">
            <v>8000</v>
          </cell>
          <cell r="D590" t="str">
            <v>Shoe Laces</v>
          </cell>
          <cell r="E590">
            <v>1.98</v>
          </cell>
          <cell r="F590">
            <v>2960.1</v>
          </cell>
          <cell r="G590" t="str">
            <v>레이스랩</v>
          </cell>
          <cell r="H590" t="str">
            <v>7-1.LaceLab</v>
          </cell>
          <cell r="I590" t="str">
            <v>Beige Shoe Laces</v>
          </cell>
        </row>
        <row r="591">
          <cell r="A591" t="str">
            <v>F23</v>
          </cell>
          <cell r="B591" t="str">
            <v>F23-[레이스랩]Brown Shoe Laces</v>
          </cell>
          <cell r="C591">
            <v>8000</v>
          </cell>
          <cell r="D591" t="str">
            <v>Shoe Laces</v>
          </cell>
          <cell r="E591">
            <v>1.98</v>
          </cell>
          <cell r="F591">
            <v>2960.1</v>
          </cell>
          <cell r="G591" t="str">
            <v>레이스랩</v>
          </cell>
          <cell r="H591" t="str">
            <v>7-1.LaceLab</v>
          </cell>
          <cell r="I591" t="str">
            <v>Brown Shoe Laces</v>
          </cell>
        </row>
        <row r="592">
          <cell r="A592" t="str">
            <v>F24</v>
          </cell>
          <cell r="B592" t="str">
            <v>F24-[레이스랩]Carolina Blue Shoe Laces</v>
          </cell>
          <cell r="C592">
            <v>8000</v>
          </cell>
          <cell r="D592" t="str">
            <v>Shoe Laces</v>
          </cell>
          <cell r="E592">
            <v>1.98</v>
          </cell>
          <cell r="F592">
            <v>2960.1</v>
          </cell>
          <cell r="G592" t="str">
            <v>레이스랩</v>
          </cell>
          <cell r="H592" t="str">
            <v>7-1.LaceLab</v>
          </cell>
          <cell r="I592" t="str">
            <v>Carolina Blue Shoe Laces</v>
          </cell>
        </row>
        <row r="593">
          <cell r="A593" t="str">
            <v>F25</v>
          </cell>
          <cell r="B593" t="str">
            <v>F25-[레이스랩]Charcoal Grey Shoe Laces</v>
          </cell>
          <cell r="C593">
            <v>8000</v>
          </cell>
          <cell r="D593" t="str">
            <v>Shoe Laces</v>
          </cell>
          <cell r="E593">
            <v>1.98</v>
          </cell>
          <cell r="F593">
            <v>2960.1</v>
          </cell>
          <cell r="G593" t="str">
            <v>레이스랩</v>
          </cell>
          <cell r="H593" t="str">
            <v>7-1.LaceLab</v>
          </cell>
          <cell r="I593" t="str">
            <v>Charcoal Grey Shoe Laces</v>
          </cell>
        </row>
        <row r="594">
          <cell r="A594" t="str">
            <v>F26</v>
          </cell>
          <cell r="B594" t="str">
            <v>F26-[레이스랩]Columbia Blue Shoe Laces</v>
          </cell>
          <cell r="C594">
            <v>8000</v>
          </cell>
          <cell r="D594" t="str">
            <v>Shoe Laces</v>
          </cell>
          <cell r="E594">
            <v>1.98</v>
          </cell>
          <cell r="F594">
            <v>2960.1</v>
          </cell>
          <cell r="G594" t="str">
            <v>레이스랩</v>
          </cell>
          <cell r="H594" t="str">
            <v>7-1.LaceLab</v>
          </cell>
          <cell r="I594" t="str">
            <v>Columbia Blue Shoe Laces</v>
          </cell>
        </row>
        <row r="595">
          <cell r="A595" t="str">
            <v>F27</v>
          </cell>
          <cell r="B595" t="str">
            <v>F27-[레이스랩]Dark Brown Shoe Laces</v>
          </cell>
          <cell r="C595">
            <v>8000</v>
          </cell>
          <cell r="D595" t="str">
            <v>Shoe Laces</v>
          </cell>
          <cell r="E595">
            <v>1.98</v>
          </cell>
          <cell r="F595">
            <v>2960.1</v>
          </cell>
          <cell r="G595" t="str">
            <v>레이스랩</v>
          </cell>
          <cell r="H595" t="str">
            <v>7-1.LaceLab</v>
          </cell>
          <cell r="I595" t="str">
            <v>Dark Brown Shoe Laces</v>
          </cell>
        </row>
        <row r="596">
          <cell r="A596" t="str">
            <v>F28</v>
          </cell>
          <cell r="B596" t="str">
            <v>F28-[레이스랩]Dark Green Shoe Laces</v>
          </cell>
          <cell r="C596">
            <v>8000</v>
          </cell>
          <cell r="D596" t="str">
            <v>Shoe Laces</v>
          </cell>
          <cell r="E596">
            <v>1.98</v>
          </cell>
          <cell r="F596">
            <v>2960.1</v>
          </cell>
          <cell r="G596" t="str">
            <v>레이스랩</v>
          </cell>
          <cell r="H596" t="str">
            <v>7-1.LaceLab</v>
          </cell>
          <cell r="I596" t="str">
            <v>Dark Green Shoe Laces</v>
          </cell>
        </row>
        <row r="597">
          <cell r="A597" t="str">
            <v>F29</v>
          </cell>
          <cell r="B597" t="str">
            <v>F29-[레이스랩]Dark Grey Shoe Laces</v>
          </cell>
          <cell r="C597">
            <v>8000</v>
          </cell>
          <cell r="D597" t="str">
            <v>Shoe Laces</v>
          </cell>
          <cell r="E597">
            <v>1.98</v>
          </cell>
          <cell r="F597">
            <v>2960.1</v>
          </cell>
          <cell r="G597" t="str">
            <v>레이스랩</v>
          </cell>
          <cell r="H597" t="str">
            <v>7-1.LaceLab</v>
          </cell>
          <cell r="I597" t="str">
            <v>Dark Grey Shoe Laces</v>
          </cell>
        </row>
        <row r="598">
          <cell r="A598" t="str">
            <v>F30</v>
          </cell>
          <cell r="B598" t="str">
            <v>F30-[레이스랩]Dark Orange Shoe Laces</v>
          </cell>
          <cell r="C598">
            <v>8000</v>
          </cell>
          <cell r="D598" t="str">
            <v>Shoe Laces</v>
          </cell>
          <cell r="E598">
            <v>1.98</v>
          </cell>
          <cell r="F598">
            <v>2960.1</v>
          </cell>
          <cell r="G598" t="str">
            <v>레이스랩</v>
          </cell>
          <cell r="H598" t="str">
            <v>7-1.LaceLab</v>
          </cell>
          <cell r="I598" t="str">
            <v>Dark Orange Shoe Laces</v>
          </cell>
        </row>
        <row r="599">
          <cell r="A599" t="str">
            <v>F31</v>
          </cell>
          <cell r="B599" t="str">
            <v>F31-[레이스랩]Flaming Orange Shoe Laces</v>
          </cell>
          <cell r="C599">
            <v>8000</v>
          </cell>
          <cell r="D599" t="str">
            <v>Shoe Laces</v>
          </cell>
          <cell r="E599">
            <v>1.98</v>
          </cell>
          <cell r="F599">
            <v>2960.1</v>
          </cell>
          <cell r="G599" t="str">
            <v>레이스랩</v>
          </cell>
          <cell r="H599" t="str">
            <v>7-1.LaceLab</v>
          </cell>
          <cell r="I599" t="str">
            <v>Flaming Orange Shoe Laces</v>
          </cell>
        </row>
        <row r="600">
          <cell r="A600" t="str">
            <v>F32</v>
          </cell>
          <cell r="B600" t="str">
            <v>F32-[레이스랩]Fuchsia Shoe Laces</v>
          </cell>
          <cell r="C600">
            <v>8000</v>
          </cell>
          <cell r="D600" t="str">
            <v>Shoe Laces</v>
          </cell>
          <cell r="E600">
            <v>1.98</v>
          </cell>
          <cell r="F600">
            <v>2960.1</v>
          </cell>
          <cell r="G600" t="str">
            <v>레이스랩</v>
          </cell>
          <cell r="H600" t="str">
            <v>7-1.LaceLab</v>
          </cell>
          <cell r="I600" t="str">
            <v>Fuchsia Shoe Laces</v>
          </cell>
        </row>
        <row r="601">
          <cell r="A601" t="str">
            <v>F33</v>
          </cell>
          <cell r="B601" t="str">
            <v>F33-[레이스랩]Gold Shoe Laces</v>
          </cell>
          <cell r="C601">
            <v>8000</v>
          </cell>
          <cell r="D601" t="str">
            <v>Shoe Laces</v>
          </cell>
          <cell r="E601">
            <v>1.98</v>
          </cell>
          <cell r="F601">
            <v>2960.1</v>
          </cell>
          <cell r="G601" t="str">
            <v>레이스랩</v>
          </cell>
          <cell r="H601" t="str">
            <v>7-1.LaceLab</v>
          </cell>
          <cell r="I601" t="str">
            <v>Gold Shoe Laces</v>
          </cell>
        </row>
        <row r="602">
          <cell r="A602" t="str">
            <v>F34</v>
          </cell>
          <cell r="B602" t="str">
            <v>F34-[레이스랩]Kelly Green Shoe Laces</v>
          </cell>
          <cell r="C602">
            <v>8000</v>
          </cell>
          <cell r="D602" t="str">
            <v>Shoe Laces</v>
          </cell>
          <cell r="E602">
            <v>1.98</v>
          </cell>
          <cell r="F602">
            <v>2960.1</v>
          </cell>
          <cell r="G602" t="str">
            <v>레이스랩</v>
          </cell>
          <cell r="H602" t="str">
            <v>7-1.LaceLab</v>
          </cell>
          <cell r="I602" t="str">
            <v>Kelly Green Shoe Laces</v>
          </cell>
        </row>
        <row r="603">
          <cell r="A603" t="str">
            <v>F35</v>
          </cell>
          <cell r="B603" t="str">
            <v>F35-[레이스랩]Light Beige Shoe Laces</v>
          </cell>
          <cell r="C603">
            <v>8000</v>
          </cell>
          <cell r="D603" t="str">
            <v>Shoe Laces</v>
          </cell>
          <cell r="E603">
            <v>1.98</v>
          </cell>
          <cell r="F603">
            <v>2960.1</v>
          </cell>
          <cell r="G603" t="str">
            <v>레이스랩</v>
          </cell>
          <cell r="H603" t="str">
            <v>7-1.LaceLab</v>
          </cell>
          <cell r="I603" t="str">
            <v>Light Beige Shoe Laces</v>
          </cell>
        </row>
        <row r="604">
          <cell r="A604" t="str">
            <v>RF01</v>
          </cell>
          <cell r="B604" t="str">
            <v>RF01-[레이스랩]White  - ReflectiveFlatLaces1.0</v>
          </cell>
          <cell r="C604">
            <v>11000</v>
          </cell>
          <cell r="D604" t="str">
            <v>Reflective Flat Laces</v>
          </cell>
          <cell r="E604">
            <v>2.78</v>
          </cell>
          <cell r="F604">
            <v>4156.1000000000004</v>
          </cell>
          <cell r="G604" t="str">
            <v>레이스랩</v>
          </cell>
          <cell r="H604" t="str">
            <v>7-1.LaceLab</v>
          </cell>
          <cell r="I604" t="str">
            <v>White  - ReflectiveFlatLaces1.0</v>
          </cell>
        </row>
        <row r="605">
          <cell r="A605" t="str">
            <v>RF02</v>
          </cell>
          <cell r="B605" t="str">
            <v xml:space="preserve">RF02-[레이스랩]Black Reflective Flat Laces1.0 </v>
          </cell>
          <cell r="C605">
            <v>11000</v>
          </cell>
          <cell r="D605" t="str">
            <v>Reflective Flat Laces</v>
          </cell>
          <cell r="E605">
            <v>2.78</v>
          </cell>
          <cell r="F605">
            <v>4156.1000000000004</v>
          </cell>
          <cell r="G605" t="str">
            <v>레이스랩</v>
          </cell>
          <cell r="H605" t="str">
            <v>7-1.LaceLab</v>
          </cell>
          <cell r="I605" t="str">
            <v>Black Reflective Flat Laces1.0</v>
          </cell>
        </row>
        <row r="606">
          <cell r="A606" t="str">
            <v>RF03</v>
          </cell>
          <cell r="B606" t="str">
            <v>RF03-[레이스랩]Red  - ReflectiveFlatLaces1.0</v>
          </cell>
          <cell r="C606">
            <v>11000</v>
          </cell>
          <cell r="D606" t="str">
            <v>Reflective Flat Laces</v>
          </cell>
          <cell r="E606">
            <v>2.78</v>
          </cell>
          <cell r="F606">
            <v>4156.1000000000004</v>
          </cell>
          <cell r="G606" t="str">
            <v>레이스랩</v>
          </cell>
          <cell r="H606" t="str">
            <v>7-1.LaceLab</v>
          </cell>
          <cell r="I606" t="str">
            <v>Red  - ReflectiveFlatLaces1.0</v>
          </cell>
        </row>
        <row r="607">
          <cell r="A607" t="str">
            <v>RF04</v>
          </cell>
          <cell r="B607" t="str">
            <v>RF04-[레이스랩]Blue  - ReflectiveFlatLaces1.0</v>
          </cell>
          <cell r="C607">
            <v>11000</v>
          </cell>
          <cell r="D607" t="str">
            <v>Reflective Flat Laces</v>
          </cell>
          <cell r="E607">
            <v>2.78</v>
          </cell>
          <cell r="F607">
            <v>4156.1000000000004</v>
          </cell>
          <cell r="G607" t="str">
            <v>레이스랩</v>
          </cell>
          <cell r="H607" t="str">
            <v>7-1.LaceLab</v>
          </cell>
          <cell r="I607" t="str">
            <v>Blue  - ReflectiveFlatLaces1.0</v>
          </cell>
        </row>
        <row r="608">
          <cell r="A608" t="str">
            <v>RF05</v>
          </cell>
          <cell r="B608" t="str">
            <v>RF05-[레이스랩]White  - ReflectiveFlatLaces2.0</v>
          </cell>
          <cell r="C608">
            <v>11000</v>
          </cell>
          <cell r="D608" t="str">
            <v>Reflective Flat Laces</v>
          </cell>
          <cell r="E608">
            <v>2.78</v>
          </cell>
          <cell r="F608">
            <v>4156.1000000000004</v>
          </cell>
          <cell r="G608" t="str">
            <v>레이스랩</v>
          </cell>
          <cell r="H608" t="str">
            <v>7-1.LaceLab</v>
          </cell>
          <cell r="I608" t="str">
            <v>White  - ReflectiveFlatLaces2.0</v>
          </cell>
        </row>
        <row r="609">
          <cell r="A609" t="str">
            <v>RF06</v>
          </cell>
          <cell r="B609" t="str">
            <v>RF06-[레이스랩]Black  - ReflectiveFlatLaces2.0</v>
          </cell>
          <cell r="C609">
            <v>11000</v>
          </cell>
          <cell r="D609" t="str">
            <v>Reflective Flat Laces</v>
          </cell>
          <cell r="E609">
            <v>2.78</v>
          </cell>
          <cell r="F609">
            <v>4156.1000000000004</v>
          </cell>
          <cell r="G609" t="str">
            <v>레이스랩</v>
          </cell>
          <cell r="H609" t="str">
            <v>7-1.LaceLab</v>
          </cell>
          <cell r="I609" t="str">
            <v>Black  - ReflectiveFlatLaces2.0</v>
          </cell>
        </row>
        <row r="610">
          <cell r="A610" t="str">
            <v>RF07</v>
          </cell>
          <cell r="B610" t="str">
            <v>RF07-[레이스랩]Blue  - ReflectiveFlatLaces2.0</v>
          </cell>
          <cell r="C610">
            <v>11000</v>
          </cell>
          <cell r="D610" t="str">
            <v>Reflective Flat Laces</v>
          </cell>
          <cell r="E610">
            <v>2.78</v>
          </cell>
          <cell r="F610">
            <v>4156.1000000000004</v>
          </cell>
          <cell r="G610" t="str">
            <v>레이스랩</v>
          </cell>
          <cell r="H610" t="str">
            <v>7-1.LaceLab</v>
          </cell>
          <cell r="I610" t="str">
            <v>Blue  - ReflectiveFlatLaces2.0</v>
          </cell>
        </row>
        <row r="611">
          <cell r="A611" t="str">
            <v>RF08</v>
          </cell>
          <cell r="B611" t="str">
            <v>RF08-[레이스랩]Red  - ReflectiveFlatLaces2.0</v>
          </cell>
          <cell r="C611">
            <v>11000</v>
          </cell>
          <cell r="D611" t="str">
            <v>Reflective Flat Laces</v>
          </cell>
          <cell r="E611">
            <v>2.78</v>
          </cell>
          <cell r="F611">
            <v>4156.1000000000004</v>
          </cell>
          <cell r="G611" t="str">
            <v>레이스랩</v>
          </cell>
          <cell r="H611" t="str">
            <v>7-1.LaceLab</v>
          </cell>
          <cell r="I611" t="str">
            <v>Red  - ReflectiveFlatLaces2.0</v>
          </cell>
        </row>
        <row r="612">
          <cell r="A612" t="str">
            <v>RF09</v>
          </cell>
          <cell r="B612" t="str">
            <v>RF09-[레이스랩]Cove Blue  - ReflectiveFlatLaces2.0</v>
          </cell>
          <cell r="C612">
            <v>11000</v>
          </cell>
          <cell r="D612" t="str">
            <v>Reflective Flat Laces</v>
          </cell>
          <cell r="E612">
            <v>2.78</v>
          </cell>
          <cell r="F612">
            <v>4156.1000000000004</v>
          </cell>
          <cell r="G612" t="str">
            <v>레이스랩</v>
          </cell>
          <cell r="H612" t="str">
            <v>7-1.LaceLab</v>
          </cell>
          <cell r="I612" t="str">
            <v>Cove Blue  - ReflectiveFlatLaces2.0</v>
          </cell>
        </row>
        <row r="613">
          <cell r="A613" t="str">
            <v>RF10</v>
          </cell>
          <cell r="B613" t="str">
            <v>RF10-[레이스랩]Mint  - ReflectiveFlatLaces2.0</v>
          </cell>
          <cell r="C613">
            <v>11000</v>
          </cell>
          <cell r="D613" t="str">
            <v>Reflective Flat Laces</v>
          </cell>
          <cell r="E613">
            <v>2.78</v>
          </cell>
          <cell r="F613">
            <v>4156.1000000000004</v>
          </cell>
          <cell r="G613" t="str">
            <v>레이스랩</v>
          </cell>
          <cell r="H613" t="str">
            <v>7-1.LaceLab</v>
          </cell>
          <cell r="I613" t="str">
            <v>Mint  - ReflectiveFlatLaces2.0</v>
          </cell>
        </row>
        <row r="614">
          <cell r="A614" t="str">
            <v>RF11</v>
          </cell>
          <cell r="B614" t="str">
            <v>RF11-[레이스랩]Volt  - ReflectiveFlatLaces2.0</v>
          </cell>
          <cell r="C614">
            <v>11000</v>
          </cell>
          <cell r="D614" t="str">
            <v>Reflective Flat Laces</v>
          </cell>
          <cell r="E614">
            <v>2.78</v>
          </cell>
          <cell r="F614">
            <v>4156.1000000000004</v>
          </cell>
          <cell r="G614" t="str">
            <v>레이스랩</v>
          </cell>
          <cell r="H614" t="str">
            <v>7-1.LaceLab</v>
          </cell>
          <cell r="I614" t="str">
            <v>Volt  - ReflectiveFlatLaces2.0</v>
          </cell>
        </row>
        <row r="615">
          <cell r="A615" t="str">
            <v>RF12</v>
          </cell>
          <cell r="B615" t="str">
            <v>RF12-[레이스랩]Black Reflective Flat Laces</v>
          </cell>
          <cell r="C615">
            <v>11000</v>
          </cell>
          <cell r="D615" t="str">
            <v>Reflective Flat Laces</v>
          </cell>
          <cell r="E615">
            <v>2.78</v>
          </cell>
          <cell r="F615">
            <v>4156.1000000000004</v>
          </cell>
          <cell r="G615" t="str">
            <v>레이스랩</v>
          </cell>
          <cell r="H615" t="str">
            <v>7-1.LaceLab</v>
          </cell>
          <cell r="I615" t="str">
            <v>Black Reflective Flat Laces</v>
          </cell>
        </row>
        <row r="616">
          <cell r="A616" t="str">
            <v>RF13</v>
          </cell>
          <cell r="B616" t="str">
            <v>RF13-[레이스랩]Silver Reflective Flat Laces</v>
          </cell>
          <cell r="C616">
            <v>11000</v>
          </cell>
          <cell r="D616" t="str">
            <v>Reflective Flat Laces</v>
          </cell>
          <cell r="E616">
            <v>2.78</v>
          </cell>
          <cell r="F616">
            <v>4156.1000000000004</v>
          </cell>
          <cell r="G616" t="str">
            <v>레이스랩</v>
          </cell>
          <cell r="H616" t="str">
            <v>7-1.LaceLab</v>
          </cell>
          <cell r="I616" t="str">
            <v>Silver Reflective Flat Laces</v>
          </cell>
        </row>
        <row r="617">
          <cell r="A617" t="str">
            <v>RF14</v>
          </cell>
          <cell r="B617" t="str">
            <v>RF14-[레이스랩]White Reflective Flat Laces</v>
          </cell>
          <cell r="C617">
            <v>11000</v>
          </cell>
          <cell r="D617" t="str">
            <v>Reflective Flat Laces</v>
          </cell>
          <cell r="E617">
            <v>2.78</v>
          </cell>
          <cell r="F617">
            <v>4156.1000000000004</v>
          </cell>
          <cell r="G617" t="str">
            <v>레이스랩</v>
          </cell>
          <cell r="H617" t="str">
            <v>7-1.LaceLab</v>
          </cell>
          <cell r="I617" t="str">
            <v>White Reflective Flat Laces</v>
          </cell>
        </row>
        <row r="618">
          <cell r="A618" t="str">
            <v>RF15</v>
          </cell>
          <cell r="B618" t="str">
            <v>RF15-[레이스랩]Navy Blue  - ReflectiveFlatLaces1.0</v>
          </cell>
          <cell r="C618">
            <v>11000</v>
          </cell>
          <cell r="D618" t="str">
            <v>Reflective Flat Laces</v>
          </cell>
          <cell r="E618">
            <v>2.78</v>
          </cell>
          <cell r="F618">
            <v>4156.1000000000004</v>
          </cell>
          <cell r="G618" t="str">
            <v>레이스랩</v>
          </cell>
          <cell r="H618" t="str">
            <v>7-1.LaceLab</v>
          </cell>
          <cell r="I618" t="str">
            <v>Navy Blue  - ReflectiveFlatLaces1.0</v>
          </cell>
        </row>
        <row r="619">
          <cell r="A619" t="str">
            <v>RF16</v>
          </cell>
          <cell r="B619" t="str">
            <v>RF16-[레이스랩]Sapphire  - ReflectiveFlatLaces1.0</v>
          </cell>
          <cell r="C619">
            <v>11000</v>
          </cell>
          <cell r="D619" t="str">
            <v>Reflective Flat Laces</v>
          </cell>
          <cell r="E619">
            <v>2.78</v>
          </cell>
          <cell r="F619">
            <v>4156.1000000000004</v>
          </cell>
          <cell r="G619" t="str">
            <v>레이스랩</v>
          </cell>
          <cell r="H619" t="str">
            <v>7-1.LaceLab</v>
          </cell>
          <cell r="I619" t="str">
            <v>Sapphire  - ReflectiveFlatLaces1.0</v>
          </cell>
        </row>
        <row r="620">
          <cell r="A620" t="str">
            <v>RF17</v>
          </cell>
          <cell r="B620" t="str">
            <v>RF17-[레이스랩]Sapphire - Reflective Flat Laces 2.0</v>
          </cell>
          <cell r="C620">
            <v>11000</v>
          </cell>
          <cell r="D620" t="str">
            <v>Reflective Flat Laces</v>
          </cell>
          <cell r="E620">
            <v>2.78</v>
          </cell>
          <cell r="F620">
            <v>4156.1000000000004</v>
          </cell>
          <cell r="G620" t="str">
            <v>레이스랩</v>
          </cell>
          <cell r="H620" t="str">
            <v>7-1.LaceLab</v>
          </cell>
          <cell r="I620" t="str">
            <v>Sapphire - Reflective Flat Laces 2.0</v>
          </cell>
        </row>
        <row r="621">
          <cell r="A621" t="str">
            <v>RF18</v>
          </cell>
          <cell r="B621" t="str">
            <v>RF18-[레이스랩]Navy Blue - Reflective Flat Laces 2.0</v>
          </cell>
          <cell r="C621">
            <v>11000</v>
          </cell>
          <cell r="D621" t="str">
            <v>Reflective Flat Laces</v>
          </cell>
          <cell r="E621">
            <v>2.78</v>
          </cell>
          <cell r="F621">
            <v>4156.1000000000004</v>
          </cell>
          <cell r="G621" t="str">
            <v>레이스랩</v>
          </cell>
          <cell r="H621" t="str">
            <v>7-1.LaceLab</v>
          </cell>
          <cell r="I621" t="str">
            <v>Navy Blue - Reflective Flat Laces 2.0</v>
          </cell>
        </row>
        <row r="622">
          <cell r="A622" t="str">
            <v>RF19</v>
          </cell>
          <cell r="B622" t="str">
            <v>RF19-[레이스랩]Olive - Reflective Flat Laces 1.0</v>
          </cell>
          <cell r="C622">
            <v>11000</v>
          </cell>
          <cell r="D622" t="str">
            <v>Reflective Flat Laces</v>
          </cell>
          <cell r="E622">
            <v>2.78</v>
          </cell>
          <cell r="F622">
            <v>4156.1000000000004</v>
          </cell>
          <cell r="G622" t="str">
            <v>레이스랩</v>
          </cell>
          <cell r="H622" t="str">
            <v>7-1.LaceLab</v>
          </cell>
          <cell r="I622" t="str">
            <v>Olive - Reflective Flat Laces 1.0</v>
          </cell>
        </row>
        <row r="623">
          <cell r="A623" t="str">
            <v>RF20</v>
          </cell>
          <cell r="B623" t="str">
            <v>RF20-[레이스랩]Olive - Reflective Flat Laces 2.0</v>
          </cell>
          <cell r="C623">
            <v>11000</v>
          </cell>
          <cell r="D623" t="str">
            <v>Reflective Flat Laces</v>
          </cell>
          <cell r="E623">
            <v>2.78</v>
          </cell>
          <cell r="F623">
            <v>4156.1000000000004</v>
          </cell>
          <cell r="G623" t="str">
            <v>레이스랩</v>
          </cell>
          <cell r="H623" t="str">
            <v>7-1.LaceLab</v>
          </cell>
          <cell r="I623" t="str">
            <v>Olive - Reflective Flat Laces 2.0</v>
          </cell>
        </row>
        <row r="624">
          <cell r="A624" t="str">
            <v>X01</v>
          </cell>
          <cell r="B624" t="str">
            <v>X01-[레이스랩]Black  - XIRopeLaces</v>
          </cell>
          <cell r="C624">
            <v>10000</v>
          </cell>
          <cell r="D624" t="str">
            <v>XI Rope Laces</v>
          </cell>
          <cell r="E624">
            <v>2.38</v>
          </cell>
          <cell r="F624">
            <v>3558.1</v>
          </cell>
          <cell r="G624" t="str">
            <v>레이스랩</v>
          </cell>
          <cell r="H624" t="str">
            <v>7-1.LaceLab</v>
          </cell>
          <cell r="I624" t="str">
            <v>Black  - XIRopeLaces</v>
          </cell>
        </row>
        <row r="625">
          <cell r="A625" t="str">
            <v>X02</v>
          </cell>
          <cell r="B625" t="str">
            <v>X02-[레이스랩]Cool Grey  - XIRopeLaces</v>
          </cell>
          <cell r="C625">
            <v>10000</v>
          </cell>
          <cell r="D625" t="str">
            <v>XI Rope Laces</v>
          </cell>
          <cell r="E625">
            <v>2.38</v>
          </cell>
          <cell r="F625">
            <v>3558.1</v>
          </cell>
          <cell r="G625" t="str">
            <v>레이스랩</v>
          </cell>
          <cell r="H625" t="str">
            <v>7-1.LaceLab</v>
          </cell>
          <cell r="I625" t="str">
            <v>Cool Grey  - XIRopeLaces</v>
          </cell>
        </row>
        <row r="626">
          <cell r="A626" t="str">
            <v>X03</v>
          </cell>
          <cell r="B626" t="str">
            <v>X03-[레이스랩]Gamma Blue  - XIRopeLaces</v>
          </cell>
          <cell r="C626">
            <v>10000</v>
          </cell>
          <cell r="D626" t="str">
            <v>XI Rope Laces</v>
          </cell>
          <cell r="E626">
            <v>2.38</v>
          </cell>
          <cell r="F626">
            <v>3558.1</v>
          </cell>
          <cell r="G626" t="str">
            <v>레이스랩</v>
          </cell>
          <cell r="H626" t="str">
            <v>7-1.LaceLab</v>
          </cell>
          <cell r="I626" t="str">
            <v>Gamma Blue  - XIRopeLaces</v>
          </cell>
        </row>
        <row r="627">
          <cell r="A627" t="str">
            <v>X04</v>
          </cell>
          <cell r="B627" t="str">
            <v>X04-[레이스랩]Grape  - XIRopeLaces</v>
          </cell>
          <cell r="C627">
            <v>10000</v>
          </cell>
          <cell r="D627" t="str">
            <v>XI Rope Laces</v>
          </cell>
          <cell r="E627">
            <v>2.38</v>
          </cell>
          <cell r="F627">
            <v>3558.1</v>
          </cell>
          <cell r="G627" t="str">
            <v>레이스랩</v>
          </cell>
          <cell r="H627" t="str">
            <v>7-1.LaceLab</v>
          </cell>
          <cell r="I627" t="str">
            <v>Grape  - XIRopeLaces</v>
          </cell>
        </row>
        <row r="628">
          <cell r="A628" t="str">
            <v>X05</v>
          </cell>
          <cell r="B628" t="str">
            <v>X05-[레이스랩]Legend Blue  - XIRopeLaces</v>
          </cell>
          <cell r="C628">
            <v>10000</v>
          </cell>
          <cell r="D628" t="str">
            <v>XI Rope Laces</v>
          </cell>
          <cell r="E628">
            <v>2.38</v>
          </cell>
          <cell r="F628">
            <v>3558.1</v>
          </cell>
          <cell r="G628" t="str">
            <v>레이스랩</v>
          </cell>
          <cell r="H628" t="str">
            <v>7-1.LaceLab</v>
          </cell>
          <cell r="I628" t="str">
            <v>Legend Blue  - XIRopeLaces</v>
          </cell>
        </row>
        <row r="629">
          <cell r="A629" t="str">
            <v>X06</v>
          </cell>
          <cell r="B629" t="str">
            <v>X06-[레이스랩]Light Grey  - XIRopeLaces</v>
          </cell>
          <cell r="C629">
            <v>10000</v>
          </cell>
          <cell r="D629" t="str">
            <v>XI Rope Laces</v>
          </cell>
          <cell r="E629">
            <v>2.38</v>
          </cell>
          <cell r="F629">
            <v>3558.1</v>
          </cell>
          <cell r="G629" t="str">
            <v>레이스랩</v>
          </cell>
          <cell r="H629" t="str">
            <v>7-1.LaceLab</v>
          </cell>
          <cell r="I629" t="str">
            <v>Light Grey  - XIRopeLaces</v>
          </cell>
        </row>
        <row r="630">
          <cell r="A630" t="str">
            <v>X07</v>
          </cell>
          <cell r="B630" t="str">
            <v>X07-[레이스랩]Navy Blue  - XIRopeLaces</v>
          </cell>
          <cell r="C630">
            <v>10000</v>
          </cell>
          <cell r="D630" t="str">
            <v>XI Rope Laces</v>
          </cell>
          <cell r="E630">
            <v>2.38</v>
          </cell>
          <cell r="F630">
            <v>3558.1</v>
          </cell>
          <cell r="G630" t="str">
            <v>레이스랩</v>
          </cell>
          <cell r="H630" t="str">
            <v>7-1.LaceLab</v>
          </cell>
          <cell r="I630" t="str">
            <v>Navy Blue  - XIRopeLaces</v>
          </cell>
        </row>
        <row r="631">
          <cell r="A631" t="str">
            <v>X08</v>
          </cell>
          <cell r="B631" t="str">
            <v>X08-[레이스랩]Red  - XILaces</v>
          </cell>
          <cell r="C631">
            <v>10000</v>
          </cell>
          <cell r="D631" t="str">
            <v>XI Rope Laces</v>
          </cell>
          <cell r="E631">
            <v>2.38</v>
          </cell>
          <cell r="F631">
            <v>3558.1</v>
          </cell>
          <cell r="G631" t="str">
            <v>레이스랩</v>
          </cell>
          <cell r="H631" t="str">
            <v>7-1.LaceLab</v>
          </cell>
          <cell r="I631" t="str">
            <v>Red  - XILaces</v>
          </cell>
        </row>
        <row r="632">
          <cell r="A632" t="str">
            <v>X09</v>
          </cell>
          <cell r="B632" t="str">
            <v>X09-[레이스랩]Royal Blue  - XIRopeLaces</v>
          </cell>
          <cell r="C632">
            <v>10000</v>
          </cell>
          <cell r="D632" t="str">
            <v>XI Rope Laces</v>
          </cell>
          <cell r="E632">
            <v>2.38</v>
          </cell>
          <cell r="F632">
            <v>3558.1</v>
          </cell>
          <cell r="G632" t="str">
            <v>레이스랩</v>
          </cell>
          <cell r="H632" t="str">
            <v>7-1.LaceLab</v>
          </cell>
          <cell r="I632" t="str">
            <v>Royal Blue  - XIRopeLaces</v>
          </cell>
        </row>
        <row r="633">
          <cell r="A633" t="str">
            <v>X10</v>
          </cell>
          <cell r="B633" t="str">
            <v>X10-[레이스랩]White  - XIRopeLaces</v>
          </cell>
          <cell r="C633">
            <v>10000</v>
          </cell>
          <cell r="D633" t="str">
            <v>XI Rope Laces</v>
          </cell>
          <cell r="E633">
            <v>2.38</v>
          </cell>
          <cell r="F633">
            <v>3558.1</v>
          </cell>
          <cell r="G633" t="str">
            <v>레이스랩</v>
          </cell>
          <cell r="H633" t="str">
            <v>7-1.LaceLab</v>
          </cell>
          <cell r="I633" t="str">
            <v>White  - XIRopeLaces</v>
          </cell>
        </row>
        <row r="634">
          <cell r="A634" t="str">
            <v>RO01</v>
          </cell>
          <cell r="B634" t="str">
            <v>RO01-[레이스랩]Beige Roshe - StyleLaces</v>
          </cell>
          <cell r="C634">
            <v>7000</v>
          </cell>
          <cell r="D634" t="str">
            <v>Roshe-Style Laces</v>
          </cell>
          <cell r="E634">
            <v>1.58</v>
          </cell>
          <cell r="F634">
            <v>2362.1</v>
          </cell>
          <cell r="G634" t="str">
            <v>레이스랩</v>
          </cell>
          <cell r="H634" t="str">
            <v>7-1.LaceLab</v>
          </cell>
          <cell r="I634" t="str">
            <v>Beige Roshe - StyleLaces</v>
          </cell>
        </row>
        <row r="635">
          <cell r="A635" t="str">
            <v>RO02</v>
          </cell>
          <cell r="B635" t="str">
            <v>RO02-[레이스랩]Black Roshe - StyleLaces</v>
          </cell>
          <cell r="C635">
            <v>7000</v>
          </cell>
          <cell r="D635" t="str">
            <v>Roshe-Style Laces</v>
          </cell>
          <cell r="E635">
            <v>1.58</v>
          </cell>
          <cell r="F635">
            <v>2362.1</v>
          </cell>
          <cell r="G635" t="str">
            <v>레이스랩</v>
          </cell>
          <cell r="H635" t="str">
            <v>7-1.LaceLab</v>
          </cell>
          <cell r="I635" t="str">
            <v>Black Roshe - StyleLaces</v>
          </cell>
        </row>
        <row r="636">
          <cell r="A636" t="str">
            <v>RO03</v>
          </cell>
          <cell r="B636" t="str">
            <v>RO03-[레이스랩]Bone Roshe - StyleLaces</v>
          </cell>
          <cell r="C636">
            <v>7000</v>
          </cell>
          <cell r="D636" t="str">
            <v>Roshe-Style Laces</v>
          </cell>
          <cell r="E636">
            <v>1.58</v>
          </cell>
          <cell r="F636">
            <v>2362.1</v>
          </cell>
          <cell r="G636" t="str">
            <v>레이스랩</v>
          </cell>
          <cell r="H636" t="str">
            <v>7-1.LaceLab</v>
          </cell>
          <cell r="I636" t="str">
            <v>Bone Roshe - StyleLaces</v>
          </cell>
        </row>
        <row r="637">
          <cell r="A637" t="str">
            <v>RO04</v>
          </cell>
          <cell r="B637" t="str">
            <v>RO04-[레이스랩]Cappuccino Roshe - StyleLaces</v>
          </cell>
          <cell r="C637">
            <v>7000</v>
          </cell>
          <cell r="D637" t="str">
            <v>Roshe-Style Laces</v>
          </cell>
          <cell r="E637">
            <v>1.58</v>
          </cell>
          <cell r="F637">
            <v>2362.1</v>
          </cell>
          <cell r="G637" t="str">
            <v>레이스랩</v>
          </cell>
          <cell r="H637" t="str">
            <v>7-1.LaceLab</v>
          </cell>
          <cell r="I637" t="str">
            <v>Cappuccino Roshe - StyleLaces</v>
          </cell>
        </row>
        <row r="638">
          <cell r="A638" t="str">
            <v>RO05</v>
          </cell>
          <cell r="B638" t="str">
            <v>RO05-[레이스랩]Chocolate Roshe - StyleLaces</v>
          </cell>
          <cell r="C638">
            <v>7000</v>
          </cell>
          <cell r="D638" t="str">
            <v>Roshe-Style Laces</v>
          </cell>
          <cell r="E638">
            <v>1.58</v>
          </cell>
          <cell r="F638">
            <v>2362.1</v>
          </cell>
          <cell r="G638" t="str">
            <v>레이스랩</v>
          </cell>
          <cell r="H638" t="str">
            <v>7-1.LaceLab</v>
          </cell>
          <cell r="I638" t="str">
            <v>Chocolate Roshe - StyleLaces</v>
          </cell>
        </row>
        <row r="639">
          <cell r="A639" t="str">
            <v>RO06</v>
          </cell>
          <cell r="B639" t="str">
            <v>RO06-[레이스랩]Dark Brown Roshe - StyleLaces</v>
          </cell>
          <cell r="C639">
            <v>7000</v>
          </cell>
          <cell r="D639" t="str">
            <v>Roshe-Style Laces</v>
          </cell>
          <cell r="E639">
            <v>1.58</v>
          </cell>
          <cell r="F639">
            <v>2362.1</v>
          </cell>
          <cell r="G639" t="str">
            <v>레이스랩</v>
          </cell>
          <cell r="H639" t="str">
            <v>7-1.LaceLab</v>
          </cell>
          <cell r="I639" t="str">
            <v>Dark Brown Roshe - StyleLaces</v>
          </cell>
        </row>
        <row r="640">
          <cell r="A640" t="str">
            <v>RO07</v>
          </cell>
          <cell r="B640" t="str">
            <v>RO07-[레이스랩]Hunter Green Roshe - StyleLaces</v>
          </cell>
          <cell r="C640">
            <v>7000</v>
          </cell>
          <cell r="D640" t="str">
            <v>Roshe-Style Laces</v>
          </cell>
          <cell r="E640">
            <v>1.58</v>
          </cell>
          <cell r="F640">
            <v>2362.1</v>
          </cell>
          <cell r="G640" t="str">
            <v>레이스랩</v>
          </cell>
          <cell r="H640" t="str">
            <v>7-1.LaceLab</v>
          </cell>
          <cell r="I640" t="str">
            <v>Hunter Green Roshe - StyleLaces</v>
          </cell>
        </row>
        <row r="641">
          <cell r="A641" t="str">
            <v>RO08</v>
          </cell>
          <cell r="B641" t="str">
            <v>RO08-[레이스랩]Navy Blue Roshe - StyleLaces</v>
          </cell>
          <cell r="C641">
            <v>7000</v>
          </cell>
          <cell r="D641" t="str">
            <v>Roshe-Style Laces</v>
          </cell>
          <cell r="E641">
            <v>1.58</v>
          </cell>
          <cell r="F641">
            <v>2362.1</v>
          </cell>
          <cell r="G641" t="str">
            <v>레이스랩</v>
          </cell>
          <cell r="H641" t="str">
            <v>7-1.LaceLab</v>
          </cell>
          <cell r="I641" t="str">
            <v>Navy Blue Roshe - StyleLaces</v>
          </cell>
        </row>
        <row r="642">
          <cell r="A642" t="str">
            <v>RO09</v>
          </cell>
          <cell r="B642" t="str">
            <v>RO09-[레이스랩]Neon Green Roshe - StyleLaces</v>
          </cell>
          <cell r="C642">
            <v>7000</v>
          </cell>
          <cell r="D642" t="str">
            <v>Roshe-Style Laces</v>
          </cell>
          <cell r="E642">
            <v>1.58</v>
          </cell>
          <cell r="F642">
            <v>2362.1</v>
          </cell>
          <cell r="G642" t="str">
            <v>레이스랩</v>
          </cell>
          <cell r="H642" t="str">
            <v>7-1.LaceLab</v>
          </cell>
          <cell r="I642" t="str">
            <v>Neon Green Roshe - StyleLaces</v>
          </cell>
        </row>
        <row r="643">
          <cell r="A643" t="str">
            <v>RO10</v>
          </cell>
          <cell r="B643" t="str">
            <v>RO10-[레이스랩]Neon Pink Roshe - StyleLaces</v>
          </cell>
          <cell r="C643">
            <v>7000</v>
          </cell>
          <cell r="D643" t="str">
            <v>Roshe-Style Laces</v>
          </cell>
          <cell r="E643">
            <v>1.58</v>
          </cell>
          <cell r="F643">
            <v>2362.1</v>
          </cell>
          <cell r="G643" t="str">
            <v>레이스랩</v>
          </cell>
          <cell r="H643" t="str">
            <v>7-1.LaceLab</v>
          </cell>
          <cell r="I643" t="str">
            <v>Neon Pink Roshe - StyleLaces</v>
          </cell>
        </row>
        <row r="644">
          <cell r="A644" t="str">
            <v>RO11</v>
          </cell>
          <cell r="B644" t="str">
            <v>RO11-[레이스랩]Red Roshe - StyleLaces</v>
          </cell>
          <cell r="C644">
            <v>7000</v>
          </cell>
          <cell r="D644" t="str">
            <v>Roshe-Style Laces</v>
          </cell>
          <cell r="E644">
            <v>1.58</v>
          </cell>
          <cell r="F644">
            <v>2362.1</v>
          </cell>
          <cell r="G644" t="str">
            <v>레이스랩</v>
          </cell>
          <cell r="H644" t="str">
            <v>7-1.LaceLab</v>
          </cell>
          <cell r="I644" t="str">
            <v>Red Roshe - StyleLaces</v>
          </cell>
        </row>
        <row r="645">
          <cell r="A645" t="str">
            <v>RO12</v>
          </cell>
          <cell r="B645" t="str">
            <v>RO12-[레이스랩]White Roshe - StyleLaces</v>
          </cell>
          <cell r="C645">
            <v>7000</v>
          </cell>
          <cell r="D645" t="str">
            <v>Roshe-Style Laces</v>
          </cell>
          <cell r="E645">
            <v>1.58</v>
          </cell>
          <cell r="F645">
            <v>2362.1</v>
          </cell>
          <cell r="G645" t="str">
            <v>레이스랩</v>
          </cell>
          <cell r="H645" t="str">
            <v>7-1.LaceLab</v>
          </cell>
          <cell r="I645" t="str">
            <v>White Roshe - StyleLaces</v>
          </cell>
        </row>
        <row r="646">
          <cell r="A646" t="str">
            <v>RO13</v>
          </cell>
          <cell r="B646" t="str">
            <v>RO13-[레이스랩]Yellow Roshe - StyleLaces</v>
          </cell>
          <cell r="C646">
            <v>7000</v>
          </cell>
          <cell r="D646" t="str">
            <v>Roshe-Style Laces</v>
          </cell>
          <cell r="E646">
            <v>1.58</v>
          </cell>
          <cell r="F646">
            <v>2362.1</v>
          </cell>
          <cell r="G646" t="str">
            <v>레이스랩</v>
          </cell>
          <cell r="H646" t="str">
            <v>7-1.LaceLab</v>
          </cell>
          <cell r="I646" t="str">
            <v>Yellow Roshe - StyleLaces</v>
          </cell>
        </row>
        <row r="647">
          <cell r="A647" t="str">
            <v>L01</v>
          </cell>
          <cell r="B647" t="str">
            <v>L01-[레이스랩]Black Luxury Leather Laces - GoldPlated</v>
          </cell>
          <cell r="C647">
            <v>30000</v>
          </cell>
          <cell r="D647" t="str">
            <v>Luxury Leather Laces</v>
          </cell>
          <cell r="E647">
            <v>7.98</v>
          </cell>
          <cell r="F647">
            <v>11930.1</v>
          </cell>
          <cell r="G647" t="str">
            <v>레이스랩</v>
          </cell>
          <cell r="H647" t="str">
            <v>7-1.LaceLab</v>
          </cell>
          <cell r="I647" t="str">
            <v>Black Luxury Leather Laces - GoldPlated</v>
          </cell>
        </row>
        <row r="648">
          <cell r="A648" t="str">
            <v>L02</v>
          </cell>
          <cell r="B648" t="str">
            <v>L02-[레이스랩]Black Luxury Leather Laces - GunmetalPlated</v>
          </cell>
          <cell r="C648">
            <v>30000</v>
          </cell>
          <cell r="D648" t="str">
            <v>Luxury Leather Laces</v>
          </cell>
          <cell r="E648">
            <v>7.98</v>
          </cell>
          <cell r="F648">
            <v>11930.1</v>
          </cell>
          <cell r="G648" t="str">
            <v>레이스랩</v>
          </cell>
          <cell r="H648" t="str">
            <v>7-1.LaceLab</v>
          </cell>
          <cell r="I648" t="str">
            <v>Black Luxury Leather Laces - GunmetalPlated</v>
          </cell>
        </row>
        <row r="649">
          <cell r="A649" t="str">
            <v>L03</v>
          </cell>
          <cell r="B649" t="str">
            <v>L03-[레이스랩]Black Luxury Leather Laces - SilverPlated</v>
          </cell>
          <cell r="C649">
            <v>30000</v>
          </cell>
          <cell r="D649" t="str">
            <v>Luxury Leather Laces</v>
          </cell>
          <cell r="E649">
            <v>7.98</v>
          </cell>
          <cell r="F649">
            <v>11930.1</v>
          </cell>
          <cell r="G649" t="str">
            <v>레이스랩</v>
          </cell>
          <cell r="H649" t="str">
            <v>7-1.LaceLab</v>
          </cell>
          <cell r="I649" t="str">
            <v>Black Luxury Leather Laces - SilverPlated</v>
          </cell>
        </row>
        <row r="650">
          <cell r="A650" t="str">
            <v>L04</v>
          </cell>
          <cell r="B650" t="str">
            <v>L04-[레이스랩]White Luxury Leather Laces - GoldPlated</v>
          </cell>
          <cell r="C650">
            <v>30000</v>
          </cell>
          <cell r="D650" t="str">
            <v>Luxury Leather Laces</v>
          </cell>
          <cell r="E650">
            <v>7.98</v>
          </cell>
          <cell r="F650">
            <v>11930.1</v>
          </cell>
          <cell r="G650" t="str">
            <v>레이스랩</v>
          </cell>
          <cell r="H650" t="str">
            <v>7-1.LaceLab</v>
          </cell>
          <cell r="I650" t="str">
            <v>White Luxury Leather Laces - GoldPlated</v>
          </cell>
        </row>
        <row r="651">
          <cell r="A651" t="str">
            <v>L05</v>
          </cell>
          <cell r="B651" t="str">
            <v>L05-[레이스랩]White Luxury Leather Laces - GunmetalPlated</v>
          </cell>
          <cell r="C651">
            <v>30000</v>
          </cell>
          <cell r="D651" t="str">
            <v>Luxury Leather Laces</v>
          </cell>
          <cell r="E651">
            <v>7.98</v>
          </cell>
          <cell r="F651">
            <v>11930.1</v>
          </cell>
          <cell r="G651" t="str">
            <v>레이스랩</v>
          </cell>
          <cell r="H651" t="str">
            <v>7-1.LaceLab</v>
          </cell>
          <cell r="I651" t="str">
            <v>White Luxury Leather Laces - GunmetalPlated</v>
          </cell>
        </row>
        <row r="652">
          <cell r="A652" t="str">
            <v>L06</v>
          </cell>
          <cell r="B652" t="str">
            <v>L06-[레이스랩]White Luxury Leather Laces - SilverPlated</v>
          </cell>
          <cell r="C652">
            <v>30000</v>
          </cell>
          <cell r="D652" t="str">
            <v>Luxury Leather Laces</v>
          </cell>
          <cell r="E652">
            <v>7.98</v>
          </cell>
          <cell r="F652">
            <v>11930.1</v>
          </cell>
          <cell r="G652" t="str">
            <v>레이스랩</v>
          </cell>
          <cell r="H652" t="str">
            <v>7-1.LaceLab</v>
          </cell>
          <cell r="I652" t="str">
            <v>White Luxury Leather Laces - SilverPlated</v>
          </cell>
        </row>
        <row r="653">
          <cell r="A653" t="str">
            <v>L07</v>
          </cell>
          <cell r="B653" t="str">
            <v>L07-[레이스랩]Gold Luxury Leather Laces - GoldPlated</v>
          </cell>
          <cell r="C653">
            <v>30000</v>
          </cell>
          <cell r="D653" t="str">
            <v>Luxury Leather Laces</v>
          </cell>
          <cell r="E653">
            <v>7.98</v>
          </cell>
          <cell r="F653">
            <v>11930.1</v>
          </cell>
          <cell r="G653" t="str">
            <v>레이스랩</v>
          </cell>
          <cell r="H653" t="str">
            <v>7-1.LaceLab</v>
          </cell>
          <cell r="I653" t="str">
            <v>Gold Luxury Leather Laces - GoldPlated</v>
          </cell>
        </row>
        <row r="654">
          <cell r="A654" t="str">
            <v>L08</v>
          </cell>
          <cell r="B654" t="str">
            <v>L08-[레이스랩]Gold Luxury Leather Laces - GunmetalPlated</v>
          </cell>
          <cell r="C654">
            <v>30000</v>
          </cell>
          <cell r="D654" t="str">
            <v>Luxury Leather Laces</v>
          </cell>
          <cell r="E654">
            <v>7.98</v>
          </cell>
          <cell r="F654">
            <v>11930.1</v>
          </cell>
          <cell r="G654" t="str">
            <v>레이스랩</v>
          </cell>
          <cell r="H654" t="str">
            <v>7-1.LaceLab</v>
          </cell>
          <cell r="I654" t="str">
            <v>Gold Luxury Leather Laces - GunmetalPlated</v>
          </cell>
        </row>
        <row r="655">
          <cell r="A655" t="str">
            <v>L09</v>
          </cell>
          <cell r="B655" t="str">
            <v>L09-[레이스랩]Gold Luxury Leather Laces - SilverPlated</v>
          </cell>
          <cell r="C655">
            <v>30000</v>
          </cell>
          <cell r="D655" t="str">
            <v>Luxury Leather Laces</v>
          </cell>
          <cell r="E655">
            <v>7.98</v>
          </cell>
          <cell r="F655">
            <v>11930.1</v>
          </cell>
          <cell r="G655" t="str">
            <v>레이스랩</v>
          </cell>
          <cell r="H655" t="str">
            <v>7-1.LaceLab</v>
          </cell>
          <cell r="I655" t="str">
            <v>Gold Luxury Leather Laces - SilverPlated</v>
          </cell>
        </row>
        <row r="656">
          <cell r="A656" t="str">
            <v>L10</v>
          </cell>
          <cell r="B656" t="str">
            <v>L10-[레이스랩]Red Luxury Leather Laces - GoldPlated</v>
          </cell>
          <cell r="C656">
            <v>30000</v>
          </cell>
          <cell r="D656" t="str">
            <v>Luxury Leather Laces</v>
          </cell>
          <cell r="E656">
            <v>7.98</v>
          </cell>
          <cell r="F656">
            <v>11930.1</v>
          </cell>
          <cell r="G656" t="str">
            <v>레이스랩</v>
          </cell>
          <cell r="H656" t="str">
            <v>7-1.LaceLab</v>
          </cell>
          <cell r="I656" t="str">
            <v>Red Luxury Leather Laces - GoldPlated</v>
          </cell>
        </row>
        <row r="657">
          <cell r="A657" t="str">
            <v>L11</v>
          </cell>
          <cell r="B657" t="str">
            <v>L11-[레이스랩]Red Luxury Leather Laces - GunmetalPlated</v>
          </cell>
          <cell r="C657">
            <v>30000</v>
          </cell>
          <cell r="D657" t="str">
            <v>Luxury Leather Laces</v>
          </cell>
          <cell r="E657">
            <v>7.98</v>
          </cell>
          <cell r="F657">
            <v>11930.1</v>
          </cell>
          <cell r="G657" t="str">
            <v>레이스랩</v>
          </cell>
          <cell r="H657" t="str">
            <v>7-1.LaceLab</v>
          </cell>
          <cell r="I657" t="str">
            <v>Red Luxury Leather Laces - GunmetalPlated</v>
          </cell>
        </row>
        <row r="658">
          <cell r="A658" t="str">
            <v>L12</v>
          </cell>
          <cell r="B658" t="str">
            <v>L12-[레이스랩]Red Luxury Leather Laces - SilverPlated</v>
          </cell>
          <cell r="C658">
            <v>30000</v>
          </cell>
          <cell r="D658" t="str">
            <v>Luxury Leather Laces</v>
          </cell>
          <cell r="E658">
            <v>7.98</v>
          </cell>
          <cell r="F658">
            <v>11930.1</v>
          </cell>
          <cell r="G658" t="str">
            <v>레이스랩</v>
          </cell>
          <cell r="H658" t="str">
            <v>7-1.LaceLab</v>
          </cell>
          <cell r="I658" t="str">
            <v>Red Luxury Leather Laces - SilverPlated</v>
          </cell>
        </row>
        <row r="659">
          <cell r="A659" t="str">
            <v>L13</v>
          </cell>
          <cell r="B659" t="str">
            <v>L13-[레이스랩]Royal Blue Luxury Leather Laces - GoldPlated</v>
          </cell>
          <cell r="C659">
            <v>30000</v>
          </cell>
          <cell r="D659" t="str">
            <v>Luxury Leather Laces</v>
          </cell>
          <cell r="E659">
            <v>7.98</v>
          </cell>
          <cell r="F659">
            <v>11930.1</v>
          </cell>
          <cell r="G659" t="str">
            <v>레이스랩</v>
          </cell>
          <cell r="H659" t="str">
            <v>7-1.LaceLab</v>
          </cell>
          <cell r="I659" t="str">
            <v>Royal Blue Luxury Leather Laces - GoldPlated</v>
          </cell>
        </row>
        <row r="660">
          <cell r="A660" t="str">
            <v>L14</v>
          </cell>
          <cell r="B660" t="str">
            <v>L14-[레이스랩]Royal Blue Luxury Leather Laces - GunmetalPlated</v>
          </cell>
          <cell r="C660">
            <v>30000</v>
          </cell>
          <cell r="D660" t="str">
            <v>Luxury Leather Laces</v>
          </cell>
          <cell r="E660">
            <v>7.98</v>
          </cell>
          <cell r="F660">
            <v>11930.1</v>
          </cell>
          <cell r="G660" t="str">
            <v>레이스랩</v>
          </cell>
          <cell r="H660" t="str">
            <v>7-1.LaceLab</v>
          </cell>
          <cell r="I660" t="str">
            <v>Royal Blue Luxury Leather Laces - GunmetalPlated</v>
          </cell>
        </row>
        <row r="661">
          <cell r="A661" t="str">
            <v>L15</v>
          </cell>
          <cell r="B661" t="str">
            <v>L15-[레이스랩]Royal Blue Luxury Leather Laces - SilverPlated</v>
          </cell>
          <cell r="C661">
            <v>30000</v>
          </cell>
          <cell r="D661" t="str">
            <v>Luxury Leather Laces</v>
          </cell>
          <cell r="E661">
            <v>7.98</v>
          </cell>
          <cell r="F661">
            <v>11930.1</v>
          </cell>
          <cell r="G661" t="str">
            <v>레이스랩</v>
          </cell>
          <cell r="H661" t="str">
            <v>7-1.LaceLab</v>
          </cell>
          <cell r="I661" t="str">
            <v>Royal Blue Luxury Leather Laces - SilverPlated</v>
          </cell>
        </row>
        <row r="662">
          <cell r="A662" t="str">
            <v>L16</v>
          </cell>
          <cell r="B662" t="str">
            <v>L16-[레이스랩]Mint Luxury Leather Laces - Gold Plated</v>
          </cell>
          <cell r="C662">
            <v>30000</v>
          </cell>
          <cell r="D662" t="str">
            <v>Luxury Leather Laces</v>
          </cell>
          <cell r="E662">
            <v>7.98</v>
          </cell>
          <cell r="F662">
            <v>11930.1</v>
          </cell>
          <cell r="G662" t="str">
            <v>레이스랩</v>
          </cell>
          <cell r="H662" t="str">
            <v>7-1.LaceLab</v>
          </cell>
          <cell r="I662" t="str">
            <v>Mint Luxury Leather Laces - Gold Plated</v>
          </cell>
        </row>
        <row r="663">
          <cell r="A663" t="str">
            <v>L17</v>
          </cell>
          <cell r="B663" t="str">
            <v>L17-[레이스랩]Mint Luxury Leather Laces - Gunmetal Plated</v>
          </cell>
          <cell r="C663">
            <v>30000</v>
          </cell>
          <cell r="D663" t="str">
            <v>Luxury Leather Laces</v>
          </cell>
          <cell r="E663">
            <v>7.98</v>
          </cell>
          <cell r="F663">
            <v>11930.1</v>
          </cell>
          <cell r="G663" t="str">
            <v>레이스랩</v>
          </cell>
          <cell r="H663" t="str">
            <v>7-1.LaceLab</v>
          </cell>
          <cell r="I663" t="str">
            <v>Mint Luxury Leather Laces - Gunmetal Plated</v>
          </cell>
        </row>
        <row r="664">
          <cell r="A664" t="str">
            <v>L18</v>
          </cell>
          <cell r="B664" t="str">
            <v>L18-[레이스랩]Mint Luxury Leather Laces - Silver Plated</v>
          </cell>
          <cell r="C664">
            <v>30000</v>
          </cell>
          <cell r="D664" t="str">
            <v>Luxury Leather Laces</v>
          </cell>
          <cell r="E664">
            <v>7.98</v>
          </cell>
          <cell r="F664">
            <v>11930.1</v>
          </cell>
          <cell r="G664" t="str">
            <v>레이스랩</v>
          </cell>
          <cell r="H664" t="str">
            <v>7-1.LaceLab</v>
          </cell>
          <cell r="I664" t="str">
            <v>Mint Luxury Leather Laces - Silver Plated</v>
          </cell>
        </row>
        <row r="665">
          <cell r="A665" t="str">
            <v>L19</v>
          </cell>
          <cell r="B665" t="str">
            <v xml:space="preserve">L19-[레이스랩]Light Grey Luxury Leather Laces - Gold Plated </v>
          </cell>
          <cell r="C665">
            <v>30000</v>
          </cell>
          <cell r="D665" t="str">
            <v>Luxury Leather Laces</v>
          </cell>
          <cell r="E665">
            <v>7.98</v>
          </cell>
          <cell r="F665">
            <v>11930.1</v>
          </cell>
          <cell r="G665" t="str">
            <v>레이스랩</v>
          </cell>
          <cell r="H665" t="str">
            <v>7-1.LaceLab</v>
          </cell>
          <cell r="I665" t="str">
            <v>Light Grey Luxury Leather Laces - Gold Plated</v>
          </cell>
        </row>
        <row r="666">
          <cell r="A666" t="str">
            <v>L20</v>
          </cell>
          <cell r="B666" t="str">
            <v>L20-[레이스랩]Light Grey Luxury Leather Laces - Gunmetal Plated</v>
          </cell>
          <cell r="C666">
            <v>30000</v>
          </cell>
          <cell r="D666" t="str">
            <v>Luxury Leather Laces</v>
          </cell>
          <cell r="E666">
            <v>7.98</v>
          </cell>
          <cell r="F666">
            <v>11930.1</v>
          </cell>
          <cell r="G666" t="str">
            <v>레이스랩</v>
          </cell>
          <cell r="H666" t="str">
            <v>7-1.LaceLab</v>
          </cell>
          <cell r="I666" t="str">
            <v>Light Grey Luxury Leather Laces - Gunmetal Plated</v>
          </cell>
        </row>
        <row r="667">
          <cell r="A667" t="str">
            <v>L21</v>
          </cell>
          <cell r="B667" t="str">
            <v>L21-[레이스랩]Light Grey Luxury Leather Laces - Silver Plated</v>
          </cell>
          <cell r="C667">
            <v>30000</v>
          </cell>
          <cell r="D667" t="str">
            <v>Luxury Leather Laces</v>
          </cell>
          <cell r="E667">
            <v>7.98</v>
          </cell>
          <cell r="F667">
            <v>11930.1</v>
          </cell>
          <cell r="G667" t="str">
            <v>레이스랩</v>
          </cell>
          <cell r="H667" t="str">
            <v>7-1.LaceLab</v>
          </cell>
          <cell r="I667" t="str">
            <v>Light Grey Luxury Leather Laces - Silver Plated</v>
          </cell>
        </row>
        <row r="668">
          <cell r="A668" t="str">
            <v>L22</v>
          </cell>
          <cell r="B668" t="str">
            <v>L22-[레이스랩]Olive Luxury Leather Laces - Gold Plated</v>
          </cell>
          <cell r="C668">
            <v>30000</v>
          </cell>
          <cell r="D668" t="str">
            <v>Luxury Leather Laces</v>
          </cell>
          <cell r="E668">
            <v>7.98</v>
          </cell>
          <cell r="F668">
            <v>11930.1</v>
          </cell>
          <cell r="G668" t="str">
            <v>레이스랩</v>
          </cell>
          <cell r="H668" t="str">
            <v>7-1.LaceLab</v>
          </cell>
          <cell r="I668" t="str">
            <v>Olive Luxury Leather Laces - Gold Plated</v>
          </cell>
        </row>
        <row r="669">
          <cell r="A669" t="str">
            <v>L23</v>
          </cell>
          <cell r="B669" t="str">
            <v>L23-[레이스랩]Olive Luxury Leather Laces - Gunmetal Plated</v>
          </cell>
          <cell r="C669">
            <v>30000</v>
          </cell>
          <cell r="D669" t="str">
            <v>Luxury Leather Laces</v>
          </cell>
          <cell r="E669">
            <v>7.98</v>
          </cell>
          <cell r="F669">
            <v>11930.1</v>
          </cell>
          <cell r="G669" t="str">
            <v>레이스랩</v>
          </cell>
          <cell r="H669" t="str">
            <v>7-1.LaceLab</v>
          </cell>
          <cell r="I669" t="str">
            <v>Olive Luxury Leather Laces - Gunmetal Plated</v>
          </cell>
        </row>
        <row r="670">
          <cell r="A670" t="str">
            <v>L24</v>
          </cell>
          <cell r="B670" t="str">
            <v>L24-[레이스랩]Olive Luxury Leather Laces - Silver Plated</v>
          </cell>
          <cell r="C670">
            <v>30000</v>
          </cell>
          <cell r="D670" t="str">
            <v>Luxury Leather Laces</v>
          </cell>
          <cell r="E670">
            <v>7.98</v>
          </cell>
          <cell r="F670">
            <v>11930.1</v>
          </cell>
          <cell r="G670" t="str">
            <v>레이스랩</v>
          </cell>
          <cell r="H670" t="str">
            <v>7-1.LaceLab</v>
          </cell>
          <cell r="I670" t="str">
            <v>Olive Luxury Leather Laces - Silver Plated</v>
          </cell>
        </row>
        <row r="671">
          <cell r="A671" t="str">
            <v>L25</v>
          </cell>
          <cell r="B671" t="str">
            <v>L25-[레이스랩]Tan Luxury Leather Laces - Gold Plated</v>
          </cell>
          <cell r="C671">
            <v>30000</v>
          </cell>
          <cell r="D671" t="str">
            <v>Luxury Leather Laces</v>
          </cell>
          <cell r="E671">
            <v>7.98</v>
          </cell>
          <cell r="F671">
            <v>11930.1</v>
          </cell>
          <cell r="G671" t="str">
            <v>레이스랩</v>
          </cell>
          <cell r="H671" t="str">
            <v>7-1.LaceLab</v>
          </cell>
          <cell r="I671" t="str">
            <v>Tan Luxury Leather Laces - Gold Plated</v>
          </cell>
        </row>
        <row r="672">
          <cell r="A672" t="str">
            <v>L26</v>
          </cell>
          <cell r="B672" t="str">
            <v>L26-[레이스랩]Tan Luxury Leather Laces - Gunmetal Plated</v>
          </cell>
          <cell r="C672">
            <v>30000</v>
          </cell>
          <cell r="D672" t="str">
            <v>Luxury Leather Laces</v>
          </cell>
          <cell r="E672">
            <v>7.98</v>
          </cell>
          <cell r="F672">
            <v>11930.1</v>
          </cell>
          <cell r="G672" t="str">
            <v>레이스랩</v>
          </cell>
          <cell r="H672" t="str">
            <v>7-1.LaceLab</v>
          </cell>
          <cell r="I672" t="str">
            <v>Tan Luxury Leather Laces - Gunmetal Plated</v>
          </cell>
        </row>
        <row r="673">
          <cell r="A673" t="str">
            <v>L27</v>
          </cell>
          <cell r="B673" t="str">
            <v>L27-[레이스랩]Tan Luxury Leather Laces - Silver Plated</v>
          </cell>
          <cell r="C673">
            <v>30000</v>
          </cell>
          <cell r="D673" t="str">
            <v>Luxury Leather Laces</v>
          </cell>
          <cell r="E673">
            <v>7.98</v>
          </cell>
          <cell r="F673">
            <v>11930.1</v>
          </cell>
          <cell r="G673" t="str">
            <v>레이스랩</v>
          </cell>
          <cell r="H673" t="str">
            <v>7-1.LaceLab</v>
          </cell>
          <cell r="I673" t="str">
            <v>Tan Luxury Leather Laces - Silver Plated</v>
          </cell>
        </row>
        <row r="674">
          <cell r="A674" t="str">
            <v>L28</v>
          </cell>
          <cell r="B674" t="str">
            <v>L28-[레이스랩]Pink Luxury Leather Laces - Gold Plated</v>
          </cell>
          <cell r="C674">
            <v>30000</v>
          </cell>
          <cell r="D674" t="str">
            <v>Luxury Leather Laces</v>
          </cell>
          <cell r="E674">
            <v>7.98</v>
          </cell>
          <cell r="F674">
            <v>11930.1</v>
          </cell>
          <cell r="G674" t="str">
            <v>레이스랩</v>
          </cell>
          <cell r="H674" t="str">
            <v>7-1.LaceLab</v>
          </cell>
          <cell r="I674" t="str">
            <v>Pink Luxury Leather Laces - Gold Plated</v>
          </cell>
        </row>
        <row r="675">
          <cell r="A675" t="str">
            <v>L29</v>
          </cell>
          <cell r="B675" t="str">
            <v>L29-[레이스랩]Pink Luxury Leather Laces - Gunmetal Plated</v>
          </cell>
          <cell r="C675">
            <v>30000</v>
          </cell>
          <cell r="D675" t="str">
            <v>Luxury Leather Laces</v>
          </cell>
          <cell r="E675">
            <v>7.98</v>
          </cell>
          <cell r="F675">
            <v>11930.1</v>
          </cell>
          <cell r="G675" t="str">
            <v>레이스랩</v>
          </cell>
          <cell r="H675" t="str">
            <v>7-1.LaceLab</v>
          </cell>
          <cell r="I675" t="str">
            <v>Pink Luxury Leather Laces - Gunmetal Plated</v>
          </cell>
        </row>
        <row r="676">
          <cell r="A676" t="str">
            <v>L30</v>
          </cell>
          <cell r="B676" t="str">
            <v>L30-[레이스랩]Pink Luxury Leather Laces - Silver Plated</v>
          </cell>
          <cell r="C676">
            <v>30000</v>
          </cell>
          <cell r="D676" t="str">
            <v>Luxury Leather Laces</v>
          </cell>
          <cell r="E676">
            <v>7.98</v>
          </cell>
          <cell r="F676">
            <v>11930.1</v>
          </cell>
          <cell r="G676" t="str">
            <v>레이스랩</v>
          </cell>
          <cell r="H676" t="str">
            <v>7-1.LaceLab</v>
          </cell>
          <cell r="I676" t="str">
            <v>Pink Luxury Leather Laces - Silver Plated</v>
          </cell>
        </row>
        <row r="677">
          <cell r="A677" t="str">
            <v>L31</v>
          </cell>
          <cell r="B677" t="str">
            <v>L31-[레이스랩]Kelly Green Luxury Leather Laces - Gold Plated</v>
          </cell>
          <cell r="C677">
            <v>30000</v>
          </cell>
          <cell r="D677" t="str">
            <v>Luxury Leather Laces</v>
          </cell>
          <cell r="E677">
            <v>7.98</v>
          </cell>
          <cell r="F677">
            <v>11930.1</v>
          </cell>
          <cell r="G677" t="str">
            <v>레이스랩</v>
          </cell>
          <cell r="H677" t="str">
            <v>7-1.LaceLab</v>
          </cell>
          <cell r="I677" t="str">
            <v>Kelly Green Luxury Leather Laces - Gold Plated</v>
          </cell>
        </row>
        <row r="678">
          <cell r="A678" t="str">
            <v>L32</v>
          </cell>
          <cell r="B678" t="str">
            <v>L32-[레이스랩]Kelly Green Luxury Leather Laces - Gunmetal Plated</v>
          </cell>
          <cell r="C678">
            <v>30000</v>
          </cell>
          <cell r="D678" t="str">
            <v>Luxury Leather Laces</v>
          </cell>
          <cell r="E678">
            <v>7.98</v>
          </cell>
          <cell r="F678">
            <v>11930.1</v>
          </cell>
          <cell r="G678" t="str">
            <v>레이스랩</v>
          </cell>
          <cell r="H678" t="str">
            <v>7-1.LaceLab</v>
          </cell>
          <cell r="I678" t="str">
            <v>Kelly Green Luxury Leather Laces - Gunmetal Plated</v>
          </cell>
        </row>
        <row r="679">
          <cell r="A679" t="str">
            <v>L33</v>
          </cell>
          <cell r="B679" t="str">
            <v>L33-[레이스랩]Kelly Green Luxury Leather Laces - Silver Plated</v>
          </cell>
          <cell r="C679">
            <v>30000</v>
          </cell>
          <cell r="D679" t="str">
            <v>Luxury Leather Laces</v>
          </cell>
          <cell r="E679">
            <v>7.98</v>
          </cell>
          <cell r="F679">
            <v>11930.1</v>
          </cell>
          <cell r="G679" t="str">
            <v>레이스랩</v>
          </cell>
          <cell r="H679" t="str">
            <v>7-1.LaceLab</v>
          </cell>
          <cell r="I679" t="str">
            <v>Kelly Green Luxury Leather Laces - Silver Plated</v>
          </cell>
        </row>
        <row r="680">
          <cell r="A680" t="str">
            <v>L34</v>
          </cell>
          <cell r="B680" t="str">
            <v>L34-[레이스랩]Navy Blue Luxury Leather Laces - Gold Plated</v>
          </cell>
          <cell r="C680">
            <v>30000</v>
          </cell>
          <cell r="D680" t="str">
            <v>Luxury Leather Laces</v>
          </cell>
          <cell r="E680">
            <v>7.98</v>
          </cell>
          <cell r="F680">
            <v>11930.1</v>
          </cell>
          <cell r="G680" t="str">
            <v>레이스랩</v>
          </cell>
          <cell r="H680" t="str">
            <v>7-1.LaceLab</v>
          </cell>
          <cell r="I680" t="str">
            <v>Navy Blue Luxury Leather Laces - Gold Plated</v>
          </cell>
        </row>
        <row r="681">
          <cell r="A681" t="str">
            <v>L35</v>
          </cell>
          <cell r="B681" t="str">
            <v>L35-[레이스랩]Navy Blue Luxury Leather Laces - Gunmetal Plated</v>
          </cell>
          <cell r="C681">
            <v>30000</v>
          </cell>
          <cell r="D681" t="str">
            <v>Luxury Leather Laces</v>
          </cell>
          <cell r="E681">
            <v>7.98</v>
          </cell>
          <cell r="F681">
            <v>11930.1</v>
          </cell>
          <cell r="G681" t="str">
            <v>레이스랩</v>
          </cell>
          <cell r="H681" t="str">
            <v>7-1.LaceLab</v>
          </cell>
          <cell r="I681" t="str">
            <v>Navy Blue Luxury Leather Laces - Gunmetal Plated</v>
          </cell>
        </row>
        <row r="682">
          <cell r="A682" t="str">
            <v>L36</v>
          </cell>
          <cell r="B682" t="str">
            <v>L36-[레이스랩]Navy Blue Luxury Leather Laces - Silver Plated</v>
          </cell>
          <cell r="C682">
            <v>30000</v>
          </cell>
          <cell r="D682" t="str">
            <v>Luxury Leather Laces</v>
          </cell>
          <cell r="E682">
            <v>7.98</v>
          </cell>
          <cell r="F682">
            <v>11930.1</v>
          </cell>
          <cell r="G682" t="str">
            <v>레이스랩</v>
          </cell>
          <cell r="H682" t="str">
            <v>7-1.LaceLab</v>
          </cell>
          <cell r="I682" t="str">
            <v>Navy Blue Luxury Leather Laces - Silver Plated</v>
          </cell>
        </row>
        <row r="683">
          <cell r="A683" t="str">
            <v>L37</v>
          </cell>
          <cell r="B683" t="str">
            <v>L37-[레이스랩]University Blue Luxury Leather Laces - Gold Plated</v>
          </cell>
          <cell r="C683">
            <v>30000</v>
          </cell>
          <cell r="D683" t="str">
            <v>Luxury Leather Laces</v>
          </cell>
          <cell r="E683">
            <v>7.98</v>
          </cell>
          <cell r="F683">
            <v>11930.1</v>
          </cell>
          <cell r="G683" t="str">
            <v>레이스랩</v>
          </cell>
          <cell r="H683" t="str">
            <v>7-1.LaceLab</v>
          </cell>
          <cell r="I683" t="str">
            <v>University Blue Luxury Leather Laces - Gold Plated</v>
          </cell>
        </row>
        <row r="684">
          <cell r="A684" t="str">
            <v>L38</v>
          </cell>
          <cell r="B684" t="str">
            <v>L38-[레이스랩]University Blue Luxury Leather Laces - Gunmetal Plated</v>
          </cell>
          <cell r="C684">
            <v>30000</v>
          </cell>
          <cell r="D684" t="str">
            <v>Luxury Leather Laces</v>
          </cell>
          <cell r="E684">
            <v>7.98</v>
          </cell>
          <cell r="F684">
            <v>11930.1</v>
          </cell>
          <cell r="G684" t="str">
            <v>레이스랩</v>
          </cell>
          <cell r="H684" t="str">
            <v>7-1.LaceLab</v>
          </cell>
          <cell r="I684" t="str">
            <v>University Blue Luxury Leather Laces - Gunmetal Plated</v>
          </cell>
        </row>
        <row r="685">
          <cell r="A685" t="str">
            <v>L39</v>
          </cell>
          <cell r="B685" t="str">
            <v>L39-[레이스랩]University Blue Luxury Leather Laces - Silver Plated</v>
          </cell>
          <cell r="C685">
            <v>30000</v>
          </cell>
          <cell r="D685" t="str">
            <v>Luxury Leather Laces</v>
          </cell>
          <cell r="E685">
            <v>7.98</v>
          </cell>
          <cell r="F685">
            <v>11930.1</v>
          </cell>
          <cell r="G685" t="str">
            <v>레이스랩</v>
          </cell>
          <cell r="H685" t="str">
            <v>7-1.LaceLab</v>
          </cell>
          <cell r="I685" t="str">
            <v>University Blue Luxury Leather Laces - Silver Plated</v>
          </cell>
        </row>
        <row r="686">
          <cell r="A686" t="str">
            <v>L40</v>
          </cell>
          <cell r="B686" t="str">
            <v>L40-[레이스랩]Blue Luxury Leather Laces - Gold Plated</v>
          </cell>
          <cell r="C686">
            <v>30000</v>
          </cell>
          <cell r="D686" t="str">
            <v>Luxury Leather Laces</v>
          </cell>
          <cell r="E686">
            <v>7.98</v>
          </cell>
          <cell r="F686">
            <v>11930.1</v>
          </cell>
          <cell r="G686" t="str">
            <v>레이스랩</v>
          </cell>
          <cell r="H686" t="str">
            <v>7-1.LaceLab</v>
          </cell>
          <cell r="I686" t="str">
            <v>Blue Luxury Leather Laces - Gold Plated</v>
          </cell>
        </row>
        <row r="687">
          <cell r="A687" t="str">
            <v>L41</v>
          </cell>
          <cell r="B687" t="str">
            <v>L41-[레이스랩]Blue Luxury Leather Laces - Gunmetal Plated</v>
          </cell>
          <cell r="C687">
            <v>30000</v>
          </cell>
          <cell r="D687" t="str">
            <v>Luxury Leather Laces</v>
          </cell>
          <cell r="E687">
            <v>7.98</v>
          </cell>
          <cell r="F687">
            <v>11930.1</v>
          </cell>
          <cell r="G687" t="str">
            <v>레이스랩</v>
          </cell>
          <cell r="H687" t="str">
            <v>7-1.LaceLab</v>
          </cell>
          <cell r="I687" t="str">
            <v>Blue Luxury Leather Laces - Gunmetal Plated</v>
          </cell>
        </row>
        <row r="688">
          <cell r="A688" t="str">
            <v>L42</v>
          </cell>
          <cell r="B688" t="str">
            <v>L42-[레이스랩]Blue Luxury Leather Laces - Silver Plated</v>
          </cell>
          <cell r="C688">
            <v>30000</v>
          </cell>
          <cell r="D688" t="str">
            <v>Luxury Leather Laces</v>
          </cell>
          <cell r="E688">
            <v>7.98</v>
          </cell>
          <cell r="F688">
            <v>11930.1</v>
          </cell>
          <cell r="G688" t="str">
            <v>레이스랩</v>
          </cell>
          <cell r="H688" t="str">
            <v>7-1.LaceLab</v>
          </cell>
          <cell r="I688" t="str">
            <v>Blue Luxury Leather Laces - Silver Plated</v>
          </cell>
        </row>
        <row r="689">
          <cell r="A689" t="str">
            <v>M01</v>
          </cell>
          <cell r="B689" t="str">
            <v>M01-[레이스랩]Black/Red Multi - ColorRopeLaces</v>
          </cell>
          <cell r="C689">
            <v>10000</v>
          </cell>
          <cell r="D689" t="str">
            <v>Multi-Color Rope Laces</v>
          </cell>
          <cell r="E689">
            <v>2.38</v>
          </cell>
          <cell r="F689">
            <v>3558.1</v>
          </cell>
          <cell r="G689" t="str">
            <v>레이스랩</v>
          </cell>
          <cell r="H689" t="str">
            <v>7-1.LaceLab</v>
          </cell>
          <cell r="I689" t="str">
            <v>Black/Red Multi - ColorRopeLaces</v>
          </cell>
        </row>
        <row r="690">
          <cell r="A690" t="str">
            <v>M02</v>
          </cell>
          <cell r="B690" t="str">
            <v>M02-[레이스랩]Black/White Multi - ColorRopeLaces</v>
          </cell>
          <cell r="C690">
            <v>10000</v>
          </cell>
          <cell r="D690" t="str">
            <v>Multi-Color Rope Laces</v>
          </cell>
          <cell r="E690">
            <v>2.38</v>
          </cell>
          <cell r="F690">
            <v>3558.1</v>
          </cell>
          <cell r="G690" t="str">
            <v>레이스랩</v>
          </cell>
          <cell r="H690" t="str">
            <v>7-1.LaceLab</v>
          </cell>
          <cell r="I690" t="str">
            <v>Black/White Multi - ColorRopeLaces</v>
          </cell>
        </row>
        <row r="691">
          <cell r="A691" t="str">
            <v>M03</v>
          </cell>
          <cell r="B691" t="str">
            <v>M03-[레이스랩]Blue Multi - ColorRopeLaces</v>
          </cell>
          <cell r="C691">
            <v>10000</v>
          </cell>
          <cell r="D691" t="str">
            <v>Multi-Color Rope Laces</v>
          </cell>
          <cell r="E691">
            <v>2.38</v>
          </cell>
          <cell r="F691">
            <v>3558.1</v>
          </cell>
          <cell r="G691" t="str">
            <v>레이스랩</v>
          </cell>
          <cell r="H691" t="str">
            <v>7-1.LaceLab</v>
          </cell>
          <cell r="I691" t="str">
            <v>Blue Multi - ColorRopeLaces</v>
          </cell>
        </row>
        <row r="692">
          <cell r="A692" t="str">
            <v>M04</v>
          </cell>
          <cell r="B692" t="str">
            <v>M04-[레이스랩]Green Multi - ColorRopeLaces</v>
          </cell>
          <cell r="C692">
            <v>10000</v>
          </cell>
          <cell r="D692" t="str">
            <v>Multi-Color Rope Laces</v>
          </cell>
          <cell r="E692">
            <v>2.38</v>
          </cell>
          <cell r="F692">
            <v>3558.1</v>
          </cell>
          <cell r="G692" t="str">
            <v>레이스랩</v>
          </cell>
          <cell r="H692" t="str">
            <v>7-1.LaceLab</v>
          </cell>
          <cell r="I692" t="str">
            <v>Green Multi - ColorRopeLaces</v>
          </cell>
        </row>
        <row r="693">
          <cell r="A693" t="str">
            <v>M05</v>
          </cell>
          <cell r="B693" t="str">
            <v>M05-[레이스랩]Orange Multi - ColorRopeLaces</v>
          </cell>
          <cell r="C693">
            <v>10000</v>
          </cell>
          <cell r="D693" t="str">
            <v>Multi-Color Rope Laces</v>
          </cell>
          <cell r="E693">
            <v>2.38</v>
          </cell>
          <cell r="F693">
            <v>3558.1</v>
          </cell>
          <cell r="G693" t="str">
            <v>레이스랩</v>
          </cell>
          <cell r="H693" t="str">
            <v>7-1.LaceLab</v>
          </cell>
          <cell r="I693" t="str">
            <v>Orange Multi - ColorRopeLaces</v>
          </cell>
        </row>
        <row r="694">
          <cell r="A694" t="str">
            <v>M06</v>
          </cell>
          <cell r="B694" t="str">
            <v>M06-[레이스랩]Pink Multi - ColorRopeLaces</v>
          </cell>
          <cell r="C694">
            <v>10000</v>
          </cell>
          <cell r="D694" t="str">
            <v>Multi-Color Rope Laces</v>
          </cell>
          <cell r="E694">
            <v>2.38</v>
          </cell>
          <cell r="F694">
            <v>3558.1</v>
          </cell>
          <cell r="G694" t="str">
            <v>레이스랩</v>
          </cell>
          <cell r="H694" t="str">
            <v>7-1.LaceLab</v>
          </cell>
          <cell r="I694" t="str">
            <v>Pink Multi - ColorRopeLaces</v>
          </cell>
        </row>
        <row r="695">
          <cell r="A695" t="str">
            <v>M07</v>
          </cell>
          <cell r="B695" t="str">
            <v>M07-[레이스랩]Volt Multi - ColorRopeLaces</v>
          </cell>
          <cell r="C695">
            <v>10000</v>
          </cell>
          <cell r="D695" t="str">
            <v>Multi-Color Rope Laces</v>
          </cell>
          <cell r="E695">
            <v>2.38</v>
          </cell>
          <cell r="F695">
            <v>3558.1</v>
          </cell>
          <cell r="G695" t="str">
            <v>레이스랩</v>
          </cell>
          <cell r="H695" t="str">
            <v>7-1.LaceLab</v>
          </cell>
          <cell r="I695" t="str">
            <v>Volt Multi - ColorRopeLaces</v>
          </cell>
        </row>
        <row r="696">
          <cell r="A696" t="str">
            <v>O01</v>
          </cell>
          <cell r="B696" t="str">
            <v>O01-[레이스랩]Black  - OvalSBLaces</v>
          </cell>
          <cell r="C696">
            <v>7000</v>
          </cell>
          <cell r="D696" t="str">
            <v>Oval SB Laces</v>
          </cell>
          <cell r="E696">
            <v>1.58</v>
          </cell>
          <cell r="F696">
            <v>2362.1</v>
          </cell>
          <cell r="G696" t="str">
            <v>레이스랩</v>
          </cell>
          <cell r="H696" t="str">
            <v>7-1.LaceLab</v>
          </cell>
          <cell r="I696" t="str">
            <v>Black  - OvalSBLaces</v>
          </cell>
        </row>
        <row r="697">
          <cell r="A697" t="str">
            <v>O02</v>
          </cell>
          <cell r="B697" t="str">
            <v>O02-[레이스랩]Blue  - OvalSBLaces</v>
          </cell>
          <cell r="C697">
            <v>7000</v>
          </cell>
          <cell r="D697" t="str">
            <v>Oval SB Laces</v>
          </cell>
          <cell r="E697">
            <v>1.58</v>
          </cell>
          <cell r="F697">
            <v>2362.1</v>
          </cell>
          <cell r="G697" t="str">
            <v>레이스랩</v>
          </cell>
          <cell r="H697" t="str">
            <v>7-1.LaceLab</v>
          </cell>
          <cell r="I697" t="str">
            <v>Blue  - OvalSBLaces</v>
          </cell>
        </row>
        <row r="698">
          <cell r="A698" t="str">
            <v>O03</v>
          </cell>
          <cell r="B698" t="str">
            <v>O03-[레이스랩]Carolina Blue  - OvalSBLaces</v>
          </cell>
          <cell r="C698">
            <v>7000</v>
          </cell>
          <cell r="D698" t="str">
            <v>Oval SB Laces</v>
          </cell>
          <cell r="E698">
            <v>1.58</v>
          </cell>
          <cell r="F698">
            <v>2362.1</v>
          </cell>
          <cell r="G698" t="str">
            <v>레이스랩</v>
          </cell>
          <cell r="H698" t="str">
            <v>7-1.LaceLab</v>
          </cell>
          <cell r="I698" t="str">
            <v>Carolina Blue  - OvalSBLaces</v>
          </cell>
        </row>
        <row r="699">
          <cell r="A699" t="str">
            <v>O04</v>
          </cell>
          <cell r="B699" t="str">
            <v>O04-[레이스랩]Green  - OvalSBLaces</v>
          </cell>
          <cell r="C699">
            <v>7000</v>
          </cell>
          <cell r="D699" t="str">
            <v>Oval SB Laces</v>
          </cell>
          <cell r="E699">
            <v>1.58</v>
          </cell>
          <cell r="F699">
            <v>2362.1</v>
          </cell>
          <cell r="G699" t="str">
            <v>레이스랩</v>
          </cell>
          <cell r="H699" t="str">
            <v>7-1.LaceLab</v>
          </cell>
          <cell r="I699" t="str">
            <v>Green  - OvalSBLaces</v>
          </cell>
        </row>
        <row r="700">
          <cell r="A700" t="str">
            <v>O05</v>
          </cell>
          <cell r="B700" t="str">
            <v>O05-[레이스랩]Grey  - OvalSBLaces</v>
          </cell>
          <cell r="C700">
            <v>7000</v>
          </cell>
          <cell r="D700" t="str">
            <v>Oval SB Laces</v>
          </cell>
          <cell r="E700">
            <v>1.58</v>
          </cell>
          <cell r="F700">
            <v>2362.1</v>
          </cell>
          <cell r="G700" t="str">
            <v>레이스랩</v>
          </cell>
          <cell r="H700" t="str">
            <v>7-1.LaceLab</v>
          </cell>
          <cell r="I700" t="str">
            <v>Grey  - OvalSBLaces</v>
          </cell>
        </row>
        <row r="701">
          <cell r="A701" t="str">
            <v>O06</v>
          </cell>
          <cell r="B701" t="str">
            <v>O06-[레이스랩]Light Grey  - OvalSBLaces</v>
          </cell>
          <cell r="C701">
            <v>7000</v>
          </cell>
          <cell r="D701" t="str">
            <v>Oval SB Laces</v>
          </cell>
          <cell r="E701">
            <v>1.58</v>
          </cell>
          <cell r="F701">
            <v>2362.1</v>
          </cell>
          <cell r="G701" t="str">
            <v>레이스랩</v>
          </cell>
          <cell r="H701" t="str">
            <v>7-1.LaceLab</v>
          </cell>
          <cell r="I701" t="str">
            <v>Light Grey  - OvalSBLaces</v>
          </cell>
        </row>
        <row r="702">
          <cell r="A702" t="str">
            <v>O07</v>
          </cell>
          <cell r="B702" t="str">
            <v>O07-[레이스랩]Orange  - OvalSBLaces</v>
          </cell>
          <cell r="C702">
            <v>7000</v>
          </cell>
          <cell r="D702" t="str">
            <v>Oval SB Laces</v>
          </cell>
          <cell r="E702">
            <v>1.58</v>
          </cell>
          <cell r="F702">
            <v>2362.1</v>
          </cell>
          <cell r="G702" t="str">
            <v>레이스랩</v>
          </cell>
          <cell r="H702" t="str">
            <v>7-1.LaceLab</v>
          </cell>
          <cell r="I702" t="str">
            <v>Orange  - OvalSBLaces</v>
          </cell>
        </row>
        <row r="703">
          <cell r="A703" t="str">
            <v>O08</v>
          </cell>
          <cell r="B703" t="str">
            <v>O08-[레이스랩]Pink  - OvalSBLaces</v>
          </cell>
          <cell r="C703">
            <v>7000</v>
          </cell>
          <cell r="D703" t="str">
            <v>Oval SB Laces</v>
          </cell>
          <cell r="E703">
            <v>1.58</v>
          </cell>
          <cell r="F703">
            <v>2362.1</v>
          </cell>
          <cell r="G703" t="str">
            <v>레이스랩</v>
          </cell>
          <cell r="H703" t="str">
            <v>7-1.LaceLab</v>
          </cell>
          <cell r="I703" t="str">
            <v>Pink  - OvalSBLaces</v>
          </cell>
        </row>
        <row r="704">
          <cell r="A704" t="str">
            <v>O09</v>
          </cell>
          <cell r="B704" t="str">
            <v>O09-[레이스랩]Purple  - OvalSBLaces</v>
          </cell>
          <cell r="C704">
            <v>7000</v>
          </cell>
          <cell r="D704" t="str">
            <v>Oval SB Laces</v>
          </cell>
          <cell r="E704">
            <v>1.58</v>
          </cell>
          <cell r="F704">
            <v>2362.1</v>
          </cell>
          <cell r="G704" t="str">
            <v>레이스랩</v>
          </cell>
          <cell r="H704" t="str">
            <v>7-1.LaceLab</v>
          </cell>
          <cell r="I704" t="str">
            <v>Purple  - OvalSBLaces</v>
          </cell>
        </row>
        <row r="705">
          <cell r="A705" t="str">
            <v>O10</v>
          </cell>
          <cell r="B705" t="str">
            <v>O10-[레이스랩]Red  - OvalSBLaces</v>
          </cell>
          <cell r="C705">
            <v>7000</v>
          </cell>
          <cell r="D705" t="str">
            <v>Oval SB Laces</v>
          </cell>
          <cell r="E705">
            <v>1.58</v>
          </cell>
          <cell r="F705">
            <v>2362.1</v>
          </cell>
          <cell r="G705" t="str">
            <v>레이스랩</v>
          </cell>
          <cell r="H705" t="str">
            <v>7-1.LaceLab</v>
          </cell>
          <cell r="I705" t="str">
            <v>Red  - OvalSBLaces</v>
          </cell>
        </row>
        <row r="706">
          <cell r="A706" t="str">
            <v>O11</v>
          </cell>
          <cell r="B706" t="str">
            <v>O11-[레이스랩]Royal Blue  - OvalSBLaces</v>
          </cell>
          <cell r="C706">
            <v>7000</v>
          </cell>
          <cell r="D706" t="str">
            <v>Oval SB Laces</v>
          </cell>
          <cell r="E706">
            <v>1.58</v>
          </cell>
          <cell r="F706">
            <v>2362.1</v>
          </cell>
          <cell r="G706" t="str">
            <v>레이스랩</v>
          </cell>
          <cell r="H706" t="str">
            <v>7-1.LaceLab</v>
          </cell>
          <cell r="I706" t="str">
            <v>Royal Blue  - OvalSBLaces</v>
          </cell>
        </row>
        <row r="707">
          <cell r="A707" t="str">
            <v>O12</v>
          </cell>
          <cell r="B707" t="str">
            <v>O12-[레이스랩]Tiffany/Mint  - OvalSBLaces</v>
          </cell>
          <cell r="C707">
            <v>7000</v>
          </cell>
          <cell r="D707" t="str">
            <v>Oval SB Laces</v>
          </cell>
          <cell r="E707">
            <v>1.58</v>
          </cell>
          <cell r="F707">
            <v>2362.1</v>
          </cell>
          <cell r="G707" t="str">
            <v>레이스랩</v>
          </cell>
          <cell r="H707" t="str">
            <v>7-1.LaceLab</v>
          </cell>
          <cell r="I707" t="str">
            <v>Tiffany/Mint  - OvalSBLaces</v>
          </cell>
        </row>
        <row r="708">
          <cell r="A708" t="str">
            <v>O13</v>
          </cell>
          <cell r="B708" t="str">
            <v>O13-[레이스랩]Volt  - OvalSBLaces</v>
          </cell>
          <cell r="C708">
            <v>7000</v>
          </cell>
          <cell r="D708" t="str">
            <v>Oval SB Laces</v>
          </cell>
          <cell r="E708">
            <v>1.58</v>
          </cell>
          <cell r="F708">
            <v>2362.1</v>
          </cell>
          <cell r="G708" t="str">
            <v>레이스랩</v>
          </cell>
          <cell r="H708" t="str">
            <v>7-1.LaceLab</v>
          </cell>
          <cell r="I708" t="str">
            <v>Volt  - OvalSBLaces</v>
          </cell>
        </row>
        <row r="709">
          <cell r="A709" t="str">
            <v>O14</v>
          </cell>
          <cell r="B709" t="str">
            <v>O14-[레이스랩]Yellow  - OvalSBLaces</v>
          </cell>
          <cell r="C709">
            <v>7000</v>
          </cell>
          <cell r="D709" t="str">
            <v>Oval SB Laces</v>
          </cell>
          <cell r="E709">
            <v>1.58</v>
          </cell>
          <cell r="F709">
            <v>2362.1</v>
          </cell>
          <cell r="G709" t="str">
            <v>레이스랩</v>
          </cell>
          <cell r="H709" t="str">
            <v>7-1.LaceLab</v>
          </cell>
          <cell r="I709" t="str">
            <v>Yellow  - OvalSBLaces</v>
          </cell>
        </row>
        <row r="710">
          <cell r="A710" t="str">
            <v>B01</v>
          </cell>
          <cell r="B710" t="str">
            <v>B01-[레이스랩]Black Boot Laces</v>
          </cell>
          <cell r="C710">
            <v>10000</v>
          </cell>
          <cell r="D710" t="str">
            <v>Boot Laces</v>
          </cell>
          <cell r="E710">
            <v>2.38</v>
          </cell>
          <cell r="F710">
            <v>3558.1</v>
          </cell>
          <cell r="G710" t="str">
            <v>레이스랩</v>
          </cell>
          <cell r="H710" t="str">
            <v>7-1.LaceLab</v>
          </cell>
          <cell r="I710" t="str">
            <v>Black Boot Laces</v>
          </cell>
        </row>
        <row r="711">
          <cell r="A711" t="str">
            <v>B02</v>
          </cell>
          <cell r="B711" t="str">
            <v>B02-[레이스랩]Black/Brown Boot Laces</v>
          </cell>
          <cell r="C711">
            <v>10000</v>
          </cell>
          <cell r="D711" t="str">
            <v>Boot Laces</v>
          </cell>
          <cell r="E711">
            <v>2.38</v>
          </cell>
          <cell r="F711">
            <v>3558.1</v>
          </cell>
          <cell r="G711" t="str">
            <v>레이스랩</v>
          </cell>
          <cell r="H711" t="str">
            <v>7-1.LaceLab</v>
          </cell>
          <cell r="I711" t="str">
            <v>Black/Brown Boot Laces</v>
          </cell>
        </row>
        <row r="712">
          <cell r="A712" t="str">
            <v>B03</v>
          </cell>
          <cell r="B712" t="str">
            <v>B03-[레이스랩]Black/Grey Boot Laces</v>
          </cell>
          <cell r="C712">
            <v>10000</v>
          </cell>
          <cell r="D712" t="str">
            <v>Boot Laces</v>
          </cell>
          <cell r="E712">
            <v>2.38</v>
          </cell>
          <cell r="F712">
            <v>3558.1</v>
          </cell>
          <cell r="G712" t="str">
            <v>레이스랩</v>
          </cell>
          <cell r="H712" t="str">
            <v>7-1.LaceLab</v>
          </cell>
          <cell r="I712" t="str">
            <v>Black/Grey Boot Laces</v>
          </cell>
        </row>
        <row r="713">
          <cell r="A713" t="str">
            <v>B04</v>
          </cell>
          <cell r="B713" t="str">
            <v>B04-[레이스랩]Black/Hunter Green Boot Laces</v>
          </cell>
          <cell r="C713">
            <v>10000</v>
          </cell>
          <cell r="D713" t="str">
            <v>Boot Laces</v>
          </cell>
          <cell r="E713">
            <v>2.38</v>
          </cell>
          <cell r="F713">
            <v>3558.1</v>
          </cell>
          <cell r="G713" t="str">
            <v>레이스랩</v>
          </cell>
          <cell r="H713" t="str">
            <v>7-1.LaceLab</v>
          </cell>
          <cell r="I713" t="str">
            <v>Black/Hunter Green Boot Laces</v>
          </cell>
        </row>
        <row r="714">
          <cell r="A714" t="str">
            <v>B05</v>
          </cell>
          <cell r="B714" t="str">
            <v>B05-[레이스랩]Black/Tan Boot Laces</v>
          </cell>
          <cell r="C714">
            <v>10000</v>
          </cell>
          <cell r="D714" t="str">
            <v>Boot Laces</v>
          </cell>
          <cell r="E714">
            <v>2.38</v>
          </cell>
          <cell r="F714">
            <v>3558.1</v>
          </cell>
          <cell r="G714" t="str">
            <v>레이스랩</v>
          </cell>
          <cell r="H714" t="str">
            <v>7-1.LaceLab</v>
          </cell>
          <cell r="I714" t="str">
            <v>Black/Tan Boot Laces</v>
          </cell>
        </row>
        <row r="715">
          <cell r="A715" t="str">
            <v>B06</v>
          </cell>
          <cell r="B715" t="str">
            <v>B06-[레이스랩]Brown Boot Laces</v>
          </cell>
          <cell r="C715">
            <v>10000</v>
          </cell>
          <cell r="D715" t="str">
            <v>Boot Laces</v>
          </cell>
          <cell r="E715">
            <v>2.38</v>
          </cell>
          <cell r="F715">
            <v>3558.1</v>
          </cell>
          <cell r="G715" t="str">
            <v>레이스랩</v>
          </cell>
          <cell r="H715" t="str">
            <v>7-1.LaceLab</v>
          </cell>
          <cell r="I715" t="str">
            <v>Brown Boot Laces</v>
          </cell>
        </row>
        <row r="716">
          <cell r="A716" t="str">
            <v>B07</v>
          </cell>
          <cell r="B716" t="str">
            <v>B07-[레이스랩]Brown/Beige Boot Laces</v>
          </cell>
          <cell r="C716">
            <v>10000</v>
          </cell>
          <cell r="D716" t="str">
            <v>Boot Laces</v>
          </cell>
          <cell r="E716">
            <v>2.38</v>
          </cell>
          <cell r="F716">
            <v>3558.1</v>
          </cell>
          <cell r="G716" t="str">
            <v>레이스랩</v>
          </cell>
          <cell r="H716" t="str">
            <v>7-1.LaceLab</v>
          </cell>
          <cell r="I716" t="str">
            <v>Brown/Beige Boot Laces</v>
          </cell>
        </row>
        <row r="717">
          <cell r="A717" t="str">
            <v>B08</v>
          </cell>
          <cell r="B717" t="str">
            <v>B08-[레이스랩]Rawhide Boot Laces</v>
          </cell>
          <cell r="C717">
            <v>10000</v>
          </cell>
          <cell r="D717" t="str">
            <v>Boot Laces</v>
          </cell>
          <cell r="E717">
            <v>2.38</v>
          </cell>
          <cell r="F717">
            <v>3558.1</v>
          </cell>
          <cell r="G717" t="str">
            <v>레이스랩</v>
          </cell>
          <cell r="H717" t="str">
            <v>7-1.LaceLab</v>
          </cell>
          <cell r="I717" t="str">
            <v>Rawhide Boot Laces</v>
          </cell>
        </row>
        <row r="718">
          <cell r="A718" t="str">
            <v>T01</v>
          </cell>
          <cell r="B718" t="str">
            <v>T01-[레이스랩]Black  - ThinOvalLaces</v>
          </cell>
          <cell r="C718">
            <v>8000</v>
          </cell>
          <cell r="D718" t="str">
            <v>Thin Oval Laces</v>
          </cell>
          <cell r="E718">
            <v>1.98</v>
          </cell>
          <cell r="F718">
            <v>2960.1</v>
          </cell>
          <cell r="G718" t="str">
            <v>레이스랩</v>
          </cell>
          <cell r="H718" t="str">
            <v>7-1.LaceLab</v>
          </cell>
          <cell r="I718" t="str">
            <v>Black  - ThinOvalLaces</v>
          </cell>
        </row>
        <row r="719">
          <cell r="A719" t="str">
            <v>T02</v>
          </cell>
          <cell r="B719" t="str">
            <v>T02-[레이스랩]Black/Red  - ThinOvalLaces</v>
          </cell>
          <cell r="C719">
            <v>8000</v>
          </cell>
          <cell r="D719" t="str">
            <v>Thin Oval Laces</v>
          </cell>
          <cell r="E719">
            <v>1.98</v>
          </cell>
          <cell r="F719">
            <v>2960.1</v>
          </cell>
          <cell r="G719" t="str">
            <v>레이스랩</v>
          </cell>
          <cell r="H719" t="str">
            <v>7-1.LaceLab</v>
          </cell>
          <cell r="I719" t="str">
            <v>Black/Red  - ThinOvalLaces</v>
          </cell>
        </row>
        <row r="720">
          <cell r="A720" t="str">
            <v>T03</v>
          </cell>
          <cell r="B720" t="str">
            <v>T03-[레이스랩]Flaming Orange  - ThinOvalLaces</v>
          </cell>
          <cell r="C720">
            <v>8000</v>
          </cell>
          <cell r="D720" t="str">
            <v>Thin Oval Laces</v>
          </cell>
          <cell r="E720">
            <v>1.98</v>
          </cell>
          <cell r="F720">
            <v>2960.1</v>
          </cell>
          <cell r="G720" t="str">
            <v>레이스랩</v>
          </cell>
          <cell r="H720" t="str">
            <v>7-1.LaceLab</v>
          </cell>
          <cell r="I720" t="str">
            <v>Flaming Orange  - ThinOvalLaces</v>
          </cell>
        </row>
        <row r="721">
          <cell r="A721" t="str">
            <v>T04</v>
          </cell>
          <cell r="B721" t="str">
            <v>T04-[레이스랩]Kelly Green  - ThinOvalLaces</v>
          </cell>
          <cell r="C721">
            <v>8000</v>
          </cell>
          <cell r="D721" t="str">
            <v>Thin Oval Laces</v>
          </cell>
          <cell r="E721">
            <v>1.98</v>
          </cell>
          <cell r="F721">
            <v>2960.1</v>
          </cell>
          <cell r="G721" t="str">
            <v>레이스랩</v>
          </cell>
          <cell r="H721" t="str">
            <v>7-1.LaceLab</v>
          </cell>
          <cell r="I721" t="str">
            <v>Kelly Green  - ThinOvalLaces</v>
          </cell>
        </row>
        <row r="722">
          <cell r="A722" t="str">
            <v>T05</v>
          </cell>
          <cell r="B722" t="str">
            <v>T05-[레이스랩]Light Grey  - ThinOvalLaces</v>
          </cell>
          <cell r="C722">
            <v>8000</v>
          </cell>
          <cell r="D722" t="str">
            <v>Thin Oval Laces</v>
          </cell>
          <cell r="E722">
            <v>1.98</v>
          </cell>
          <cell r="F722">
            <v>2960.1</v>
          </cell>
          <cell r="G722" t="str">
            <v>레이스랩</v>
          </cell>
          <cell r="H722" t="str">
            <v>7-1.LaceLab</v>
          </cell>
          <cell r="I722" t="str">
            <v>Light Grey  - ThinOvalLaces</v>
          </cell>
        </row>
        <row r="723">
          <cell r="A723" t="str">
            <v>T06</v>
          </cell>
          <cell r="B723" t="str">
            <v>T06-[레이스랩]Navy Blue  - ThinOvalLaces</v>
          </cell>
          <cell r="C723">
            <v>8000</v>
          </cell>
          <cell r="D723" t="str">
            <v>Thin Oval Laces</v>
          </cell>
          <cell r="E723">
            <v>1.98</v>
          </cell>
          <cell r="F723">
            <v>2960.1</v>
          </cell>
          <cell r="G723" t="str">
            <v>레이스랩</v>
          </cell>
          <cell r="H723" t="str">
            <v>7-1.LaceLab</v>
          </cell>
          <cell r="I723" t="str">
            <v>Navy Blue  - ThinOvalLaces</v>
          </cell>
        </row>
        <row r="724">
          <cell r="A724" t="str">
            <v>T07</v>
          </cell>
          <cell r="B724" t="str">
            <v>T07-[레이스랩]Red  - ThinOvalLaces</v>
          </cell>
          <cell r="C724">
            <v>8000</v>
          </cell>
          <cell r="D724" t="str">
            <v>Thin Oval Laces</v>
          </cell>
          <cell r="E724">
            <v>1.98</v>
          </cell>
          <cell r="F724">
            <v>2960.1</v>
          </cell>
          <cell r="G724" t="str">
            <v>레이스랩</v>
          </cell>
          <cell r="H724" t="str">
            <v>7-1.LaceLab</v>
          </cell>
          <cell r="I724" t="str">
            <v>Red  - ThinOvalLaces</v>
          </cell>
        </row>
        <row r="725">
          <cell r="A725" t="str">
            <v>T08</v>
          </cell>
          <cell r="B725" t="str">
            <v>T08-[레이스랩]Royal Blue  - ThinOvalLaces</v>
          </cell>
          <cell r="C725">
            <v>8000</v>
          </cell>
          <cell r="D725" t="str">
            <v>Thin Oval Laces</v>
          </cell>
          <cell r="E725">
            <v>1.98</v>
          </cell>
          <cell r="F725">
            <v>2960.1</v>
          </cell>
          <cell r="G725" t="str">
            <v>레이스랩</v>
          </cell>
          <cell r="H725" t="str">
            <v>7-1.LaceLab</v>
          </cell>
          <cell r="I725" t="str">
            <v>Royal Blue  - ThinOvalLaces</v>
          </cell>
        </row>
        <row r="726">
          <cell r="A726" t="str">
            <v>T09</v>
          </cell>
          <cell r="B726" t="str">
            <v>T09-[레이스랩]Volt  - ThinOvalLaces</v>
          </cell>
          <cell r="C726">
            <v>8000</v>
          </cell>
          <cell r="D726" t="str">
            <v>Thin Oval Laces</v>
          </cell>
          <cell r="E726">
            <v>1.98</v>
          </cell>
          <cell r="F726">
            <v>2960.1</v>
          </cell>
          <cell r="G726" t="str">
            <v>레이스랩</v>
          </cell>
          <cell r="H726" t="str">
            <v>7-1.LaceLab</v>
          </cell>
          <cell r="I726" t="str">
            <v>Volt  - ThinOvalLaces</v>
          </cell>
        </row>
        <row r="727">
          <cell r="A727" t="str">
            <v>T10</v>
          </cell>
          <cell r="B727" t="str">
            <v>T10-[레이스랩]White  - ThinOvalLaces</v>
          </cell>
          <cell r="C727">
            <v>8000</v>
          </cell>
          <cell r="D727" t="str">
            <v>Thin Oval Laces</v>
          </cell>
          <cell r="E727">
            <v>1.98</v>
          </cell>
          <cell r="F727">
            <v>2960.1</v>
          </cell>
          <cell r="G727" t="str">
            <v>레이스랩</v>
          </cell>
          <cell r="H727" t="str">
            <v>7-1.LaceLab</v>
          </cell>
          <cell r="I727" t="str">
            <v>White  - ThinOvalLaces</v>
          </cell>
        </row>
        <row r="728">
          <cell r="A728" t="str">
            <v>W01</v>
          </cell>
          <cell r="B728" t="str">
            <v>[레이스랩] W01-"Black Waxed Shoe Laces</v>
          </cell>
          <cell r="C728">
            <v>10000</v>
          </cell>
          <cell r="D728" t="str">
            <v>Waxed Shoe Laces</v>
          </cell>
          <cell r="E728">
            <v>2.78</v>
          </cell>
          <cell r="F728">
            <v>4156.1000000000004</v>
          </cell>
          <cell r="G728" t="str">
            <v>레이스랩</v>
          </cell>
          <cell r="H728" t="str">
            <v>7-1.LaceLab</v>
          </cell>
          <cell r="I728" t="str">
            <v>Black Waxed Shoe Laces</v>
          </cell>
        </row>
        <row r="729">
          <cell r="A729" t="str">
            <v>W02</v>
          </cell>
          <cell r="B729" t="str">
            <v>[레이스랩] W02-"White Waxed Shoe Laces</v>
          </cell>
          <cell r="C729">
            <v>10000</v>
          </cell>
          <cell r="D729" t="str">
            <v>Waxed Shoe Laces</v>
          </cell>
          <cell r="E729">
            <v>2.78</v>
          </cell>
          <cell r="F729">
            <v>4156.1000000000004</v>
          </cell>
          <cell r="G729" t="str">
            <v>레이스랩</v>
          </cell>
          <cell r="H729" t="str">
            <v>7-1.LaceLab</v>
          </cell>
          <cell r="I729" t="str">
            <v>White Waxed Shoe Laces</v>
          </cell>
        </row>
        <row r="730">
          <cell r="A730" t="str">
            <v>W03</v>
          </cell>
          <cell r="B730" t="str">
            <v>[레이스랩] W03-"Red Waxed Shoe Laces</v>
          </cell>
          <cell r="C730">
            <v>10000</v>
          </cell>
          <cell r="D730" t="str">
            <v>Waxed Shoe Laces</v>
          </cell>
          <cell r="E730">
            <v>2.78</v>
          </cell>
          <cell r="F730">
            <v>4156.1000000000004</v>
          </cell>
          <cell r="G730" t="str">
            <v>레이스랩</v>
          </cell>
          <cell r="H730" t="str">
            <v>7-1.LaceLab</v>
          </cell>
          <cell r="I730" t="str">
            <v>Red Waxed Shoe Laces</v>
          </cell>
        </row>
        <row r="731">
          <cell r="A731" t="str">
            <v>W04</v>
          </cell>
          <cell r="B731" t="str">
            <v>[레이스랩] W04-"Royal Blue Waxed Shoe Laces</v>
          </cell>
          <cell r="C731">
            <v>10000</v>
          </cell>
          <cell r="D731" t="str">
            <v>Waxed Shoe Laces</v>
          </cell>
          <cell r="E731">
            <v>2.78</v>
          </cell>
          <cell r="F731">
            <v>4156.1000000000004</v>
          </cell>
          <cell r="G731" t="str">
            <v>레이스랩</v>
          </cell>
          <cell r="H731" t="str">
            <v>7-1.LaceLab</v>
          </cell>
          <cell r="I731" t="str">
            <v>Royal Blue Waxed Shoe Laces</v>
          </cell>
        </row>
        <row r="732">
          <cell r="A732" t="str">
            <v>MF01</v>
          </cell>
          <cell r="B732" t="str">
            <v>MF01-[레이스랩]Grey/Black Multi-Color Flat Laces</v>
          </cell>
          <cell r="C732">
            <v>10000</v>
          </cell>
          <cell r="E732">
            <v>2.38</v>
          </cell>
          <cell r="F732">
            <v>3558.1</v>
          </cell>
          <cell r="G732" t="str">
            <v>레이스랩</v>
          </cell>
          <cell r="H732" t="str">
            <v>7-1.LaceLab</v>
          </cell>
          <cell r="I732" t="str">
            <v>Grey/Black Multi-Color Flat Laces</v>
          </cell>
        </row>
        <row r="733">
          <cell r="A733" t="str">
            <v>MF02</v>
          </cell>
          <cell r="B733" t="str">
            <v>MF02-[레이스랩]Black/Red Multi-Color Flat Laces</v>
          </cell>
          <cell r="C733">
            <v>10000</v>
          </cell>
          <cell r="E733">
            <v>2.38</v>
          </cell>
          <cell r="F733">
            <v>3558.1</v>
          </cell>
          <cell r="G733" t="str">
            <v>레이스랩</v>
          </cell>
          <cell r="H733" t="str">
            <v>7-1.LaceLab</v>
          </cell>
          <cell r="I733" t="str">
            <v>Black/Red Multi-Color Flat Laces</v>
          </cell>
        </row>
        <row r="734">
          <cell r="A734" t="str">
            <v>MF03</v>
          </cell>
          <cell r="B734" t="str">
            <v>MF03-[레이스랩]Black/White Multi-Color Flat Laces</v>
          </cell>
          <cell r="C734">
            <v>10000</v>
          </cell>
          <cell r="E734">
            <v>2.38</v>
          </cell>
          <cell r="F734">
            <v>3558.1</v>
          </cell>
          <cell r="G734" t="str">
            <v>레이스랩</v>
          </cell>
          <cell r="H734" t="str">
            <v>7-1.LaceLab</v>
          </cell>
          <cell r="I734" t="str">
            <v>Black/White Multi-Color Flat Laces</v>
          </cell>
        </row>
        <row r="735">
          <cell r="A735" t="str">
            <v>MF04</v>
          </cell>
          <cell r="B735" t="str">
            <v>MF04-[레이스랩]Grey/White Multi-Color Flat Laces</v>
          </cell>
          <cell r="C735">
            <v>10000</v>
          </cell>
          <cell r="E735">
            <v>2.38</v>
          </cell>
          <cell r="F735">
            <v>3558.1</v>
          </cell>
          <cell r="G735" t="str">
            <v>레이스랩</v>
          </cell>
          <cell r="H735" t="str">
            <v>7-1.LaceLab</v>
          </cell>
          <cell r="I735" t="str">
            <v>Grey/White Multi-Color Flat Laces</v>
          </cell>
        </row>
        <row r="736">
          <cell r="A736" t="str">
            <v>MF05</v>
          </cell>
          <cell r="B736" t="str">
            <v>MF05-[레이스랩]Beige/White Multi-Color Flat Laces</v>
          </cell>
          <cell r="C736">
            <v>10000</v>
          </cell>
          <cell r="D736" t="str">
            <v>010-3002-8143</v>
          </cell>
          <cell r="E736">
            <v>2.38</v>
          </cell>
          <cell r="F736">
            <v>3558.1</v>
          </cell>
          <cell r="G736" t="str">
            <v>레이스랩</v>
          </cell>
          <cell r="H736" t="str">
            <v>7-1.LaceLab</v>
          </cell>
          <cell r="I736" t="str">
            <v>Beige/White Multi-Color Flat Laces</v>
          </cell>
        </row>
        <row r="737">
          <cell r="A737" t="str">
            <v>k01</v>
          </cell>
          <cell r="B737" t="str">
            <v>k01-[레이스랩]White Japanese Katakana Flat Laces</v>
          </cell>
          <cell r="C737">
            <v>13000</v>
          </cell>
          <cell r="E737">
            <v>3.2</v>
          </cell>
          <cell r="F737">
            <v>4784</v>
          </cell>
          <cell r="G737" t="str">
            <v>레이스랩</v>
          </cell>
          <cell r="H737" t="str">
            <v>7-1.LaceLab</v>
          </cell>
          <cell r="I737" t="str">
            <v>White Japanese Katakana Flat Laces</v>
          </cell>
        </row>
        <row r="738">
          <cell r="A738" t="str">
            <v>k02</v>
          </cell>
          <cell r="B738" t="str">
            <v xml:space="preserve">k02-[레이스랩]Black Japanese Katakana Flat Laces </v>
          </cell>
          <cell r="C738">
            <v>13000</v>
          </cell>
          <cell r="E738">
            <v>3.2</v>
          </cell>
          <cell r="F738">
            <v>4784</v>
          </cell>
          <cell r="G738" t="str">
            <v>레이스랩</v>
          </cell>
          <cell r="H738" t="str">
            <v>7-1.LaceLab</v>
          </cell>
          <cell r="I738" t="str">
            <v>Black Japanese Katakana Flat Laces</v>
          </cell>
        </row>
        <row r="739">
          <cell r="A739">
            <v>783583294833</v>
          </cell>
          <cell r="B739" t="str">
            <v>[스니커쉴드] 유니버살 Small</v>
          </cell>
          <cell r="C739">
            <v>20000</v>
          </cell>
          <cell r="E739">
            <v>4.95</v>
          </cell>
          <cell r="F739">
            <v>7400.25</v>
          </cell>
          <cell r="G739" t="str">
            <v>스니커쉴드</v>
          </cell>
          <cell r="H739" t="str">
            <v>8-1.SneakerShield</v>
          </cell>
          <cell r="I739" t="str">
            <v>[스니커쉴드] 유니버살 Small</v>
          </cell>
        </row>
        <row r="740">
          <cell r="A740">
            <v>783583298476</v>
          </cell>
          <cell r="B740" t="str">
            <v>[스니커쉴드] 유니버살 Medium</v>
          </cell>
          <cell r="C740">
            <v>20000</v>
          </cell>
          <cell r="E740">
            <v>4.95</v>
          </cell>
          <cell r="F740">
            <v>7400.25</v>
          </cell>
          <cell r="G740" t="str">
            <v>스니커쉴드</v>
          </cell>
          <cell r="H740" t="str">
            <v>8-1.SneakerShield</v>
          </cell>
          <cell r="I740" t="str">
            <v>[스니커쉴드] 유니버살 Medium</v>
          </cell>
        </row>
        <row r="741">
          <cell r="A741">
            <v>705020599076</v>
          </cell>
          <cell r="B741" t="str">
            <v xml:space="preserve">[스니커쉴드] 프로텍터 Small </v>
          </cell>
          <cell r="C741">
            <v>25000</v>
          </cell>
          <cell r="E741">
            <v>6.6</v>
          </cell>
          <cell r="F741">
            <v>9867</v>
          </cell>
          <cell r="G741" t="str">
            <v>스니커쉴드</v>
          </cell>
          <cell r="H741" t="str">
            <v>8-1.SneakerShield</v>
          </cell>
          <cell r="I741" t="str">
            <v xml:space="preserve">[스니커쉴드] 프로텍터 Small </v>
          </cell>
        </row>
        <row r="742">
          <cell r="A742">
            <v>705020599069</v>
          </cell>
          <cell r="B742" t="str">
            <v>[스니커쉴드] 프로텍터 Medium</v>
          </cell>
          <cell r="C742">
            <v>25000</v>
          </cell>
          <cell r="E742">
            <v>6.6</v>
          </cell>
          <cell r="F742">
            <v>9867</v>
          </cell>
          <cell r="G742" t="str">
            <v>스니커쉴드</v>
          </cell>
          <cell r="H742" t="str">
            <v>8-1.SneakerShield</v>
          </cell>
          <cell r="I742" t="str">
            <v>[스니커쉴드] 프로텍터 Medium</v>
          </cell>
        </row>
        <row r="743">
          <cell r="A743">
            <v>705020599106</v>
          </cell>
          <cell r="B743" t="str">
            <v>[스니커쉴드] 스포츠 Small</v>
          </cell>
          <cell r="C743">
            <v>20000</v>
          </cell>
          <cell r="E743">
            <v>4.95</v>
          </cell>
          <cell r="F743">
            <v>7400.25</v>
          </cell>
          <cell r="G743" t="str">
            <v>스니커쉴드</v>
          </cell>
          <cell r="H743" t="str">
            <v>8-1.SneakerShield</v>
          </cell>
          <cell r="I743" t="str">
            <v>[스니커쉴드] 스포츠 Small</v>
          </cell>
        </row>
        <row r="744">
          <cell r="A744">
            <v>705020599113</v>
          </cell>
          <cell r="B744" t="str">
            <v>[스니커쉴드] 부츠 Small</v>
          </cell>
          <cell r="C744">
            <v>25000</v>
          </cell>
          <cell r="E744">
            <v>6.6</v>
          </cell>
          <cell r="F744">
            <v>9867</v>
          </cell>
          <cell r="G744" t="str">
            <v>스니커쉴드</v>
          </cell>
          <cell r="H744" t="str">
            <v>8-1.SneakerShield</v>
          </cell>
          <cell r="I744" t="str">
            <v>[스니커쉴드] 부츠 Small</v>
          </cell>
        </row>
        <row r="745">
          <cell r="A745">
            <v>705020599120</v>
          </cell>
          <cell r="B745" t="str">
            <v>[스니커쉴드] 부츠 Medium</v>
          </cell>
          <cell r="C745">
            <v>25000</v>
          </cell>
          <cell r="E745">
            <v>6.6</v>
          </cell>
          <cell r="F745">
            <v>9867</v>
          </cell>
          <cell r="G745" t="str">
            <v>스니커쉴드</v>
          </cell>
          <cell r="H745" t="str">
            <v>8-1.SneakerShield</v>
          </cell>
          <cell r="I745" t="str">
            <v>[스니커쉴드] 부츠 Medium</v>
          </cell>
        </row>
        <row r="746">
          <cell r="A746">
            <v>705020599144</v>
          </cell>
          <cell r="B746" t="str">
            <v>[스니커쉴드] 윈터부츠 Small</v>
          </cell>
          <cell r="C746">
            <v>20000</v>
          </cell>
          <cell r="E746">
            <v>4.95</v>
          </cell>
          <cell r="F746">
            <v>7400.25</v>
          </cell>
          <cell r="G746" t="str">
            <v>스니커쉴드</v>
          </cell>
          <cell r="H746" t="str">
            <v>8-1.SneakerShield</v>
          </cell>
          <cell r="I746" t="str">
            <v>[스니커쉴드] 윈터부츠 Small</v>
          </cell>
        </row>
        <row r="747">
          <cell r="A747">
            <v>640816954175</v>
          </cell>
          <cell r="B747" t="str">
            <v>[스니커쉴드] 윈터부츠 Medium</v>
          </cell>
          <cell r="C747">
            <v>20000</v>
          </cell>
          <cell r="E747">
            <v>4.95</v>
          </cell>
          <cell r="F747">
            <v>7400.25</v>
          </cell>
          <cell r="G747" t="str">
            <v>스니커쉴드</v>
          </cell>
          <cell r="H747" t="str">
            <v>8-1.SneakerShield</v>
          </cell>
          <cell r="I747" t="str">
            <v>[스니커쉴드] 윈터부츠 Medium</v>
          </cell>
        </row>
        <row r="748">
          <cell r="A748">
            <v>649906438960</v>
          </cell>
          <cell r="B748" t="str">
            <v>[스니커쉴드] 매직와이프</v>
          </cell>
          <cell r="C748">
            <v>10000</v>
          </cell>
          <cell r="E748">
            <v>1.95</v>
          </cell>
          <cell r="F748">
            <v>2915.25</v>
          </cell>
          <cell r="G748" t="str">
            <v>스니커쉴드</v>
          </cell>
          <cell r="H748" t="str">
            <v>8-1.SneakerShield</v>
          </cell>
          <cell r="I748" t="str">
            <v>[스니커쉴드] 매직와이프</v>
          </cell>
        </row>
        <row r="749">
          <cell r="A749" t="str">
            <v>gold_sylinder</v>
          </cell>
          <cell r="B749" t="str">
            <v>[레이스랩] 골드 실린더 애글렛</v>
          </cell>
          <cell r="C749">
            <v>10000</v>
          </cell>
          <cell r="E749">
            <v>2.38</v>
          </cell>
          <cell r="F749">
            <v>3558.1</v>
          </cell>
          <cell r="G749" t="str">
            <v>레이스랩</v>
          </cell>
          <cell r="H749" t="str">
            <v>7-2.Aglet</v>
          </cell>
          <cell r="I749" t="str">
            <v>[레이스랩] 골드 실린더 애글렛</v>
          </cell>
        </row>
        <row r="750">
          <cell r="A750" t="str">
            <v>silver_sylinder</v>
          </cell>
          <cell r="B750" t="str">
            <v>[레이스랩] 실버 실린더 애글렛</v>
          </cell>
          <cell r="C750">
            <v>10000</v>
          </cell>
          <cell r="E750">
            <v>2.38</v>
          </cell>
          <cell r="F750">
            <v>3558.1</v>
          </cell>
          <cell r="G750" t="str">
            <v>레이스랩</v>
          </cell>
          <cell r="H750" t="str">
            <v>7-2.Aglet</v>
          </cell>
          <cell r="I750" t="str">
            <v>[레이스랩] 실버 실린더 애글렛</v>
          </cell>
        </row>
        <row r="751">
          <cell r="A751" t="str">
            <v>gunmetal_sylinder</v>
          </cell>
          <cell r="B751" t="str">
            <v>[레이스랩] 건메탈 실린더 애글렛</v>
          </cell>
          <cell r="C751">
            <v>10000</v>
          </cell>
          <cell r="E751">
            <v>2.38</v>
          </cell>
          <cell r="F751">
            <v>3558.1</v>
          </cell>
          <cell r="G751" t="str">
            <v>레이스랩</v>
          </cell>
          <cell r="H751" t="str">
            <v>7-2.Aglet</v>
          </cell>
          <cell r="I751" t="str">
            <v>[레이스랩] 건메탈 실린더 애글렛</v>
          </cell>
        </row>
        <row r="752">
          <cell r="A752" t="str">
            <v>neo_crome_sylinder</v>
          </cell>
          <cell r="B752" t="str">
            <v>[레이스랩] 네오 크롬 실린더 애글렛</v>
          </cell>
          <cell r="C752">
            <v>10000</v>
          </cell>
          <cell r="E752">
            <v>2.38</v>
          </cell>
          <cell r="F752">
            <v>3558.1</v>
          </cell>
          <cell r="G752" t="str">
            <v>레이스랩</v>
          </cell>
          <cell r="H752" t="str">
            <v>7-2.Aglet</v>
          </cell>
          <cell r="I752" t="str">
            <v>[레이스랩] 네오 크롬 실린더 애글렛</v>
          </cell>
        </row>
        <row r="753">
          <cell r="A753" t="str">
            <v>flatblack_sylinder</v>
          </cell>
          <cell r="B753" t="str">
            <v>[레이스랩] 플랫블랙 실린더 애글렛</v>
          </cell>
          <cell r="C753">
            <v>10000</v>
          </cell>
          <cell r="E753">
            <v>2.38</v>
          </cell>
          <cell r="F753">
            <v>3558.1</v>
          </cell>
          <cell r="G753" t="str">
            <v>레이스랩</v>
          </cell>
          <cell r="H753" t="str">
            <v>7-2.Aglet</v>
          </cell>
          <cell r="I753" t="str">
            <v>[레이스랩] 플랫블랙 실린더 애글렛</v>
          </cell>
        </row>
        <row r="754">
          <cell r="A754" t="str">
            <v>gold_bullet</v>
          </cell>
          <cell r="B754" t="str">
            <v>[레이스랩] 골드 불렛 애글렛</v>
          </cell>
          <cell r="C754">
            <v>10000</v>
          </cell>
          <cell r="E754">
            <v>2.38</v>
          </cell>
          <cell r="F754">
            <v>3558.1</v>
          </cell>
          <cell r="G754" t="str">
            <v>레이스랩</v>
          </cell>
          <cell r="H754" t="str">
            <v>7-2.Aglet</v>
          </cell>
          <cell r="I754" t="str">
            <v>[레이스랩] 골드 불렛 애글렛</v>
          </cell>
        </row>
        <row r="755">
          <cell r="A755" t="str">
            <v>silver_bullet</v>
          </cell>
          <cell r="B755" t="str">
            <v>[레이스랩] 실버 불렛 애글렛</v>
          </cell>
          <cell r="C755">
            <v>10000</v>
          </cell>
          <cell r="E755">
            <v>2.38</v>
          </cell>
          <cell r="F755">
            <v>3558.1</v>
          </cell>
          <cell r="G755" t="str">
            <v>레이스랩</v>
          </cell>
          <cell r="H755" t="str">
            <v>7-2.Aglet</v>
          </cell>
          <cell r="I755" t="str">
            <v>[레이스랩] 실버 불렛 애글렛</v>
          </cell>
        </row>
        <row r="756">
          <cell r="A756" t="str">
            <v>gunmetal_bullet</v>
          </cell>
          <cell r="B756" t="str">
            <v>[레이스랩] 건메탈 불렛 애글렛</v>
          </cell>
          <cell r="C756">
            <v>10000</v>
          </cell>
          <cell r="E756">
            <v>2.38</v>
          </cell>
          <cell r="F756">
            <v>3558.1</v>
          </cell>
          <cell r="G756" t="str">
            <v>레이스랩</v>
          </cell>
          <cell r="H756" t="str">
            <v>7-2.Aglet</v>
          </cell>
          <cell r="I756" t="str">
            <v>[레이스랩] 건메탈 불렛 애글렛</v>
          </cell>
        </row>
        <row r="757">
          <cell r="A757" t="str">
            <v>gold_yeezy</v>
          </cell>
          <cell r="B757" t="str">
            <v>[레이스랩] 골드 메탈 애글렛[이지스타일]</v>
          </cell>
          <cell r="C757">
            <v>10000</v>
          </cell>
          <cell r="E757">
            <v>2.38</v>
          </cell>
          <cell r="F757">
            <v>3558.1</v>
          </cell>
          <cell r="G757" t="str">
            <v>레이스랩</v>
          </cell>
          <cell r="H757" t="str">
            <v>7-2.Aglet</v>
          </cell>
          <cell r="I757" t="str">
            <v>[레이스랩] 골드 메탈 애글렛[이지스타일]</v>
          </cell>
        </row>
        <row r="758">
          <cell r="A758" t="str">
            <v>silver_yeezy</v>
          </cell>
          <cell r="B758" t="str">
            <v>[레이스랩] 실버 메탈 애글렛[이지스타일]</v>
          </cell>
          <cell r="C758">
            <v>10000</v>
          </cell>
          <cell r="E758">
            <v>2.38</v>
          </cell>
          <cell r="F758">
            <v>3558.1</v>
          </cell>
          <cell r="G758" t="str">
            <v>레이스랩</v>
          </cell>
          <cell r="H758" t="str">
            <v>7-2.Aglet</v>
          </cell>
          <cell r="I758" t="str">
            <v>[레이스랩] 실버 메탈 애글렛[이지스타일]</v>
          </cell>
        </row>
        <row r="759">
          <cell r="A759" t="str">
            <v>gunmetal_yeezy</v>
          </cell>
          <cell r="B759" t="str">
            <v>[레이스랩] 건메탈 메탈 애글렛[이지스타일]</v>
          </cell>
          <cell r="C759">
            <v>10000</v>
          </cell>
          <cell r="E759">
            <v>2.38</v>
          </cell>
          <cell r="F759">
            <v>3558.1</v>
          </cell>
          <cell r="G759" t="str">
            <v>레이스랩</v>
          </cell>
          <cell r="H759" t="str">
            <v>7-2.Aglet</v>
          </cell>
          <cell r="I759" t="str">
            <v>[레이스랩] 건메탈 메탈 애글렛[이지스타일]</v>
          </cell>
        </row>
        <row r="760">
          <cell r="A760" t="str">
            <v>neo_crome_bullet</v>
          </cell>
          <cell r="B760" t="str">
            <v>Neo Chrome Bullet Aglets</v>
          </cell>
          <cell r="C760">
            <v>10000</v>
          </cell>
          <cell r="E760">
            <v>2.38</v>
          </cell>
          <cell r="F760">
            <v>3558.1</v>
          </cell>
          <cell r="G760" t="str">
            <v>레이스랩</v>
          </cell>
          <cell r="H760" t="str">
            <v>7-2.Aglet</v>
          </cell>
          <cell r="I760" t="str">
            <v>Neo Chrome Bullet Aglets</v>
          </cell>
        </row>
        <row r="761">
          <cell r="A761" t="str">
            <v>flatblack_bullet</v>
          </cell>
          <cell r="B761" t="str">
            <v>Flat Black Bullet Aglets</v>
          </cell>
          <cell r="C761">
            <v>10000</v>
          </cell>
          <cell r="E761">
            <v>2.38</v>
          </cell>
          <cell r="F761">
            <v>3558.1</v>
          </cell>
          <cell r="G761" t="str">
            <v>레이스랩</v>
          </cell>
          <cell r="H761" t="str">
            <v>7-2.Aglet</v>
          </cell>
          <cell r="I761" t="str">
            <v>Flat Black Bullet Aglets</v>
          </cell>
        </row>
        <row r="762">
          <cell r="A762" t="str">
            <v>rosegold_bullet</v>
          </cell>
          <cell r="B762" t="str">
            <v>Rose Gold Bullet Aglets</v>
          </cell>
          <cell r="C762">
            <v>10000</v>
          </cell>
          <cell r="E762">
            <v>2.38</v>
          </cell>
          <cell r="F762">
            <v>3558.1</v>
          </cell>
          <cell r="G762" t="str">
            <v>레이스랩</v>
          </cell>
          <cell r="H762" t="str">
            <v>7-2.Aglet</v>
          </cell>
          <cell r="I762" t="str">
            <v>Rose Gold Bullet Aglets</v>
          </cell>
        </row>
        <row r="763">
          <cell r="A763" t="str">
            <v>rosegold_sylinder</v>
          </cell>
          <cell r="B763" t="str">
            <v>Rose Gold Cylinder Aglets</v>
          </cell>
          <cell r="C763">
            <v>10000</v>
          </cell>
          <cell r="E763">
            <v>2.38</v>
          </cell>
          <cell r="F763">
            <v>3558.1</v>
          </cell>
          <cell r="G763" t="str">
            <v>레이스랩</v>
          </cell>
          <cell r="H763" t="str">
            <v>7-2.Aglet</v>
          </cell>
          <cell r="I763" t="str">
            <v>Rose Gold Cylinder Aglets</v>
          </cell>
        </row>
        <row r="764">
          <cell r="A764" t="str">
            <v>OW01</v>
          </cell>
          <cell r="B764" t="str">
            <v>Black Off-White Style "SHOELACES"</v>
          </cell>
          <cell r="C764">
            <v>8000</v>
          </cell>
          <cell r="D764" t="str">
            <v xml:space="preserve">Off-White Style </v>
          </cell>
          <cell r="E764">
            <v>1.9800000000000002</v>
          </cell>
          <cell r="F764">
            <v>2960.1000000000008</v>
          </cell>
          <cell r="G764" t="str">
            <v>레이스랩</v>
          </cell>
          <cell r="H764" t="str">
            <v>7-1.LaceLab</v>
          </cell>
          <cell r="I764" t="str">
            <v>Black Off-White Style "SHOELACES"</v>
          </cell>
        </row>
        <row r="765">
          <cell r="A765" t="str">
            <v>OW02</v>
          </cell>
          <cell r="B765" t="str">
            <v>White Off-White Style "SHOELACES</v>
          </cell>
          <cell r="C765">
            <v>8000</v>
          </cell>
          <cell r="D765" t="str">
            <v xml:space="preserve">Off-White Style </v>
          </cell>
          <cell r="E765">
            <v>1.9800000000000002</v>
          </cell>
          <cell r="F765">
            <v>2960.1000000000008</v>
          </cell>
          <cell r="G765" t="str">
            <v>레이스랩</v>
          </cell>
          <cell r="H765" t="str">
            <v>7-1.LaceLab</v>
          </cell>
          <cell r="I765" t="str">
            <v>White Off-White Style "SHOELACES</v>
          </cell>
        </row>
        <row r="766">
          <cell r="A766" t="str">
            <v>OW03</v>
          </cell>
          <cell r="B766" t="str">
            <v>Neon Orange Off-White Style "SHOELACES"</v>
          </cell>
          <cell r="C766">
            <v>8000</v>
          </cell>
          <cell r="D766" t="str">
            <v xml:space="preserve">Off-White Style </v>
          </cell>
          <cell r="E766">
            <v>1.9800000000000002</v>
          </cell>
          <cell r="F766">
            <v>2960.1000000000008</v>
          </cell>
          <cell r="G766" t="str">
            <v>레이스랩</v>
          </cell>
          <cell r="H766" t="str">
            <v>7-1.LaceLab</v>
          </cell>
          <cell r="I766" t="str">
            <v>Neon Orange Off-White Style "SHOELACES"</v>
          </cell>
        </row>
        <row r="767">
          <cell r="A767" t="str">
            <v>OW04</v>
          </cell>
          <cell r="B767" t="str">
            <v>Neon Green Off-White Style "SHOELACES"</v>
          </cell>
          <cell r="C767">
            <v>8000</v>
          </cell>
          <cell r="D767" t="str">
            <v xml:space="preserve">Off-White Style </v>
          </cell>
          <cell r="E767">
            <v>1.9800000000000002</v>
          </cell>
          <cell r="F767">
            <v>2960.1000000000008</v>
          </cell>
          <cell r="G767" t="str">
            <v>레이스랩</v>
          </cell>
          <cell r="H767" t="str">
            <v>7-1.LaceLab</v>
          </cell>
          <cell r="I767" t="str">
            <v>Neon Green Off-White Style "SHOELACES"</v>
          </cell>
        </row>
        <row r="768">
          <cell r="A768" t="str">
            <v>OW05</v>
          </cell>
          <cell r="B768" t="str">
            <v>Purple Off-White Style "SHOELACES"</v>
          </cell>
          <cell r="C768">
            <v>8000</v>
          </cell>
          <cell r="D768" t="str">
            <v xml:space="preserve">Off-White Style </v>
          </cell>
          <cell r="E768">
            <v>1.9800000000000002</v>
          </cell>
          <cell r="F768">
            <v>2960.1000000000008</v>
          </cell>
          <cell r="G768" t="str">
            <v>레이스랩</v>
          </cell>
          <cell r="H768" t="str">
            <v>7-1.LaceLab</v>
          </cell>
          <cell r="I768" t="str">
            <v>Purple Off-White Style "SHOELACES"</v>
          </cell>
        </row>
        <row r="769">
          <cell r="A769" t="str">
            <v>OW06</v>
          </cell>
          <cell r="B769" t="str">
            <v>Light Blue Off-White Style "SHOELACES"</v>
          </cell>
          <cell r="C769">
            <v>8000</v>
          </cell>
          <cell r="D769" t="str">
            <v xml:space="preserve">Off-White Style </v>
          </cell>
          <cell r="E769">
            <v>1.9800000000000002</v>
          </cell>
          <cell r="F769">
            <v>2960.1000000000008</v>
          </cell>
          <cell r="G769" t="str">
            <v>레이스랩</v>
          </cell>
          <cell r="H769" t="str">
            <v>7-1.LaceLab</v>
          </cell>
          <cell r="I769" t="str">
            <v>Light Blue Off-White Style "SHOELACES"</v>
          </cell>
        </row>
        <row r="771">
          <cell r="A771" t="str">
            <v>720GL015</v>
          </cell>
          <cell r="B771" t="str">
            <v>#015-Acrylic Leather  Chocolate</v>
          </cell>
          <cell r="C771">
            <v>110000</v>
          </cell>
          <cell r="F771">
            <v>38880</v>
          </cell>
          <cell r="H771" t="str">
            <v>페인트</v>
          </cell>
        </row>
        <row r="772">
          <cell r="A772" t="str">
            <v>720GL043</v>
          </cell>
          <cell r="B772" t="str">
            <v>#043-Acrylic Leather  Turgouise</v>
          </cell>
          <cell r="C772">
            <v>110000</v>
          </cell>
          <cell r="F772">
            <v>38880</v>
          </cell>
          <cell r="H772" t="str">
            <v>페인트</v>
          </cell>
        </row>
        <row r="773">
          <cell r="A773" t="str">
            <v>7200GL96</v>
          </cell>
          <cell r="B773" t="str">
            <v>#196-Acrylic Leather Mustard</v>
          </cell>
          <cell r="C773">
            <v>110000</v>
          </cell>
          <cell r="F773">
            <v>38880</v>
          </cell>
          <cell r="H773" t="str">
            <v>페인트</v>
          </cell>
        </row>
        <row r="776">
          <cell r="A776">
            <v>72004001</v>
          </cell>
          <cell r="B776" t="str">
            <v>#001-4온즈 페인트-Black</v>
          </cell>
          <cell r="C776">
            <v>22000</v>
          </cell>
          <cell r="E776">
            <v>27</v>
          </cell>
          <cell r="F776">
            <v>3105</v>
          </cell>
          <cell r="G776" t="str">
            <v>엔젤러스</v>
          </cell>
        </row>
        <row r="777">
          <cell r="A777">
            <v>72004004</v>
          </cell>
          <cell r="B777" t="str">
            <v>#004-4온즈 페인트-Neutral</v>
          </cell>
          <cell r="C777">
            <v>22000</v>
          </cell>
          <cell r="E777">
            <v>27</v>
          </cell>
          <cell r="F777">
            <v>3105</v>
          </cell>
          <cell r="G777" t="str">
            <v>엔젤러스</v>
          </cell>
        </row>
        <row r="778">
          <cell r="A778">
            <v>72004005</v>
          </cell>
          <cell r="B778" t="str">
            <v>#005-4온즈 페인트-White</v>
          </cell>
          <cell r="C778">
            <v>22000</v>
          </cell>
          <cell r="E778">
            <v>27</v>
          </cell>
          <cell r="F778">
            <v>3105</v>
          </cell>
          <cell r="G778" t="str">
            <v>엔젤러스</v>
          </cell>
        </row>
        <row r="779">
          <cell r="A779">
            <v>72004014</v>
          </cell>
          <cell r="B779" t="str">
            <v>#014-4온즈 페인트-Brown</v>
          </cell>
          <cell r="C779">
            <v>22000</v>
          </cell>
          <cell r="E779">
            <v>27</v>
          </cell>
          <cell r="F779">
            <v>3105</v>
          </cell>
          <cell r="G779" t="str">
            <v>엔젤러스</v>
          </cell>
        </row>
        <row r="780">
          <cell r="A780">
            <v>72004015</v>
          </cell>
          <cell r="B780" t="str">
            <v>#015-4온즈 페인트-Chocolate</v>
          </cell>
          <cell r="C780">
            <v>22000</v>
          </cell>
          <cell r="E780">
            <v>27</v>
          </cell>
          <cell r="F780">
            <v>3105</v>
          </cell>
          <cell r="G780" t="str">
            <v>엔젤러스</v>
          </cell>
        </row>
        <row r="781">
          <cell r="A781">
            <v>72004018</v>
          </cell>
          <cell r="B781" t="str">
            <v>#018-4온즈 페인트-DarkBrown</v>
          </cell>
          <cell r="C781">
            <v>22000</v>
          </cell>
          <cell r="E781">
            <v>27</v>
          </cell>
          <cell r="F781">
            <v>3105</v>
          </cell>
          <cell r="G781" t="str">
            <v>엔젤러스</v>
          </cell>
        </row>
        <row r="782">
          <cell r="A782">
            <v>72004019</v>
          </cell>
          <cell r="B782" t="str">
            <v>#019-4온즈 페인트-English Tan</v>
          </cell>
          <cell r="C782">
            <v>22000</v>
          </cell>
          <cell r="E782">
            <v>27</v>
          </cell>
          <cell r="F782">
            <v>3105</v>
          </cell>
          <cell r="G782" t="str">
            <v>엔젤러스</v>
          </cell>
        </row>
        <row r="783">
          <cell r="A783">
            <v>72004021</v>
          </cell>
          <cell r="B783" t="str">
            <v>#021-4온즈 페인트-LightBrown</v>
          </cell>
          <cell r="C783">
            <v>22000</v>
          </cell>
          <cell r="E783">
            <v>27</v>
          </cell>
          <cell r="F783">
            <v>3105</v>
          </cell>
          <cell r="G783" t="str">
            <v>엔젤러스</v>
          </cell>
        </row>
        <row r="784">
          <cell r="A784">
            <v>72004024</v>
          </cell>
          <cell r="B784" t="str">
            <v>#024-4온즈 페인트-Orange</v>
          </cell>
          <cell r="C784">
            <v>22000</v>
          </cell>
          <cell r="E784">
            <v>27</v>
          </cell>
          <cell r="F784">
            <v>3105</v>
          </cell>
          <cell r="G784" t="str">
            <v>엔젤러스</v>
          </cell>
        </row>
        <row r="785">
          <cell r="A785">
            <v>72004027</v>
          </cell>
          <cell r="B785" t="str">
            <v>#027- 4온즈 페인트-SADDLE</v>
          </cell>
          <cell r="C785">
            <v>22000</v>
          </cell>
          <cell r="E785">
            <v>27</v>
          </cell>
          <cell r="F785">
            <v>3105</v>
          </cell>
          <cell r="G785" t="str">
            <v>엔젤러스</v>
          </cell>
        </row>
        <row r="786">
          <cell r="A786">
            <v>72004029</v>
          </cell>
          <cell r="B786" t="str">
            <v>#029- 4온즈 페인트-Tan</v>
          </cell>
          <cell r="C786">
            <v>22000</v>
          </cell>
          <cell r="E786">
            <v>27</v>
          </cell>
          <cell r="F786">
            <v>3105</v>
          </cell>
          <cell r="G786" t="str">
            <v>엔젤러스</v>
          </cell>
        </row>
        <row r="787">
          <cell r="A787">
            <v>72004040</v>
          </cell>
          <cell r="B787" t="str">
            <v>#040-4온즈 페인트-BLUE</v>
          </cell>
          <cell r="C787">
            <v>22000</v>
          </cell>
          <cell r="E787">
            <v>27</v>
          </cell>
          <cell r="F787">
            <v>3105</v>
          </cell>
          <cell r="G787" t="str">
            <v>엔젤러스</v>
          </cell>
        </row>
        <row r="788">
          <cell r="A788">
            <v>72004041</v>
          </cell>
          <cell r="B788" t="str">
            <v>#041-4온즈 페인트-LightBLUE</v>
          </cell>
          <cell r="C788">
            <v>22000</v>
          </cell>
          <cell r="E788">
            <v>27</v>
          </cell>
          <cell r="F788">
            <v>3105</v>
          </cell>
          <cell r="G788" t="str">
            <v>엔젤러스</v>
          </cell>
        </row>
        <row r="789">
          <cell r="A789">
            <v>72004042</v>
          </cell>
          <cell r="B789" t="str">
            <v>#042-4온즈 페인트-NavyBlue</v>
          </cell>
          <cell r="C789">
            <v>22000</v>
          </cell>
          <cell r="E789">
            <v>27</v>
          </cell>
          <cell r="F789">
            <v>3105</v>
          </cell>
          <cell r="G789" t="str">
            <v>엔젤러스</v>
          </cell>
        </row>
        <row r="790">
          <cell r="A790">
            <v>72004043</v>
          </cell>
          <cell r="B790" t="str">
            <v>#043-4온즈 페인트-Turgouise</v>
          </cell>
          <cell r="C790">
            <v>22000</v>
          </cell>
          <cell r="E790">
            <v>27</v>
          </cell>
          <cell r="F790">
            <v>3105</v>
          </cell>
          <cell r="G790" t="str">
            <v>엔젤러스</v>
          </cell>
        </row>
        <row r="791">
          <cell r="A791">
            <v>72004045</v>
          </cell>
          <cell r="B791" t="str">
            <v>#045-4온즈 페인트-Blue Turquoise</v>
          </cell>
          <cell r="C791">
            <v>22000</v>
          </cell>
          <cell r="E791">
            <v>27</v>
          </cell>
          <cell r="F791">
            <v>3105</v>
          </cell>
          <cell r="G791" t="str">
            <v>엔젤러스</v>
          </cell>
        </row>
        <row r="792">
          <cell r="A792">
            <v>72004047</v>
          </cell>
          <cell r="B792" t="str">
            <v>#047-4온즈 페인트-Purple</v>
          </cell>
          <cell r="C792">
            <v>22000</v>
          </cell>
          <cell r="E792">
            <v>27</v>
          </cell>
          <cell r="F792">
            <v>3105</v>
          </cell>
          <cell r="G792" t="str">
            <v>엔젤러스</v>
          </cell>
        </row>
        <row r="793">
          <cell r="A793">
            <v>72004050</v>
          </cell>
          <cell r="B793" t="str">
            <v>#050-4온즈 페인트-Green</v>
          </cell>
          <cell r="C793">
            <v>22000</v>
          </cell>
          <cell r="E793">
            <v>27</v>
          </cell>
          <cell r="F793">
            <v>3105</v>
          </cell>
          <cell r="G793" t="str">
            <v>엔젤러스</v>
          </cell>
        </row>
        <row r="794">
          <cell r="A794">
            <v>72004052</v>
          </cell>
          <cell r="B794" t="str">
            <v>#052-4온즈 페인트-MidniteGreen</v>
          </cell>
          <cell r="C794">
            <v>22000</v>
          </cell>
          <cell r="E794">
            <v>27</v>
          </cell>
          <cell r="F794">
            <v>3105</v>
          </cell>
          <cell r="G794" t="str">
            <v>엔젤러스</v>
          </cell>
        </row>
        <row r="795">
          <cell r="A795">
            <v>72004060</v>
          </cell>
          <cell r="B795" t="str">
            <v>#060-4온즈 페인트-Burgundy</v>
          </cell>
          <cell r="C795">
            <v>22000</v>
          </cell>
          <cell r="E795">
            <v>27</v>
          </cell>
          <cell r="F795">
            <v>3105</v>
          </cell>
          <cell r="G795" t="str">
            <v>엔젤러스</v>
          </cell>
        </row>
        <row r="796">
          <cell r="A796">
            <v>72004064</v>
          </cell>
          <cell r="B796" t="str">
            <v>#064-4온즈 페인트-Red</v>
          </cell>
          <cell r="C796">
            <v>22000</v>
          </cell>
          <cell r="E796">
            <v>27</v>
          </cell>
          <cell r="F796">
            <v>3105</v>
          </cell>
          <cell r="G796" t="str">
            <v>엔젤러스</v>
          </cell>
        </row>
        <row r="797">
          <cell r="A797">
            <v>72004070</v>
          </cell>
          <cell r="B797" t="str">
            <v>#070-4온즈 페인트-Beige</v>
          </cell>
          <cell r="C797">
            <v>22000</v>
          </cell>
          <cell r="E797">
            <v>27</v>
          </cell>
          <cell r="F797">
            <v>3105</v>
          </cell>
          <cell r="G797" t="str">
            <v>엔젤러스</v>
          </cell>
        </row>
        <row r="798">
          <cell r="A798">
            <v>72004072</v>
          </cell>
          <cell r="B798" t="str">
            <v>#072-4온즈 페인트-Gold</v>
          </cell>
          <cell r="C798">
            <v>22000</v>
          </cell>
          <cell r="E798">
            <v>28</v>
          </cell>
          <cell r="F798">
            <v>3220</v>
          </cell>
          <cell r="G798" t="str">
            <v>엔젤러스</v>
          </cell>
        </row>
        <row r="799">
          <cell r="A799">
            <v>72004075</v>
          </cell>
          <cell r="B799" t="str">
            <v>#075-4온즈 페인트-Yellow</v>
          </cell>
          <cell r="C799">
            <v>22000</v>
          </cell>
          <cell r="E799">
            <v>27</v>
          </cell>
          <cell r="F799">
            <v>3105</v>
          </cell>
          <cell r="G799" t="str">
            <v>엔젤러스</v>
          </cell>
        </row>
        <row r="800">
          <cell r="A800">
            <v>72004080</v>
          </cell>
          <cell r="B800" t="str">
            <v>#080-4온즈 페인트-DarkGrey</v>
          </cell>
          <cell r="C800">
            <v>22000</v>
          </cell>
          <cell r="E800">
            <v>27</v>
          </cell>
          <cell r="F800">
            <v>3105</v>
          </cell>
          <cell r="G800" t="str">
            <v>엔젤러스</v>
          </cell>
        </row>
        <row r="801">
          <cell r="A801">
            <v>72004081</v>
          </cell>
          <cell r="B801" t="str">
            <v>#081-4온즈 페인트-Grey</v>
          </cell>
          <cell r="C801">
            <v>22000</v>
          </cell>
          <cell r="E801">
            <v>27</v>
          </cell>
          <cell r="F801">
            <v>3105</v>
          </cell>
          <cell r="G801" t="str">
            <v>엔젤러스</v>
          </cell>
        </row>
        <row r="802">
          <cell r="A802">
            <v>72004082</v>
          </cell>
          <cell r="B802" t="str">
            <v>#082-4온즈 페인트-LightGrey</v>
          </cell>
          <cell r="C802">
            <v>22000</v>
          </cell>
          <cell r="E802">
            <v>27</v>
          </cell>
          <cell r="F802">
            <v>3105</v>
          </cell>
          <cell r="G802" t="str">
            <v>엔젤러스</v>
          </cell>
        </row>
        <row r="803">
          <cell r="A803">
            <v>72004093</v>
          </cell>
          <cell r="B803" t="str">
            <v>#093-4온즈 페인트-Brick</v>
          </cell>
          <cell r="C803">
            <v>22000</v>
          </cell>
          <cell r="E803">
            <v>27</v>
          </cell>
          <cell r="F803">
            <v>3105</v>
          </cell>
          <cell r="G803" t="str">
            <v>엔젤러스</v>
          </cell>
        </row>
        <row r="804">
          <cell r="A804">
            <v>72004101</v>
          </cell>
          <cell r="B804" t="str">
            <v>#101-4온즈 페인트-Flat Black</v>
          </cell>
          <cell r="C804">
            <v>22000</v>
          </cell>
          <cell r="E804">
            <v>27</v>
          </cell>
          <cell r="F804">
            <v>3105</v>
          </cell>
          <cell r="G804" t="str">
            <v>엔젤러스</v>
          </cell>
        </row>
        <row r="805">
          <cell r="A805">
            <v>72004105</v>
          </cell>
          <cell r="B805" t="str">
            <v>#105-4온즈 페인트-Flat White</v>
          </cell>
          <cell r="C805">
            <v>22000</v>
          </cell>
          <cell r="E805">
            <v>27</v>
          </cell>
          <cell r="F805">
            <v>3105</v>
          </cell>
          <cell r="G805" t="str">
            <v>엔젤러스</v>
          </cell>
        </row>
        <row r="806">
          <cell r="A806">
            <v>72004141</v>
          </cell>
          <cell r="B806" t="str">
            <v>#141-4온즈 페인트-Copper</v>
          </cell>
          <cell r="C806">
            <v>22000</v>
          </cell>
          <cell r="E806">
            <v>28</v>
          </cell>
          <cell r="F806">
            <v>3220</v>
          </cell>
          <cell r="G806" t="str">
            <v>엔젤러스</v>
          </cell>
        </row>
        <row r="807">
          <cell r="A807">
            <v>72004142</v>
          </cell>
          <cell r="B807" t="str">
            <v>#142-4온즈 페인트-Bronze</v>
          </cell>
          <cell r="C807">
            <v>22000</v>
          </cell>
          <cell r="E807">
            <v>28</v>
          </cell>
          <cell r="F807">
            <v>3220</v>
          </cell>
          <cell r="G807" t="str">
            <v>엔젤러스</v>
          </cell>
        </row>
        <row r="808">
          <cell r="A808">
            <v>72004143</v>
          </cell>
          <cell r="B808" t="str">
            <v>#143-4온즈 페인트-Pewter</v>
          </cell>
          <cell r="C808">
            <v>22000</v>
          </cell>
          <cell r="E808">
            <v>28</v>
          </cell>
          <cell r="F808">
            <v>3220</v>
          </cell>
          <cell r="G808" t="str">
            <v>엔젤러스</v>
          </cell>
        </row>
        <row r="809">
          <cell r="A809">
            <v>72004150</v>
          </cell>
          <cell r="B809" t="str">
            <v>#150-4온즈 페인트-SILVER</v>
          </cell>
          <cell r="C809">
            <v>22000</v>
          </cell>
          <cell r="E809">
            <v>28</v>
          </cell>
          <cell r="F809">
            <v>3220</v>
          </cell>
          <cell r="G809" t="str">
            <v>엔젤러스</v>
          </cell>
        </row>
        <row r="810">
          <cell r="A810">
            <v>72004155</v>
          </cell>
          <cell r="B810" t="str">
            <v>#155-4온즈 페인트-Bone</v>
          </cell>
          <cell r="C810">
            <v>22000</v>
          </cell>
          <cell r="E810">
            <v>27</v>
          </cell>
          <cell r="F810">
            <v>3105</v>
          </cell>
          <cell r="G810" t="str">
            <v>엔젤러스</v>
          </cell>
        </row>
        <row r="811">
          <cell r="A811">
            <v>72004156</v>
          </cell>
          <cell r="B811" t="str">
            <v>#156-4온즈 페인트-Champagne</v>
          </cell>
          <cell r="C811">
            <v>22000</v>
          </cell>
          <cell r="E811">
            <v>27</v>
          </cell>
          <cell r="F811">
            <v>3105</v>
          </cell>
          <cell r="G811" t="str">
            <v>엔젤러스</v>
          </cell>
        </row>
        <row r="812">
          <cell r="A812">
            <v>72004157</v>
          </cell>
          <cell r="B812" t="str">
            <v>#157-4온즈 페인트-DarkBone</v>
          </cell>
          <cell r="C812">
            <v>22000</v>
          </cell>
          <cell r="E812">
            <v>27</v>
          </cell>
          <cell r="F812">
            <v>3105</v>
          </cell>
          <cell r="G812" t="str">
            <v>엔젤러스</v>
          </cell>
        </row>
        <row r="813">
          <cell r="A813">
            <v>72004159</v>
          </cell>
          <cell r="B813" t="str">
            <v>#159-4온즈 페인트-Mist</v>
          </cell>
          <cell r="C813">
            <v>22000</v>
          </cell>
          <cell r="E813">
            <v>27</v>
          </cell>
          <cell r="F813">
            <v>3105</v>
          </cell>
          <cell r="G813" t="str">
            <v>엔젤러스</v>
          </cell>
        </row>
        <row r="814">
          <cell r="A814">
            <v>72004160</v>
          </cell>
          <cell r="B814" t="str">
            <v>#160-4온즈 페인트-Vanilla</v>
          </cell>
          <cell r="C814">
            <v>22000</v>
          </cell>
          <cell r="E814">
            <v>27</v>
          </cell>
          <cell r="F814">
            <v>3105</v>
          </cell>
          <cell r="G814" t="str">
            <v>엔젤러스</v>
          </cell>
        </row>
        <row r="815">
          <cell r="A815">
            <v>72004161</v>
          </cell>
          <cell r="B815" t="str">
            <v>#161-4온즈 페인트-Natural</v>
          </cell>
          <cell r="C815">
            <v>22000</v>
          </cell>
          <cell r="E815">
            <v>27</v>
          </cell>
          <cell r="F815">
            <v>3105</v>
          </cell>
          <cell r="G815" t="str">
            <v>엔젤러스</v>
          </cell>
        </row>
        <row r="816">
          <cell r="A816">
            <v>72004162</v>
          </cell>
          <cell r="B816" t="str">
            <v>#162-4온즈 페인트-Cream</v>
          </cell>
          <cell r="C816">
            <v>22000</v>
          </cell>
          <cell r="E816">
            <v>27</v>
          </cell>
          <cell r="F816">
            <v>3105</v>
          </cell>
          <cell r="G816" t="str">
            <v>엔젤러스</v>
          </cell>
        </row>
        <row r="817">
          <cell r="A817">
            <v>72004163</v>
          </cell>
          <cell r="B817" t="str">
            <v>#163-4온즈 페인트-CapazioTan</v>
          </cell>
          <cell r="C817">
            <v>22000</v>
          </cell>
          <cell r="E817">
            <v>27</v>
          </cell>
          <cell r="F817">
            <v>3105</v>
          </cell>
          <cell r="G817" t="str">
            <v>엔젤러스</v>
          </cell>
        </row>
        <row r="818">
          <cell r="A818">
            <v>72004165</v>
          </cell>
          <cell r="B818" t="str">
            <v>#165-4온즈 페인트-BeigeTaupe</v>
          </cell>
          <cell r="C818">
            <v>22000</v>
          </cell>
          <cell r="E818">
            <v>27</v>
          </cell>
          <cell r="F818">
            <v>3105</v>
          </cell>
          <cell r="G818" t="str">
            <v>엔젤러스</v>
          </cell>
        </row>
        <row r="819">
          <cell r="A819">
            <v>72004166</v>
          </cell>
          <cell r="B819" t="str">
            <v>#166-4온즈 페인트-GreyTaupe</v>
          </cell>
          <cell r="C819">
            <v>22000</v>
          </cell>
          <cell r="E819">
            <v>27</v>
          </cell>
          <cell r="F819">
            <v>3105</v>
          </cell>
          <cell r="G819" t="str">
            <v>엔젤러스</v>
          </cell>
        </row>
        <row r="820">
          <cell r="A820">
            <v>72004167</v>
          </cell>
          <cell r="B820" t="str">
            <v>#167-4온즈 페인트-Taupe</v>
          </cell>
          <cell r="C820">
            <v>22000</v>
          </cell>
          <cell r="E820">
            <v>27</v>
          </cell>
          <cell r="F820">
            <v>3105</v>
          </cell>
          <cell r="G820" t="str">
            <v>엔젤러스</v>
          </cell>
        </row>
        <row r="821">
          <cell r="A821">
            <v>72004168</v>
          </cell>
          <cell r="B821" t="str">
            <v>#168-4온즈 페인트-DarkTaupe</v>
          </cell>
          <cell r="C821">
            <v>22000</v>
          </cell>
          <cell r="E821">
            <v>27</v>
          </cell>
          <cell r="F821">
            <v>3105</v>
          </cell>
          <cell r="G821" t="str">
            <v>엔젤러스</v>
          </cell>
        </row>
        <row r="822">
          <cell r="A822">
            <v>72004169</v>
          </cell>
          <cell r="B822" t="str">
            <v>#169-4온즈 페인트-Mauve</v>
          </cell>
          <cell r="C822">
            <v>22000</v>
          </cell>
          <cell r="E822">
            <v>27</v>
          </cell>
          <cell r="F822">
            <v>3105</v>
          </cell>
          <cell r="G822" t="str">
            <v>엔젤러스</v>
          </cell>
        </row>
        <row r="823">
          <cell r="A823">
            <v>72004170</v>
          </cell>
          <cell r="B823" t="str">
            <v>#170-4온즈 페인트-Avocado</v>
          </cell>
          <cell r="C823">
            <v>22000</v>
          </cell>
          <cell r="E823">
            <v>27</v>
          </cell>
          <cell r="F823">
            <v>3105</v>
          </cell>
          <cell r="G823" t="str">
            <v>엔젤러스</v>
          </cell>
        </row>
        <row r="824">
          <cell r="A824">
            <v>72004171</v>
          </cell>
          <cell r="B824" t="str">
            <v>#171-4온즈 페인트-DarkGreen</v>
          </cell>
          <cell r="C824">
            <v>22000</v>
          </cell>
          <cell r="E824">
            <v>27</v>
          </cell>
          <cell r="F824">
            <v>3105</v>
          </cell>
          <cell r="G824" t="str">
            <v>엔젤러스</v>
          </cell>
        </row>
        <row r="825">
          <cell r="A825">
            <v>72004172</v>
          </cell>
          <cell r="B825" t="str">
            <v>#172-4온즈 페인트-Light Green</v>
          </cell>
          <cell r="C825">
            <v>22000</v>
          </cell>
          <cell r="E825">
            <v>27</v>
          </cell>
          <cell r="F825">
            <v>3105</v>
          </cell>
          <cell r="G825" t="str">
            <v>엔젤러스</v>
          </cell>
        </row>
        <row r="826">
          <cell r="A826">
            <v>72004174</v>
          </cell>
          <cell r="B826" t="str">
            <v>#174-4온즈 페인트-GiftBoxBlue</v>
          </cell>
          <cell r="C826">
            <v>22000</v>
          </cell>
          <cell r="E826">
            <v>27</v>
          </cell>
          <cell r="F826">
            <v>3105</v>
          </cell>
          <cell r="G826" t="str">
            <v>엔젤러스</v>
          </cell>
        </row>
        <row r="827">
          <cell r="A827">
            <v>72004175</v>
          </cell>
          <cell r="B827" t="str">
            <v>#175-4온즈 페인트-Lylac</v>
          </cell>
          <cell r="C827">
            <v>22000</v>
          </cell>
          <cell r="E827">
            <v>27</v>
          </cell>
          <cell r="F827">
            <v>3105</v>
          </cell>
          <cell r="G827" t="str">
            <v>엔젤러스</v>
          </cell>
        </row>
        <row r="828">
          <cell r="A828">
            <v>72004176</v>
          </cell>
          <cell r="B828" t="str">
            <v>#176-4온즈 페인트-PaleBlue</v>
          </cell>
          <cell r="C828">
            <v>22000</v>
          </cell>
          <cell r="E828">
            <v>27</v>
          </cell>
          <cell r="F828">
            <v>3105</v>
          </cell>
          <cell r="G828" t="str">
            <v>엔젤러스</v>
          </cell>
        </row>
        <row r="829">
          <cell r="A829">
            <v>72004177</v>
          </cell>
          <cell r="B829" t="str">
            <v>#177-4온즈 페인트-Sapphire</v>
          </cell>
          <cell r="C829">
            <v>22000</v>
          </cell>
          <cell r="E829">
            <v>27</v>
          </cell>
          <cell r="F829">
            <v>3105</v>
          </cell>
          <cell r="G829" t="str">
            <v>엔젤러스</v>
          </cell>
        </row>
        <row r="830">
          <cell r="A830">
            <v>72004178</v>
          </cell>
          <cell r="B830" t="str">
            <v>#178-4온즈 페인트-Violet</v>
          </cell>
          <cell r="C830">
            <v>22000</v>
          </cell>
          <cell r="E830">
            <v>27</v>
          </cell>
          <cell r="F830">
            <v>3105</v>
          </cell>
          <cell r="G830" t="str">
            <v>엔젤러스</v>
          </cell>
        </row>
        <row r="831">
          <cell r="A831">
            <v>72004179</v>
          </cell>
          <cell r="B831" t="str">
            <v>#179-4온즈 페인트-DarkBlue</v>
          </cell>
          <cell r="C831">
            <v>22000</v>
          </cell>
          <cell r="E831">
            <v>27</v>
          </cell>
          <cell r="F831">
            <v>3105</v>
          </cell>
          <cell r="G831" t="str">
            <v>엔젤러스</v>
          </cell>
        </row>
        <row r="832">
          <cell r="A832">
            <v>72004180</v>
          </cell>
          <cell r="B832" t="str">
            <v>#180-4온즈 페인트-Cognac</v>
          </cell>
          <cell r="C832">
            <v>22000</v>
          </cell>
          <cell r="E832">
            <v>27</v>
          </cell>
          <cell r="F832">
            <v>3105</v>
          </cell>
          <cell r="G832" t="str">
            <v>엔젤러스</v>
          </cell>
        </row>
        <row r="833">
          <cell r="A833">
            <v>72004181</v>
          </cell>
          <cell r="B833" t="str">
            <v>#181-4온즈 페인트-RichBrown</v>
          </cell>
          <cell r="C833">
            <v>22000</v>
          </cell>
          <cell r="E833">
            <v>27</v>
          </cell>
          <cell r="F833">
            <v>3105</v>
          </cell>
          <cell r="G833" t="str">
            <v>엔젤러스</v>
          </cell>
        </row>
        <row r="834">
          <cell r="A834">
            <v>72004182</v>
          </cell>
          <cell r="B834" t="str">
            <v>#182-4온즈 페인트-Sand</v>
          </cell>
          <cell r="C834">
            <v>22000</v>
          </cell>
          <cell r="E834">
            <v>27</v>
          </cell>
          <cell r="F834">
            <v>3105</v>
          </cell>
          <cell r="G834" t="str">
            <v>엔젤러스</v>
          </cell>
        </row>
        <row r="835">
          <cell r="A835">
            <v>72004183</v>
          </cell>
          <cell r="B835" t="str">
            <v>#183-4온즈 페인트-TerraCottaRed</v>
          </cell>
          <cell r="C835">
            <v>22000</v>
          </cell>
          <cell r="E835">
            <v>27</v>
          </cell>
          <cell r="F835">
            <v>3105</v>
          </cell>
          <cell r="G835" t="str">
            <v>엔젤러스</v>
          </cell>
        </row>
        <row r="836">
          <cell r="A836">
            <v>72004184</v>
          </cell>
          <cell r="B836" t="str">
            <v>#184-4온즈 페인트-AutumnRed</v>
          </cell>
          <cell r="C836">
            <v>22000</v>
          </cell>
          <cell r="E836">
            <v>27</v>
          </cell>
          <cell r="F836">
            <v>3105</v>
          </cell>
          <cell r="G836" t="str">
            <v>엔젤러스</v>
          </cell>
        </row>
        <row r="837">
          <cell r="A837">
            <v>72004185</v>
          </cell>
          <cell r="B837" t="str">
            <v>#185-4온즈 페인트-FireRed</v>
          </cell>
          <cell r="C837">
            <v>22000</v>
          </cell>
          <cell r="E837">
            <v>27</v>
          </cell>
          <cell r="F837">
            <v>3105</v>
          </cell>
          <cell r="G837" t="str">
            <v>엔젤러스</v>
          </cell>
        </row>
        <row r="838">
          <cell r="A838">
            <v>72004186</v>
          </cell>
          <cell r="B838" t="str">
            <v>#186-4온즈 페인트-HotPink</v>
          </cell>
          <cell r="C838">
            <v>22000</v>
          </cell>
          <cell r="E838">
            <v>27</v>
          </cell>
          <cell r="F838">
            <v>3105</v>
          </cell>
          <cell r="G838" t="str">
            <v>엔젤러스</v>
          </cell>
        </row>
        <row r="839">
          <cell r="A839">
            <v>72004187</v>
          </cell>
          <cell r="B839" t="str">
            <v>#187-4온즈 페인트-Magenta</v>
          </cell>
          <cell r="C839">
            <v>22000</v>
          </cell>
          <cell r="E839">
            <v>27</v>
          </cell>
          <cell r="F839">
            <v>3105</v>
          </cell>
          <cell r="G839" t="str">
            <v>엔젤러스</v>
          </cell>
        </row>
        <row r="840">
          <cell r="A840">
            <v>72004188</v>
          </cell>
          <cell r="B840" t="str">
            <v>#188-4온즈 페인트-Pink</v>
          </cell>
          <cell r="C840">
            <v>22000</v>
          </cell>
          <cell r="E840">
            <v>27</v>
          </cell>
          <cell r="F840">
            <v>3105</v>
          </cell>
          <cell r="G840" t="str">
            <v>엔젤러스</v>
          </cell>
        </row>
        <row r="841">
          <cell r="A841">
            <v>72004189</v>
          </cell>
          <cell r="B841" t="str">
            <v>#189-4온즈 페인트-Petal Pink</v>
          </cell>
          <cell r="C841">
            <v>22000</v>
          </cell>
          <cell r="E841">
            <v>27</v>
          </cell>
          <cell r="F841">
            <v>3105</v>
          </cell>
          <cell r="G841" t="str">
            <v>엔젤러스</v>
          </cell>
        </row>
        <row r="842">
          <cell r="A842">
            <v>72004190</v>
          </cell>
          <cell r="B842" t="str">
            <v>#190-4온즈 페인트-ScaletRed</v>
          </cell>
          <cell r="C842">
            <v>22000</v>
          </cell>
          <cell r="E842">
            <v>27</v>
          </cell>
          <cell r="F842">
            <v>3105</v>
          </cell>
          <cell r="G842" t="str">
            <v>엔젤러스</v>
          </cell>
        </row>
        <row r="843">
          <cell r="A843">
            <v>72004191</v>
          </cell>
          <cell r="B843" t="str">
            <v>#191-4온즈 페인트-Shell Pink</v>
          </cell>
          <cell r="C843">
            <v>22000</v>
          </cell>
          <cell r="E843">
            <v>27</v>
          </cell>
          <cell r="F843">
            <v>3105</v>
          </cell>
          <cell r="G843" t="str">
            <v>엔젤러스</v>
          </cell>
        </row>
        <row r="844">
          <cell r="A844">
            <v>72004194</v>
          </cell>
          <cell r="B844" t="str">
            <v>#194-4온즈 페인트-Caramel</v>
          </cell>
          <cell r="C844">
            <v>22000</v>
          </cell>
          <cell r="E844">
            <v>27</v>
          </cell>
          <cell r="F844">
            <v>3105</v>
          </cell>
          <cell r="G844" t="str">
            <v>엔젤러스</v>
          </cell>
        </row>
        <row r="845">
          <cell r="A845">
            <v>72004196</v>
          </cell>
          <cell r="B845" t="str">
            <v>#196-4온즈 페인트-Mustard</v>
          </cell>
          <cell r="C845">
            <v>22000</v>
          </cell>
          <cell r="E845">
            <v>27</v>
          </cell>
          <cell r="F845">
            <v>3105</v>
          </cell>
          <cell r="G845" t="str">
            <v>엔젤러스</v>
          </cell>
        </row>
        <row r="846">
          <cell r="A846">
            <v>72004197</v>
          </cell>
          <cell r="B846" t="str">
            <v>#197-4온즈 페인트-PaleYellow</v>
          </cell>
          <cell r="C846">
            <v>22000</v>
          </cell>
          <cell r="E846">
            <v>27</v>
          </cell>
          <cell r="F846">
            <v>3105</v>
          </cell>
          <cell r="G846" t="str">
            <v>엔젤러스</v>
          </cell>
        </row>
        <row r="847">
          <cell r="A847">
            <v>72004198</v>
          </cell>
          <cell r="B847" t="str">
            <v>#198-4온즈 페인트-Buttercup</v>
          </cell>
          <cell r="C847">
            <v>22000</v>
          </cell>
          <cell r="E847">
            <v>27</v>
          </cell>
          <cell r="F847">
            <v>3105</v>
          </cell>
          <cell r="G847" t="str">
            <v>엔젤러스</v>
          </cell>
        </row>
        <row r="848">
          <cell r="A848">
            <v>72004260</v>
          </cell>
          <cell r="B848" t="str">
            <v>#260-4온즈 페인트-Chili Red</v>
          </cell>
          <cell r="C848">
            <v>22000</v>
          </cell>
          <cell r="E848">
            <v>27</v>
          </cell>
          <cell r="F848">
            <v>3105</v>
          </cell>
          <cell r="G848" t="str">
            <v>엔젤러스</v>
          </cell>
        </row>
        <row r="849">
          <cell r="A849">
            <v>72004261</v>
          </cell>
          <cell r="B849" t="str">
            <v>#261-4온즈 페인트-South Beach</v>
          </cell>
          <cell r="C849">
            <v>22000</v>
          </cell>
          <cell r="E849">
            <v>27</v>
          </cell>
          <cell r="F849">
            <v>3105</v>
          </cell>
          <cell r="G849" t="str">
            <v>엔젤러스</v>
          </cell>
        </row>
        <row r="850">
          <cell r="A850">
            <v>72004262</v>
          </cell>
          <cell r="B850" t="str">
            <v>#262-4온즈 페인트-Play in the Sand</v>
          </cell>
          <cell r="C850">
            <v>22000</v>
          </cell>
          <cell r="E850">
            <v>27</v>
          </cell>
          <cell r="F850">
            <v>3105</v>
          </cell>
          <cell r="G850" t="str">
            <v>엔젤러스</v>
          </cell>
        </row>
        <row r="851">
          <cell r="A851">
            <v>72004263</v>
          </cell>
          <cell r="B851" t="str">
            <v>#263-4온즈 페인트-Grinch Green</v>
          </cell>
          <cell r="C851">
            <v>22000</v>
          </cell>
          <cell r="E851">
            <v>27</v>
          </cell>
          <cell r="F851">
            <v>3105</v>
          </cell>
          <cell r="G851" t="str">
            <v>엔젤러스</v>
          </cell>
        </row>
        <row r="852">
          <cell r="A852">
            <v>72004264</v>
          </cell>
          <cell r="B852" t="str">
            <v>#264-4온즈 페인트-Putty</v>
          </cell>
          <cell r="C852">
            <v>22000</v>
          </cell>
          <cell r="E852">
            <v>27</v>
          </cell>
          <cell r="F852">
            <v>3105</v>
          </cell>
          <cell r="G852" t="str">
            <v>엔젤러스</v>
          </cell>
        </row>
        <row r="853">
          <cell r="A853">
            <v>72004265</v>
          </cell>
          <cell r="B853" t="str">
            <v>#265-4온즈 페인트-Tangerine</v>
          </cell>
          <cell r="C853">
            <v>22000</v>
          </cell>
          <cell r="E853">
            <v>27</v>
          </cell>
          <cell r="F853">
            <v>3105</v>
          </cell>
          <cell r="G853" t="str">
            <v>엔젤러스</v>
          </cell>
        </row>
        <row r="854">
          <cell r="A854">
            <v>72004266</v>
          </cell>
          <cell r="B854" t="str">
            <v>#266-4온즈 페인트-Georgia Peach</v>
          </cell>
          <cell r="C854">
            <v>22000</v>
          </cell>
          <cell r="E854">
            <v>27</v>
          </cell>
          <cell r="F854">
            <v>3105</v>
          </cell>
          <cell r="G854" t="str">
            <v>엔젤러스</v>
          </cell>
        </row>
        <row r="855">
          <cell r="A855">
            <v>72004267</v>
          </cell>
          <cell r="B855" t="str">
            <v>#267-4온즈 페인트-Salmon</v>
          </cell>
          <cell r="C855">
            <v>22000</v>
          </cell>
          <cell r="E855">
            <v>27</v>
          </cell>
          <cell r="F855">
            <v>3105</v>
          </cell>
          <cell r="G855" t="str">
            <v>엔젤러스</v>
          </cell>
        </row>
        <row r="856">
          <cell r="A856">
            <v>72004268</v>
          </cell>
          <cell r="B856" t="str">
            <v>#268-4온즈 페인트-Rasberry</v>
          </cell>
          <cell r="C856">
            <v>22000</v>
          </cell>
          <cell r="E856">
            <v>27</v>
          </cell>
          <cell r="F856">
            <v>3105</v>
          </cell>
          <cell r="G856" t="str">
            <v>엔젤러스</v>
          </cell>
        </row>
        <row r="857">
          <cell r="A857">
            <v>72004269</v>
          </cell>
          <cell r="B857" t="str">
            <v>#269-4온즈 페인트-Mint</v>
          </cell>
          <cell r="C857">
            <v>22000</v>
          </cell>
          <cell r="E857">
            <v>27</v>
          </cell>
          <cell r="F857">
            <v>3105</v>
          </cell>
          <cell r="G857" t="str">
            <v>엔젤러스</v>
          </cell>
        </row>
        <row r="858">
          <cell r="A858">
            <v>72004270</v>
          </cell>
          <cell r="B858" t="str">
            <v>#270-4온즈 페인트-Vachetta</v>
          </cell>
          <cell r="C858">
            <v>22000</v>
          </cell>
          <cell r="E858">
            <v>27</v>
          </cell>
          <cell r="F858">
            <v>3105</v>
          </cell>
          <cell r="G858" t="str">
            <v>엔젤러스</v>
          </cell>
        </row>
        <row r="859">
          <cell r="A859">
            <v>72004272</v>
          </cell>
          <cell r="B859" t="str">
            <v>#272-4온즈 페인트-Olive</v>
          </cell>
          <cell r="C859">
            <v>22000</v>
          </cell>
          <cell r="E859">
            <v>27</v>
          </cell>
          <cell r="F859">
            <v>3105</v>
          </cell>
          <cell r="G859" t="str">
            <v>엔젤러스</v>
          </cell>
        </row>
        <row r="860">
          <cell r="A860" t="str">
            <v>720pt105</v>
          </cell>
          <cell r="B860" t="str">
            <v>파인트-#105-페인트-Flat White</v>
          </cell>
          <cell r="C860">
            <v>44000</v>
          </cell>
          <cell r="G860" t="str">
            <v>엔젤러스</v>
          </cell>
        </row>
        <row r="867">
          <cell r="A867">
            <v>53003014</v>
          </cell>
          <cell r="B867" t="str">
            <v xml:space="preserve">샤인다이-브라운 </v>
          </cell>
        </row>
        <row r="868">
          <cell r="A868">
            <v>53003042</v>
          </cell>
          <cell r="B868" t="str">
            <v xml:space="preserve">샤인다이-네이비 </v>
          </cell>
        </row>
        <row r="869">
          <cell r="A869">
            <v>53003017</v>
          </cell>
          <cell r="B869" t="str">
            <v xml:space="preserve">샤인다이-코도반 </v>
          </cell>
        </row>
        <row r="870">
          <cell r="A870">
            <v>53003175</v>
          </cell>
          <cell r="B870" t="str">
            <v xml:space="preserve">샤인다이-라일락 </v>
          </cell>
        </row>
        <row r="871">
          <cell r="A871">
            <v>53003064</v>
          </cell>
          <cell r="B871" t="str">
            <v xml:space="preserve">샤인다이-레드 </v>
          </cell>
        </row>
        <row r="872">
          <cell r="A872">
            <v>53003029</v>
          </cell>
          <cell r="B872" t="str">
            <v xml:space="preserve">샤인다이-탄 </v>
          </cell>
        </row>
        <row r="874">
          <cell r="G874" t="str">
            <v>수입단가</v>
          </cell>
        </row>
        <row r="875">
          <cell r="B875" t="str">
            <v>라운드 #0</v>
          </cell>
          <cell r="C875">
            <v>8000</v>
          </cell>
          <cell r="D875" t="str">
            <v>미도착</v>
          </cell>
          <cell r="I875">
            <v>5.95</v>
          </cell>
          <cell r="J875" t="str">
            <v>Angelus Micro Detail Paint Brush - #0 Round</v>
          </cell>
        </row>
        <row r="876">
          <cell r="A876" t="str">
            <v>799RO01</v>
          </cell>
          <cell r="B876" t="str">
            <v>라운드 #1</v>
          </cell>
          <cell r="C876">
            <v>6000</v>
          </cell>
          <cell r="D876" t="str">
            <v>라운드 #1</v>
          </cell>
          <cell r="E876">
            <v>1.42</v>
          </cell>
          <cell r="F876">
            <v>2044.8</v>
          </cell>
          <cell r="G876" t="str">
            <v>엔젤러스</v>
          </cell>
          <cell r="H876" t="str">
            <v>6-2.브러시</v>
          </cell>
          <cell r="I876">
            <v>3.95</v>
          </cell>
          <cell r="J876" t="str">
            <v>Angelus Paint Brush Round #1</v>
          </cell>
        </row>
        <row r="877">
          <cell r="A877" t="str">
            <v>799RO02</v>
          </cell>
          <cell r="B877" t="str">
            <v>라운드 #2</v>
          </cell>
          <cell r="C877">
            <v>6000</v>
          </cell>
          <cell r="D877" t="str">
            <v>라운드 #2</v>
          </cell>
          <cell r="E877">
            <v>1.42</v>
          </cell>
          <cell r="F877">
            <v>2044.8</v>
          </cell>
          <cell r="G877" t="str">
            <v>엔젤러스</v>
          </cell>
          <cell r="H877" t="str">
            <v>6-2.브러시</v>
          </cell>
          <cell r="I877">
            <v>3.95</v>
          </cell>
          <cell r="J877" t="str">
            <v>Angelus Paint Brush Round #2</v>
          </cell>
        </row>
        <row r="878">
          <cell r="A878" t="str">
            <v>799SH00</v>
          </cell>
          <cell r="B878" t="str">
            <v>쉐이더 #0</v>
          </cell>
          <cell r="C878">
            <v>8000</v>
          </cell>
          <cell r="D878" t="str">
            <v>쉐이더 #0</v>
          </cell>
          <cell r="E878">
            <v>2.14</v>
          </cell>
          <cell r="H878" t="str">
            <v>6-2.브러시</v>
          </cell>
          <cell r="I878">
            <v>5.95</v>
          </cell>
          <cell r="J878" t="str">
            <v>Angelus Micro Detail Paint Brush - #0 Shader</v>
          </cell>
        </row>
        <row r="879">
          <cell r="A879" t="str">
            <v>799SH02</v>
          </cell>
          <cell r="B879" t="str">
            <v>쉐이더 #2</v>
          </cell>
          <cell r="C879">
            <v>6000</v>
          </cell>
          <cell r="D879" t="str">
            <v>쉐이더 #2</v>
          </cell>
          <cell r="E879">
            <v>1.42</v>
          </cell>
          <cell r="F879">
            <v>2044.8</v>
          </cell>
          <cell r="G879" t="str">
            <v>엔젤러스</v>
          </cell>
          <cell r="H879" t="str">
            <v>6-2.브러시</v>
          </cell>
          <cell r="I879">
            <v>3.95</v>
          </cell>
          <cell r="J879" t="str">
            <v>Angelus Paint Brush Shader #2</v>
          </cell>
        </row>
        <row r="880">
          <cell r="A880" t="str">
            <v>799SH06</v>
          </cell>
          <cell r="B880" t="str">
            <v>쉐이더 #6</v>
          </cell>
          <cell r="C880">
            <v>7000</v>
          </cell>
          <cell r="D880" t="str">
            <v>쉐이더 #6</v>
          </cell>
          <cell r="E880">
            <v>1.62</v>
          </cell>
          <cell r="F880">
            <v>2332.8000000000002</v>
          </cell>
          <cell r="G880" t="str">
            <v>엔젤러스</v>
          </cell>
          <cell r="H880" t="str">
            <v>6-2.브러시</v>
          </cell>
          <cell r="I880">
            <v>4.5</v>
          </cell>
          <cell r="J880" t="str">
            <v>Angelus Paint Brush Shader #6</v>
          </cell>
        </row>
        <row r="881">
          <cell r="A881" t="str">
            <v>799SH10</v>
          </cell>
          <cell r="B881" t="str">
            <v>쉐이더 #10</v>
          </cell>
          <cell r="C881">
            <v>7000</v>
          </cell>
          <cell r="D881" t="str">
            <v>쉐이더 #10</v>
          </cell>
          <cell r="E881">
            <v>1.62</v>
          </cell>
          <cell r="F881">
            <v>2332.8000000000002</v>
          </cell>
          <cell r="G881" t="str">
            <v>엔젤러스</v>
          </cell>
          <cell r="H881" t="str">
            <v>6-2.브러시</v>
          </cell>
          <cell r="I881">
            <v>4.5</v>
          </cell>
          <cell r="J881" t="str">
            <v>Angelus Paint Brush Shader #10</v>
          </cell>
        </row>
        <row r="882">
          <cell r="A882" t="str">
            <v>799SP00</v>
          </cell>
          <cell r="B882" t="str">
            <v>스파터 #0</v>
          </cell>
          <cell r="C882">
            <v>8000</v>
          </cell>
          <cell r="D882" t="str">
            <v>스파터 #0</v>
          </cell>
          <cell r="E882">
            <v>2.14</v>
          </cell>
          <cell r="H882" t="str">
            <v>6-2.브러시</v>
          </cell>
          <cell r="I882">
            <v>5.95</v>
          </cell>
          <cell r="J882" t="str">
            <v>Angelus Micro Detail Paint Brush - #0 Spotter</v>
          </cell>
        </row>
        <row r="883">
          <cell r="A883" t="str">
            <v>799SP50</v>
          </cell>
          <cell r="B883" t="str">
            <v>스파터 5/0</v>
          </cell>
          <cell r="C883">
            <v>8000</v>
          </cell>
          <cell r="D883" t="str">
            <v>스파터 5/0</v>
          </cell>
          <cell r="E883">
            <v>2.14</v>
          </cell>
          <cell r="F883">
            <v>3081.6</v>
          </cell>
          <cell r="G883" t="str">
            <v>엔젤러스</v>
          </cell>
          <cell r="H883" t="str">
            <v>6-2.브러시</v>
          </cell>
          <cell r="J883" t="str">
            <v>Angelus Paint Brush Spotter 5/0</v>
          </cell>
        </row>
        <row r="884">
          <cell r="A884" t="str">
            <v>799AN14</v>
          </cell>
          <cell r="B884" t="str">
            <v>앵귤러 #1/4"</v>
          </cell>
          <cell r="C884">
            <v>6000</v>
          </cell>
          <cell r="D884" t="str">
            <v>앵귤러 #1/4"</v>
          </cell>
          <cell r="E884">
            <v>1.42</v>
          </cell>
          <cell r="F884">
            <v>2044.8</v>
          </cell>
          <cell r="G884" t="str">
            <v>엔젤러스</v>
          </cell>
          <cell r="H884" t="str">
            <v>6-2.브러시</v>
          </cell>
          <cell r="I884">
            <v>3.95</v>
          </cell>
          <cell r="J884" t="str">
            <v>Angelus Paint Brush Angular 1/4"</v>
          </cell>
        </row>
        <row r="885">
          <cell r="A885" t="str">
            <v>799AN02</v>
          </cell>
          <cell r="B885" t="str">
            <v>앵귤러 #2</v>
          </cell>
          <cell r="C885">
            <v>6000</v>
          </cell>
          <cell r="D885" t="str">
            <v>미도착</v>
          </cell>
          <cell r="E885">
            <v>1.42</v>
          </cell>
          <cell r="F885">
            <v>2044.8</v>
          </cell>
          <cell r="G885" t="str">
            <v>엔젤러스</v>
          </cell>
          <cell r="H885" t="str">
            <v>6-2.브러시</v>
          </cell>
          <cell r="I885">
            <v>3.95</v>
          </cell>
          <cell r="J885" t="str">
            <v>Angelus Paint Brush Angular #2</v>
          </cell>
        </row>
        <row r="886">
          <cell r="A886" t="str">
            <v>799AN00</v>
          </cell>
          <cell r="B886" t="str">
            <v>앵귤러쉐이더 #0</v>
          </cell>
          <cell r="C886">
            <v>8000</v>
          </cell>
          <cell r="D886" t="str">
            <v>앵귤러쉐이더 #0</v>
          </cell>
          <cell r="E886">
            <v>2.14</v>
          </cell>
          <cell r="H886" t="str">
            <v>6-2.브러시</v>
          </cell>
          <cell r="I886">
            <v>4.5</v>
          </cell>
          <cell r="J886" t="str">
            <v>Angelus Micro Detail Paint Brush - #0 Angular Shader</v>
          </cell>
        </row>
        <row r="887">
          <cell r="A887" t="str">
            <v>799AS01</v>
          </cell>
          <cell r="B887" t="str">
            <v>앵귤러쉐이더 #1</v>
          </cell>
          <cell r="C887">
            <v>6000</v>
          </cell>
          <cell r="D887" t="str">
            <v>앵귤러쉐이더 #1</v>
          </cell>
          <cell r="E887">
            <v>1.42</v>
          </cell>
          <cell r="F887">
            <v>2044.8</v>
          </cell>
          <cell r="G887" t="str">
            <v>엔젤러스</v>
          </cell>
          <cell r="H887" t="str">
            <v>6-2.브러시</v>
          </cell>
          <cell r="I887">
            <v>3.95</v>
          </cell>
          <cell r="J887" t="str">
            <v>Angelus Paint Brush Angular Shader #1</v>
          </cell>
        </row>
        <row r="888">
          <cell r="A888" t="str">
            <v>799AS12</v>
          </cell>
          <cell r="B888" t="str">
            <v>앵귤러쉐이더 #1/2"</v>
          </cell>
          <cell r="C888">
            <v>6000</v>
          </cell>
          <cell r="D888" t="str">
            <v>앵귤러쉐이더 #1/2"</v>
          </cell>
          <cell r="E888">
            <v>1.42</v>
          </cell>
          <cell r="F888">
            <v>2044.8</v>
          </cell>
          <cell r="G888" t="str">
            <v>엔젤러스</v>
          </cell>
          <cell r="H888" t="str">
            <v>6-2.브러시</v>
          </cell>
          <cell r="I888">
            <v>3.95</v>
          </cell>
          <cell r="J888" t="str">
            <v>Angelus1/2"     Paint Brush Angular Shader</v>
          </cell>
        </row>
        <row r="889">
          <cell r="A889" t="str">
            <v>799AS38</v>
          </cell>
          <cell r="B889" t="str">
            <v>앵귤러쉐이더 #3/8"</v>
          </cell>
          <cell r="C889">
            <v>6000</v>
          </cell>
          <cell r="D889" t="str">
            <v>앵귤러쉐이더 #3/8"</v>
          </cell>
          <cell r="E889">
            <v>1.42</v>
          </cell>
          <cell r="F889">
            <v>2044.8</v>
          </cell>
          <cell r="G889" t="str">
            <v>엔젤러스</v>
          </cell>
          <cell r="H889" t="str">
            <v>6-2.브러시</v>
          </cell>
          <cell r="I889">
            <v>3.95</v>
          </cell>
          <cell r="J889" t="str">
            <v>Angelus3/8"     Paint Brush Angular Shader</v>
          </cell>
        </row>
        <row r="890">
          <cell r="A890" t="str">
            <v>799FL00</v>
          </cell>
          <cell r="B890" t="str">
            <v>필버트 #0</v>
          </cell>
          <cell r="C890">
            <v>8000</v>
          </cell>
          <cell r="D890" t="str">
            <v>필버트 #0</v>
          </cell>
          <cell r="E890">
            <v>2.14</v>
          </cell>
          <cell r="H890" t="str">
            <v>6-2.브러시</v>
          </cell>
          <cell r="I890">
            <v>5.95</v>
          </cell>
          <cell r="J890" t="str">
            <v>Angelus Micro Detail Paint Brush - #0 Filbert</v>
          </cell>
        </row>
        <row r="891">
          <cell r="A891" t="str">
            <v>799FL02</v>
          </cell>
          <cell r="B891" t="str">
            <v>필버트 #2</v>
          </cell>
          <cell r="C891">
            <v>7000</v>
          </cell>
          <cell r="D891" t="str">
            <v>필버트 #2</v>
          </cell>
          <cell r="E891">
            <v>1.53</v>
          </cell>
          <cell r="F891">
            <v>2203.1999999999998</v>
          </cell>
          <cell r="G891" t="str">
            <v>엔젤러스</v>
          </cell>
          <cell r="H891" t="str">
            <v>6-2.브러시</v>
          </cell>
          <cell r="I891">
            <v>4.25</v>
          </cell>
          <cell r="J891" t="str">
            <v>Angelus Paint Brush Filbert #2</v>
          </cell>
        </row>
        <row r="892">
          <cell r="A892" t="str">
            <v>6Filbert</v>
          </cell>
          <cell r="B892" t="str">
            <v>필버트 #6</v>
          </cell>
          <cell r="C892">
            <v>7000</v>
          </cell>
          <cell r="D892" t="str">
            <v>필버트 #6</v>
          </cell>
          <cell r="E892">
            <v>1.53</v>
          </cell>
          <cell r="F892">
            <v>2203.1999999999998</v>
          </cell>
          <cell r="H892" t="str">
            <v>6-2.브러시</v>
          </cell>
          <cell r="J892" t="str">
            <v>Angelus Paint Brush - #6 Filbert</v>
          </cell>
        </row>
        <row r="895">
          <cell r="A895" t="str">
            <v>992E00KNIFE</v>
          </cell>
          <cell r="B895" t="str">
            <v>엔젤러스 디테일 나이프</v>
          </cell>
          <cell r="C895">
            <v>10000</v>
          </cell>
          <cell r="E895">
            <v>2.5</v>
          </cell>
          <cell r="F895">
            <v>3600</v>
          </cell>
          <cell r="G895" t="str">
            <v>엔젤러스</v>
          </cell>
          <cell r="H895" t="str">
            <v>6-1.기타</v>
          </cell>
          <cell r="I895">
            <v>5.95</v>
          </cell>
        </row>
        <row r="896">
          <cell r="A896" t="str">
            <v>Blade</v>
          </cell>
          <cell r="B896" t="str">
            <v>엔젤러스 교체용 나이프날</v>
          </cell>
          <cell r="C896">
            <v>3500</v>
          </cell>
          <cell r="E896">
            <v>0.88</v>
          </cell>
          <cell r="F896">
            <v>1267.2</v>
          </cell>
          <cell r="G896" t="str">
            <v>엔젤러스</v>
          </cell>
          <cell r="H896" t="str">
            <v>6-1.기타</v>
          </cell>
        </row>
        <row r="897">
          <cell r="A897" t="str">
            <v>992E912MAT</v>
          </cell>
          <cell r="B897" t="str">
            <v>커팅 매트(소) 9"x12"</v>
          </cell>
          <cell r="C897">
            <v>10000</v>
          </cell>
          <cell r="E897">
            <v>2.5</v>
          </cell>
          <cell r="F897">
            <v>3600</v>
          </cell>
          <cell r="G897" t="str">
            <v>엔젤러스</v>
          </cell>
          <cell r="H897" t="str">
            <v>6-1.기타</v>
          </cell>
        </row>
        <row r="898">
          <cell r="A898" t="str">
            <v>992E1218MAT</v>
          </cell>
          <cell r="B898" t="str">
            <v>커팅 매트(중) 12"x18"</v>
          </cell>
          <cell r="C898">
            <v>16000</v>
          </cell>
          <cell r="E898">
            <v>4</v>
          </cell>
          <cell r="F898">
            <v>5760</v>
          </cell>
          <cell r="G898" t="str">
            <v>엔젤러스</v>
          </cell>
          <cell r="H898" t="str">
            <v>6-1.기타</v>
          </cell>
        </row>
        <row r="899">
          <cell r="A899" t="str">
            <v>992E1824MAT</v>
          </cell>
          <cell r="B899" t="str">
            <v>커팅 매트(대) 18"x24"</v>
          </cell>
          <cell r="C899">
            <v>25000</v>
          </cell>
          <cell r="E899">
            <v>6</v>
          </cell>
          <cell r="F899">
            <v>8640</v>
          </cell>
          <cell r="G899" t="str">
            <v>엔젤러스</v>
          </cell>
          <cell r="H899" t="str">
            <v>6-1.기타</v>
          </cell>
        </row>
        <row r="900">
          <cell r="A900" t="str">
            <v>브러시클리너</v>
          </cell>
          <cell r="B900" t="str">
            <v>브러시클리너</v>
          </cell>
          <cell r="C900">
            <v>10000</v>
          </cell>
        </row>
        <row r="901">
          <cell r="A901" t="str">
            <v>페인트컵</v>
          </cell>
          <cell r="B901" t="str">
            <v>페인트컵</v>
          </cell>
          <cell r="C901">
            <v>2000</v>
          </cell>
        </row>
        <row r="902">
          <cell r="A902" t="str">
            <v>페인트세트</v>
          </cell>
          <cell r="B902" t="str">
            <v>가죽페인트세트 10세트</v>
          </cell>
          <cell r="C902">
            <v>479996</v>
          </cell>
          <cell r="E902">
            <v>0</v>
          </cell>
          <cell r="F90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13" t="str">
            <v>행 레이블</v>
          </cell>
          <cell r="B13" t="str">
            <v>코드</v>
          </cell>
          <cell r="C13" t="str">
            <v>제품명</v>
          </cell>
          <cell r="D13" t="str">
            <v>합계 : 입출수량</v>
          </cell>
        </row>
        <row r="14">
          <cell r="A14">
            <v>0</v>
          </cell>
          <cell r="B14">
            <v>72004072</v>
          </cell>
          <cell r="C14" t="str">
            <v>#072-4온즈 페인트-Gold</v>
          </cell>
          <cell r="D14">
            <v>-1</v>
          </cell>
        </row>
        <row r="15">
          <cell r="B15">
            <v>72004143</v>
          </cell>
          <cell r="C15" t="str">
            <v>#143-4온즈 페인트-Pewter</v>
          </cell>
          <cell r="D15">
            <v>0</v>
          </cell>
        </row>
        <row r="16">
          <cell r="B16" t="str">
            <v>720PT001</v>
          </cell>
          <cell r="C16" t="str">
            <v>파인트-#001-페인트-Black</v>
          </cell>
          <cell r="D16">
            <v>0</v>
          </cell>
        </row>
        <row r="17">
          <cell r="B17" t="str">
            <v>720PT005</v>
          </cell>
          <cell r="C17" t="str">
            <v>파인트-#005-페인트-White</v>
          </cell>
          <cell r="D17">
            <v>0</v>
          </cell>
        </row>
        <row r="18">
          <cell r="B18" t="str">
            <v>720PT101</v>
          </cell>
          <cell r="C18" t="str">
            <v>파인트-#101-페인트-Flat Black</v>
          </cell>
          <cell r="D18">
            <v>0</v>
          </cell>
        </row>
        <row r="19">
          <cell r="B19" t="str">
            <v>720PT105</v>
          </cell>
          <cell r="C19" t="str">
            <v>파인트-#105-페인트-Flat White</v>
          </cell>
          <cell r="D19">
            <v>0</v>
          </cell>
        </row>
        <row r="20">
          <cell r="B20" t="str">
            <v>브러시클리너</v>
          </cell>
          <cell r="C20" t="str">
            <v>브러시클리너</v>
          </cell>
          <cell r="D20">
            <v>0</v>
          </cell>
        </row>
        <row r="21">
          <cell r="B21" t="str">
            <v>애니맷</v>
          </cell>
          <cell r="C21" t="str">
            <v>엔젤러스 페인트 세트</v>
          </cell>
          <cell r="D21">
            <v>0</v>
          </cell>
        </row>
        <row r="22">
          <cell r="B22" t="str">
            <v>페인트세트</v>
          </cell>
          <cell r="C22" t="str">
            <v>가죽페인트세트 10세트</v>
          </cell>
          <cell r="D22">
            <v>-1</v>
          </cell>
        </row>
        <row r="23">
          <cell r="B23" t="str">
            <v>페인트컵</v>
          </cell>
          <cell r="C23" t="str">
            <v>페인트컵</v>
          </cell>
          <cell r="D23">
            <v>0</v>
          </cell>
        </row>
        <row r="24">
          <cell r="A24" t="str">
            <v>1-1.레더페인트</v>
          </cell>
          <cell r="B24">
            <v>72001001</v>
          </cell>
          <cell r="C24" t="str">
            <v>#001-레더페인트-Black</v>
          </cell>
          <cell r="D24">
            <v>2313</v>
          </cell>
        </row>
        <row r="25">
          <cell r="B25">
            <v>72001004</v>
          </cell>
          <cell r="C25" t="str">
            <v>#004-레더페인트-Neutral</v>
          </cell>
          <cell r="D25">
            <v>169</v>
          </cell>
        </row>
        <row r="26">
          <cell r="B26">
            <v>72001005</v>
          </cell>
          <cell r="C26" t="str">
            <v>#005-레더페인트-White</v>
          </cell>
          <cell r="D26">
            <v>2003</v>
          </cell>
        </row>
        <row r="27">
          <cell r="B27">
            <v>72001014</v>
          </cell>
          <cell r="C27" t="str">
            <v>#014-레더페인트-Brown</v>
          </cell>
          <cell r="D27">
            <v>241</v>
          </cell>
        </row>
        <row r="28">
          <cell r="B28">
            <v>72001015</v>
          </cell>
          <cell r="C28" t="str">
            <v>#015-레더페인트-Chocolate</v>
          </cell>
          <cell r="D28">
            <v>126</v>
          </cell>
        </row>
        <row r="29">
          <cell r="B29">
            <v>72001018</v>
          </cell>
          <cell r="C29" t="str">
            <v>#018-레더페인트-DarkBrown</v>
          </cell>
          <cell r="D29">
            <v>135</v>
          </cell>
        </row>
        <row r="30">
          <cell r="B30">
            <v>72001019</v>
          </cell>
          <cell r="C30" t="str">
            <v>#019-레더페인트-English Tan</v>
          </cell>
          <cell r="D30">
            <v>147</v>
          </cell>
        </row>
        <row r="31">
          <cell r="B31">
            <v>72001021</v>
          </cell>
          <cell r="C31" t="str">
            <v>#021-레더페인트-LightBrown</v>
          </cell>
          <cell r="D31">
            <v>80</v>
          </cell>
        </row>
        <row r="32">
          <cell r="B32">
            <v>72001024</v>
          </cell>
          <cell r="C32" t="str">
            <v>#024-레더페인트-Orange</v>
          </cell>
          <cell r="D32">
            <v>215</v>
          </cell>
        </row>
        <row r="33">
          <cell r="B33">
            <v>72001027</v>
          </cell>
          <cell r="C33" t="str">
            <v>#027-레더페인트- SADDLE</v>
          </cell>
          <cell r="D33">
            <v>108</v>
          </cell>
        </row>
        <row r="34">
          <cell r="B34">
            <v>72001029</v>
          </cell>
          <cell r="C34" t="str">
            <v>#029-레더페인트- Tan</v>
          </cell>
          <cell r="D34">
            <v>289</v>
          </cell>
        </row>
        <row r="35">
          <cell r="B35">
            <v>72001040</v>
          </cell>
          <cell r="C35" t="str">
            <v>#040-레더페인트-BLUE</v>
          </cell>
          <cell r="D35">
            <v>476</v>
          </cell>
        </row>
        <row r="36">
          <cell r="B36">
            <v>72001041</v>
          </cell>
          <cell r="C36" t="str">
            <v>#041-레더페인트-LightBLUE</v>
          </cell>
          <cell r="D36">
            <v>198</v>
          </cell>
        </row>
        <row r="37">
          <cell r="B37">
            <v>72001042</v>
          </cell>
          <cell r="C37" t="str">
            <v>#042-레더페인트-NavyBlue</v>
          </cell>
          <cell r="D37">
            <v>241</v>
          </cell>
        </row>
        <row r="38">
          <cell r="B38">
            <v>72001043</v>
          </cell>
          <cell r="C38" t="str">
            <v>#043-레더페인트-Turgouise</v>
          </cell>
          <cell r="D38">
            <v>163</v>
          </cell>
        </row>
        <row r="39">
          <cell r="B39">
            <v>72001045</v>
          </cell>
          <cell r="C39" t="str">
            <v>#045-레더페인트-Blue Turquoise</v>
          </cell>
          <cell r="D39">
            <v>154</v>
          </cell>
        </row>
        <row r="40">
          <cell r="B40">
            <v>72001047</v>
          </cell>
          <cell r="C40" t="str">
            <v>#047-레더페인트-Purple</v>
          </cell>
          <cell r="D40">
            <v>215</v>
          </cell>
        </row>
        <row r="41">
          <cell r="B41">
            <v>72001050</v>
          </cell>
          <cell r="C41" t="str">
            <v>#050-레더페인트-Green</v>
          </cell>
          <cell r="D41">
            <v>160</v>
          </cell>
        </row>
        <row r="42">
          <cell r="B42">
            <v>72001052</v>
          </cell>
          <cell r="C42" t="str">
            <v>#052-레더페인트-MidniteGreen</v>
          </cell>
          <cell r="D42">
            <v>144</v>
          </cell>
        </row>
        <row r="43">
          <cell r="B43">
            <v>72001060</v>
          </cell>
          <cell r="C43" t="str">
            <v>#060-레더페인트-Burgundy</v>
          </cell>
          <cell r="D43">
            <v>47</v>
          </cell>
        </row>
        <row r="44">
          <cell r="B44">
            <v>72001064</v>
          </cell>
          <cell r="C44" t="str">
            <v>#064-레더페인트-Red</v>
          </cell>
          <cell r="D44">
            <v>565</v>
          </cell>
        </row>
        <row r="45">
          <cell r="B45">
            <v>72001070</v>
          </cell>
          <cell r="C45" t="str">
            <v>#070-레더페인트-Beige</v>
          </cell>
          <cell r="D45">
            <v>208</v>
          </cell>
        </row>
        <row r="46">
          <cell r="B46">
            <v>72001072</v>
          </cell>
          <cell r="C46" t="str">
            <v>#072-레더페인트-Gold</v>
          </cell>
          <cell r="D46">
            <v>193</v>
          </cell>
        </row>
        <row r="47">
          <cell r="B47">
            <v>72001075</v>
          </cell>
          <cell r="C47" t="str">
            <v>#075-레더페인트-Yellow</v>
          </cell>
          <cell r="D47">
            <v>526</v>
          </cell>
        </row>
        <row r="48">
          <cell r="B48">
            <v>72001080</v>
          </cell>
          <cell r="C48" t="str">
            <v>#080-레더페인트-DarkGrey</v>
          </cell>
          <cell r="D48">
            <v>-14</v>
          </cell>
        </row>
        <row r="49">
          <cell r="B49">
            <v>72001081</v>
          </cell>
          <cell r="C49" t="str">
            <v>#081-레더페인트-Grey</v>
          </cell>
          <cell r="D49">
            <v>138</v>
          </cell>
        </row>
        <row r="50">
          <cell r="B50">
            <v>72001082</v>
          </cell>
          <cell r="C50" t="str">
            <v>#082-레더페인트-LightGrey</v>
          </cell>
          <cell r="D50">
            <v>163</v>
          </cell>
        </row>
        <row r="51">
          <cell r="B51">
            <v>72001093</v>
          </cell>
          <cell r="C51" t="str">
            <v>#093-레더페인트-Brick</v>
          </cell>
          <cell r="D51">
            <v>113</v>
          </cell>
        </row>
        <row r="52">
          <cell r="B52">
            <v>72001101</v>
          </cell>
          <cell r="C52" t="str">
            <v>#101-레더페인트-Flat Black</v>
          </cell>
          <cell r="D52">
            <v>1779</v>
          </cell>
        </row>
        <row r="53">
          <cell r="B53">
            <v>72001105</v>
          </cell>
          <cell r="C53" t="str">
            <v>#105-레더페인트-Flat White</v>
          </cell>
          <cell r="D53">
            <v>2473</v>
          </cell>
        </row>
        <row r="54">
          <cell r="B54">
            <v>72001141</v>
          </cell>
          <cell r="C54" t="str">
            <v>#141-레더페인트-Copper</v>
          </cell>
          <cell r="D54">
            <v>88</v>
          </cell>
        </row>
        <row r="55">
          <cell r="B55">
            <v>72001142</v>
          </cell>
          <cell r="C55" t="str">
            <v>#142-레더페인트-Bronze</v>
          </cell>
          <cell r="D55">
            <v>90</v>
          </cell>
        </row>
        <row r="56">
          <cell r="B56">
            <v>72001143</v>
          </cell>
          <cell r="C56" t="str">
            <v>#143-레더페인트-Pewter</v>
          </cell>
          <cell r="D56">
            <v>94</v>
          </cell>
        </row>
        <row r="57">
          <cell r="B57">
            <v>72001150</v>
          </cell>
          <cell r="C57" t="str">
            <v>#150-레더페인트-SILVER</v>
          </cell>
          <cell r="D57">
            <v>165</v>
          </cell>
        </row>
        <row r="58">
          <cell r="B58">
            <v>72001155</v>
          </cell>
          <cell r="C58" t="str">
            <v>#155-레더페인트-Bone</v>
          </cell>
          <cell r="D58">
            <v>164</v>
          </cell>
        </row>
        <row r="59">
          <cell r="B59">
            <v>72001156</v>
          </cell>
          <cell r="C59" t="str">
            <v>#156-레더페인트-Champagne</v>
          </cell>
          <cell r="D59">
            <v>119</v>
          </cell>
        </row>
        <row r="60">
          <cell r="B60">
            <v>72001157</v>
          </cell>
          <cell r="C60" t="str">
            <v>#157-레더페인트-DarkBone</v>
          </cell>
          <cell r="D60">
            <v>99</v>
          </cell>
        </row>
        <row r="61">
          <cell r="B61">
            <v>72001159</v>
          </cell>
          <cell r="C61" t="str">
            <v>#159-레더페인트-Mist</v>
          </cell>
          <cell r="D61">
            <v>115</v>
          </cell>
        </row>
        <row r="62">
          <cell r="B62">
            <v>72001160</v>
          </cell>
          <cell r="C62" t="str">
            <v>#160-레더페인트-Vanilla</v>
          </cell>
          <cell r="D62">
            <v>68</v>
          </cell>
        </row>
        <row r="63">
          <cell r="B63">
            <v>72001161</v>
          </cell>
          <cell r="C63" t="str">
            <v>#161-레더페인트-Natural</v>
          </cell>
          <cell r="D63">
            <v>118</v>
          </cell>
        </row>
        <row r="64">
          <cell r="B64">
            <v>72001162</v>
          </cell>
          <cell r="C64" t="str">
            <v>#162-레더페인트-Cream</v>
          </cell>
          <cell r="D64">
            <v>158</v>
          </cell>
        </row>
        <row r="65">
          <cell r="B65">
            <v>72001163</v>
          </cell>
          <cell r="C65" t="str">
            <v>#163-레더페인트-CapazioTan</v>
          </cell>
          <cell r="D65">
            <v>134</v>
          </cell>
        </row>
        <row r="66">
          <cell r="B66">
            <v>72001165</v>
          </cell>
          <cell r="C66" t="str">
            <v>#165-레더페인트-BeigeTaupe</v>
          </cell>
          <cell r="D66">
            <v>127</v>
          </cell>
        </row>
        <row r="67">
          <cell r="B67">
            <v>72001166</v>
          </cell>
          <cell r="C67" t="str">
            <v>#166-레더페인트-GreyTaupe</v>
          </cell>
          <cell r="D67">
            <v>127</v>
          </cell>
        </row>
        <row r="68">
          <cell r="B68">
            <v>72001167</v>
          </cell>
          <cell r="C68" t="str">
            <v>#167-레더페인트-Taupe</v>
          </cell>
          <cell r="D68">
            <v>90</v>
          </cell>
        </row>
        <row r="69">
          <cell r="B69">
            <v>72001168</v>
          </cell>
          <cell r="C69" t="str">
            <v>#168-레더페인트-DarkTaupe</v>
          </cell>
          <cell r="D69">
            <v>33</v>
          </cell>
        </row>
        <row r="70">
          <cell r="B70">
            <v>72001169</v>
          </cell>
          <cell r="C70" t="str">
            <v>#169-레더페인트-Mauve</v>
          </cell>
          <cell r="D70">
            <v>122</v>
          </cell>
        </row>
        <row r="71">
          <cell r="B71">
            <v>72001170</v>
          </cell>
          <cell r="C71" t="str">
            <v>#170-레더페인트-Avocado</v>
          </cell>
          <cell r="D71">
            <v>106</v>
          </cell>
        </row>
        <row r="72">
          <cell r="B72">
            <v>72001171</v>
          </cell>
          <cell r="C72" t="str">
            <v>#171-레더페인트-DarkGreen</v>
          </cell>
          <cell r="D72">
            <v>92</v>
          </cell>
        </row>
        <row r="73">
          <cell r="B73">
            <v>72001172</v>
          </cell>
          <cell r="C73" t="str">
            <v>#172-레더페인트-Light Green</v>
          </cell>
          <cell r="D73">
            <v>171</v>
          </cell>
        </row>
        <row r="74">
          <cell r="B74">
            <v>72001174</v>
          </cell>
          <cell r="C74" t="str">
            <v>#174-레더페인트-GiftBoxBlue</v>
          </cell>
          <cell r="D74">
            <v>109</v>
          </cell>
        </row>
        <row r="75">
          <cell r="B75">
            <v>72001175</v>
          </cell>
          <cell r="C75" t="str">
            <v>#175-레더페인트-Lylac</v>
          </cell>
          <cell r="D75">
            <v>165</v>
          </cell>
        </row>
        <row r="76">
          <cell r="B76">
            <v>72001176</v>
          </cell>
          <cell r="C76" t="str">
            <v>#176-레더페인트-PaleBlue</v>
          </cell>
          <cell r="D76">
            <v>187</v>
          </cell>
        </row>
        <row r="77">
          <cell r="B77">
            <v>72001177</v>
          </cell>
          <cell r="C77" t="str">
            <v>#177-레더페인트-Sapphire</v>
          </cell>
          <cell r="D77">
            <v>243</v>
          </cell>
        </row>
        <row r="78">
          <cell r="B78">
            <v>72001178</v>
          </cell>
          <cell r="C78" t="str">
            <v>#178-레더페인트-Violet</v>
          </cell>
          <cell r="D78">
            <v>202</v>
          </cell>
        </row>
        <row r="79">
          <cell r="B79">
            <v>72001179</v>
          </cell>
          <cell r="C79" t="str">
            <v>#179-레더페인트-DarkBlue</v>
          </cell>
          <cell r="D79">
            <v>119</v>
          </cell>
        </row>
        <row r="80">
          <cell r="B80">
            <v>72001180</v>
          </cell>
          <cell r="C80" t="str">
            <v>#180-레더페인트-Cognac</v>
          </cell>
          <cell r="D80">
            <v>102</v>
          </cell>
        </row>
        <row r="81">
          <cell r="B81">
            <v>72001181</v>
          </cell>
          <cell r="C81" t="str">
            <v>#181-레더페인트-RichBrown</v>
          </cell>
          <cell r="D81">
            <v>87</v>
          </cell>
        </row>
        <row r="82">
          <cell r="B82">
            <v>72001182</v>
          </cell>
          <cell r="C82" t="str">
            <v>#182-레더페인트-Sand</v>
          </cell>
          <cell r="D82">
            <v>57</v>
          </cell>
        </row>
        <row r="83">
          <cell r="B83">
            <v>72001183</v>
          </cell>
          <cell r="C83" t="str">
            <v>#183-레더페인트-TerraCottaRed</v>
          </cell>
          <cell r="D83">
            <v>75</v>
          </cell>
        </row>
        <row r="84">
          <cell r="B84">
            <v>72001184</v>
          </cell>
          <cell r="C84" t="str">
            <v>#184-레더페인트-AutumnRed</v>
          </cell>
          <cell r="D84">
            <v>85</v>
          </cell>
        </row>
        <row r="85">
          <cell r="B85">
            <v>72001185</v>
          </cell>
          <cell r="C85" t="str">
            <v>#185-레더페인트-FireRed</v>
          </cell>
          <cell r="D85">
            <v>279</v>
          </cell>
        </row>
        <row r="86">
          <cell r="B86">
            <v>72001186</v>
          </cell>
          <cell r="C86" t="str">
            <v>#186-레더페인트-HotPink</v>
          </cell>
          <cell r="D86">
            <v>212</v>
          </cell>
        </row>
        <row r="87">
          <cell r="B87">
            <v>72001187</v>
          </cell>
          <cell r="C87" t="str">
            <v>#187-레더페인트-Magenta</v>
          </cell>
          <cell r="D87">
            <v>121</v>
          </cell>
        </row>
        <row r="88">
          <cell r="B88">
            <v>72001188</v>
          </cell>
          <cell r="C88" t="str">
            <v>#188-레더페인트-Pink</v>
          </cell>
          <cell r="D88">
            <v>140</v>
          </cell>
        </row>
        <row r="89">
          <cell r="B89">
            <v>72001189</v>
          </cell>
          <cell r="C89" t="str">
            <v>#189-레더페인트-Petal Pink</v>
          </cell>
          <cell r="D89">
            <v>105</v>
          </cell>
        </row>
        <row r="90">
          <cell r="B90">
            <v>72001190</v>
          </cell>
          <cell r="C90" t="str">
            <v>#190-레더페인트-ScaletRed</v>
          </cell>
          <cell r="D90">
            <v>113</v>
          </cell>
        </row>
        <row r="91">
          <cell r="B91">
            <v>72001191</v>
          </cell>
          <cell r="C91" t="str">
            <v>#191-레더페인트-Shell Pink</v>
          </cell>
          <cell r="D91">
            <v>111</v>
          </cell>
        </row>
        <row r="92">
          <cell r="B92">
            <v>72001194</v>
          </cell>
          <cell r="C92" t="str">
            <v>#194-레더페인트-Caramel</v>
          </cell>
          <cell r="D92">
            <v>189</v>
          </cell>
        </row>
        <row r="93">
          <cell r="B93">
            <v>72001196</v>
          </cell>
          <cell r="C93" t="str">
            <v>#196-레더페인트-Mustard</v>
          </cell>
          <cell r="D93">
            <v>115</v>
          </cell>
        </row>
        <row r="94">
          <cell r="B94">
            <v>72001197</v>
          </cell>
          <cell r="C94" t="str">
            <v>#197-레더페인트-PaleYellow</v>
          </cell>
          <cell r="D94">
            <v>200</v>
          </cell>
        </row>
        <row r="95">
          <cell r="B95">
            <v>72001198</v>
          </cell>
          <cell r="C95" t="str">
            <v>#198-레더페인트-Buttercup</v>
          </cell>
          <cell r="D95">
            <v>52</v>
          </cell>
        </row>
        <row r="96">
          <cell r="B96">
            <v>72001260</v>
          </cell>
          <cell r="C96" t="str">
            <v>#260-레더페인트-Chili Red</v>
          </cell>
          <cell r="D96">
            <v>209</v>
          </cell>
        </row>
        <row r="97">
          <cell r="B97">
            <v>72001261</v>
          </cell>
          <cell r="C97" t="str">
            <v>#261-레더페인트-South Beach</v>
          </cell>
          <cell r="D97">
            <v>179</v>
          </cell>
        </row>
        <row r="98">
          <cell r="B98">
            <v>72001262</v>
          </cell>
          <cell r="C98" t="str">
            <v>#262-레더페인트-Play in the Sand</v>
          </cell>
          <cell r="D98">
            <v>128</v>
          </cell>
        </row>
        <row r="99">
          <cell r="B99">
            <v>72001263</v>
          </cell>
          <cell r="C99" t="str">
            <v>#263-레더페인트-Grinch Green</v>
          </cell>
          <cell r="D99">
            <v>154</v>
          </cell>
        </row>
        <row r="100">
          <cell r="B100">
            <v>72001264</v>
          </cell>
          <cell r="C100" t="str">
            <v>#264-레더페인트-Putty</v>
          </cell>
          <cell r="D100">
            <v>86</v>
          </cell>
        </row>
        <row r="101">
          <cell r="B101">
            <v>72001265</v>
          </cell>
          <cell r="C101" t="str">
            <v>#265-레더페인트-Tangerine</v>
          </cell>
          <cell r="D101">
            <v>177</v>
          </cell>
        </row>
        <row r="102">
          <cell r="B102">
            <v>72001266</v>
          </cell>
          <cell r="C102" t="str">
            <v>#266-레더페인트-Georgia Peach</v>
          </cell>
          <cell r="D102">
            <v>161</v>
          </cell>
        </row>
        <row r="103">
          <cell r="B103">
            <v>72001267</v>
          </cell>
          <cell r="C103" t="str">
            <v>#267-레더페인트-Salmon</v>
          </cell>
          <cell r="D103">
            <v>40</v>
          </cell>
        </row>
        <row r="104">
          <cell r="B104">
            <v>72001268</v>
          </cell>
          <cell r="C104" t="str">
            <v>#268-레더페인트-Rasberry</v>
          </cell>
          <cell r="D104">
            <v>140</v>
          </cell>
        </row>
        <row r="105">
          <cell r="B105">
            <v>72001269</v>
          </cell>
          <cell r="C105" t="str">
            <v>#269-레더페인트-Mint</v>
          </cell>
          <cell r="D105">
            <v>169</v>
          </cell>
        </row>
        <row r="106">
          <cell r="B106">
            <v>72001270</v>
          </cell>
          <cell r="C106" t="str">
            <v>#270-레더페인트-Vachetta</v>
          </cell>
          <cell r="D106">
            <v>85</v>
          </cell>
        </row>
        <row r="107">
          <cell r="B107">
            <v>72001272</v>
          </cell>
          <cell r="C107" t="str">
            <v>#272-레더페인트-Olive</v>
          </cell>
          <cell r="D107">
            <v>153</v>
          </cell>
        </row>
        <row r="108">
          <cell r="B108">
            <v>72001273</v>
          </cell>
          <cell r="C108" t="str">
            <v>#273-레더페인트-Bowler Brown</v>
          </cell>
          <cell r="D108">
            <v>119</v>
          </cell>
        </row>
        <row r="109">
          <cell r="B109">
            <v>72001274</v>
          </cell>
          <cell r="C109" t="str">
            <v>#274-레더페인트-Luggage Brown</v>
          </cell>
          <cell r="D109">
            <v>158</v>
          </cell>
        </row>
        <row r="110">
          <cell r="B110">
            <v>72001275</v>
          </cell>
          <cell r="C110" t="str">
            <v>#275-레더페인트-Satchel Tan</v>
          </cell>
          <cell r="D110">
            <v>141</v>
          </cell>
        </row>
        <row r="111">
          <cell r="A111" t="str">
            <v>1-2.콜렉터에디션</v>
          </cell>
          <cell r="B111">
            <v>72701310</v>
          </cell>
          <cell r="C111" t="str">
            <v>콜렉터에디션-#310-aqua</v>
          </cell>
          <cell r="D111">
            <v>66</v>
          </cell>
        </row>
        <row r="112">
          <cell r="B112">
            <v>72701312</v>
          </cell>
          <cell r="C112" t="str">
            <v>콜렉터에디션-#312-Blaze</v>
          </cell>
          <cell r="D112">
            <v>47</v>
          </cell>
        </row>
        <row r="113">
          <cell r="B113">
            <v>72701313</v>
          </cell>
          <cell r="C113" t="str">
            <v>콜렉터에디션-#313-Concord</v>
          </cell>
          <cell r="D113">
            <v>36</v>
          </cell>
        </row>
        <row r="114">
          <cell r="B114">
            <v>72701314</v>
          </cell>
          <cell r="C114" t="str">
            <v>콜렉터에디션-#314-Collector Edition  White Cement</v>
          </cell>
          <cell r="D114">
            <v>58</v>
          </cell>
        </row>
        <row r="115">
          <cell r="B115">
            <v>72701315</v>
          </cell>
          <cell r="C115" t="str">
            <v>콜렉터에디션-#315-Collector Edition  Volt</v>
          </cell>
          <cell r="D115">
            <v>99</v>
          </cell>
        </row>
        <row r="116">
          <cell r="B116">
            <v>72701317</v>
          </cell>
          <cell r="C116" t="str">
            <v>콜렉터에디션-#317-Emerald</v>
          </cell>
          <cell r="D116">
            <v>47</v>
          </cell>
        </row>
        <row r="117">
          <cell r="B117">
            <v>72701319</v>
          </cell>
          <cell r="C117" t="str">
            <v>콜렉터에디션-#319-Infrared</v>
          </cell>
          <cell r="D117">
            <v>60</v>
          </cell>
        </row>
        <row r="118">
          <cell r="B118">
            <v>72701321</v>
          </cell>
          <cell r="C118" t="str">
            <v>콜렉터에디션-#321-Maize</v>
          </cell>
          <cell r="D118">
            <v>120</v>
          </cell>
        </row>
        <row r="119">
          <cell r="B119">
            <v>72701323</v>
          </cell>
          <cell r="C119" t="str">
            <v>콜렉터에디션-#323-Mid Navy 8</v>
          </cell>
          <cell r="D119">
            <v>-1</v>
          </cell>
        </row>
        <row r="120">
          <cell r="B120">
            <v>72701324</v>
          </cell>
          <cell r="C120" t="str">
            <v>콜렉터에디션-#324-Millitary Blue</v>
          </cell>
          <cell r="D120">
            <v>85</v>
          </cell>
        </row>
        <row r="121">
          <cell r="B121">
            <v>72701326</v>
          </cell>
          <cell r="C121" t="str">
            <v>콜렉터에디션-#326-Royal5</v>
          </cell>
          <cell r="D121">
            <v>48</v>
          </cell>
        </row>
        <row r="122">
          <cell r="B122">
            <v>72701329</v>
          </cell>
          <cell r="C122" t="str">
            <v>콜렉터에디션-#329-Tru Blue</v>
          </cell>
          <cell r="D122">
            <v>51</v>
          </cell>
        </row>
        <row r="123">
          <cell r="B123">
            <v>72701330</v>
          </cell>
          <cell r="C123" t="str">
            <v>콜렉터에디션-#330-Collector Edition Varsity</v>
          </cell>
          <cell r="D123">
            <v>107</v>
          </cell>
        </row>
        <row r="124">
          <cell r="B124">
            <v>72701331</v>
          </cell>
          <cell r="C124" t="str">
            <v>콜렉터에디션-#331-Miami Vice</v>
          </cell>
          <cell r="D124">
            <v>68</v>
          </cell>
        </row>
        <row r="125">
          <cell r="B125">
            <v>72701332</v>
          </cell>
          <cell r="C125" t="str">
            <v>콜렉터에디션-#332-Melo2</v>
          </cell>
          <cell r="D125">
            <v>33</v>
          </cell>
        </row>
        <row r="126">
          <cell r="B126">
            <v>72701333</v>
          </cell>
          <cell r="C126" t="str">
            <v>콜렉터에디션-#333-DTRT Yellow</v>
          </cell>
          <cell r="D126">
            <v>29</v>
          </cell>
        </row>
        <row r="127">
          <cell r="B127">
            <v>72701334</v>
          </cell>
          <cell r="C127" t="str">
            <v>콜렉터에디션-#334-Play 8 Grey</v>
          </cell>
          <cell r="D127">
            <v>37</v>
          </cell>
        </row>
        <row r="128">
          <cell r="B128">
            <v>72701335</v>
          </cell>
          <cell r="C128" t="str">
            <v>콜렉터에디션-#335-Yeezy</v>
          </cell>
          <cell r="D128">
            <v>63</v>
          </cell>
        </row>
        <row r="129">
          <cell r="B129">
            <v>72701336</v>
          </cell>
          <cell r="C129" t="str">
            <v>콜렉터에디션-#336-Collector Edition  Maroon</v>
          </cell>
          <cell r="D129">
            <v>78</v>
          </cell>
        </row>
        <row r="130">
          <cell r="B130">
            <v>72701337</v>
          </cell>
          <cell r="C130" t="str">
            <v>콜렉터에디션-#337-Grape5</v>
          </cell>
          <cell r="D130">
            <v>56</v>
          </cell>
        </row>
        <row r="131">
          <cell r="B131">
            <v>72701338</v>
          </cell>
          <cell r="C131" t="str">
            <v>콜렉터에디션-#338-Squadron</v>
          </cell>
          <cell r="D131">
            <v>36</v>
          </cell>
        </row>
        <row r="132">
          <cell r="B132">
            <v>72701339</v>
          </cell>
          <cell r="C132" t="str">
            <v>콜렉터에디션-#339-French Blue</v>
          </cell>
          <cell r="D132">
            <v>41</v>
          </cell>
        </row>
        <row r="133">
          <cell r="B133">
            <v>72701341</v>
          </cell>
          <cell r="C133" t="str">
            <v>콜렉터에디션-#341-gamma Blue</v>
          </cell>
          <cell r="D133">
            <v>52</v>
          </cell>
        </row>
        <row r="134">
          <cell r="B134">
            <v>72701342</v>
          </cell>
          <cell r="C134" t="str">
            <v>콜렉터에디션-#342-Joker Green</v>
          </cell>
          <cell r="D134">
            <v>30</v>
          </cell>
        </row>
        <row r="135">
          <cell r="B135">
            <v>72701343</v>
          </cell>
          <cell r="C135" t="str">
            <v>콜렉터에디션-#343-Tour Yellow</v>
          </cell>
          <cell r="D135">
            <v>63</v>
          </cell>
        </row>
        <row r="136">
          <cell r="B136">
            <v>72701344</v>
          </cell>
          <cell r="C136" t="str">
            <v>콜렉터에디션-#344-Thunder Yellow</v>
          </cell>
          <cell r="D136">
            <v>66</v>
          </cell>
        </row>
        <row r="137">
          <cell r="B137">
            <v>72701345</v>
          </cell>
          <cell r="C137" t="str">
            <v>콜렉터에디션-#345-InfraRed 2014</v>
          </cell>
          <cell r="D137">
            <v>68</v>
          </cell>
        </row>
        <row r="138">
          <cell r="B138">
            <v>72701346</v>
          </cell>
          <cell r="C138" t="str">
            <v>콜렉터에디션-#346-Shattered Orange</v>
          </cell>
          <cell r="D138">
            <v>74</v>
          </cell>
        </row>
        <row r="139">
          <cell r="B139">
            <v>72701347</v>
          </cell>
          <cell r="C139" t="str">
            <v>콜렉터에디션-#347-Uni Blue</v>
          </cell>
          <cell r="D139">
            <v>73</v>
          </cell>
        </row>
        <row r="140">
          <cell r="B140">
            <v>72701348</v>
          </cell>
          <cell r="C140" t="str">
            <v>콜렉터에디션-#348-Shadow Grey</v>
          </cell>
          <cell r="D140">
            <v>95</v>
          </cell>
        </row>
        <row r="141">
          <cell r="A141" t="str">
            <v>1-3.네온페인트</v>
          </cell>
          <cell r="B141">
            <v>72501120</v>
          </cell>
          <cell r="C141" t="str">
            <v>네온페인트-#120-Rio Red</v>
          </cell>
          <cell r="D141">
            <v>182</v>
          </cell>
        </row>
        <row r="142">
          <cell r="B142">
            <v>72501121</v>
          </cell>
          <cell r="C142" t="str">
            <v>네온페인트-#121-TahitianPink</v>
          </cell>
          <cell r="D142">
            <v>135</v>
          </cell>
        </row>
        <row r="143">
          <cell r="B143">
            <v>72501122</v>
          </cell>
          <cell r="C143" t="str">
            <v>네온페인트-#122-JamaicanJoyPink</v>
          </cell>
          <cell r="D143">
            <v>179</v>
          </cell>
        </row>
        <row r="144">
          <cell r="B144">
            <v>72501123</v>
          </cell>
          <cell r="C144" t="str">
            <v>네온페인트-#123-ParisianPink</v>
          </cell>
          <cell r="D144">
            <v>165</v>
          </cell>
        </row>
        <row r="145">
          <cell r="B145">
            <v>72501124</v>
          </cell>
          <cell r="C145" t="str">
            <v>네온페인트-#124-ParadisePurple</v>
          </cell>
          <cell r="D145">
            <v>166</v>
          </cell>
        </row>
        <row r="146">
          <cell r="B146">
            <v>72501125</v>
          </cell>
          <cell r="C146" t="str">
            <v>네온페인트-#125-AmazonGreen</v>
          </cell>
          <cell r="D146">
            <v>65</v>
          </cell>
        </row>
        <row r="147">
          <cell r="B147">
            <v>72501126</v>
          </cell>
          <cell r="C147" t="str">
            <v>네온페인트-#126-PlposicleGreen</v>
          </cell>
          <cell r="D147">
            <v>143</v>
          </cell>
        </row>
        <row r="148">
          <cell r="B148">
            <v>72501127</v>
          </cell>
          <cell r="C148" t="str">
            <v>네온페인트-#127-TropicSunYellow</v>
          </cell>
          <cell r="D148">
            <v>32</v>
          </cell>
        </row>
        <row r="149">
          <cell r="B149">
            <v>72501128</v>
          </cell>
          <cell r="C149" t="str">
            <v>네온페인트-#128-SunsetYellow</v>
          </cell>
          <cell r="D149">
            <v>185</v>
          </cell>
        </row>
        <row r="150">
          <cell r="B150">
            <v>72501129</v>
          </cell>
          <cell r="C150" t="str">
            <v>네온페인트-#129-FlamingOrange</v>
          </cell>
          <cell r="D150">
            <v>179</v>
          </cell>
        </row>
        <row r="151">
          <cell r="B151">
            <v>72501130</v>
          </cell>
          <cell r="C151" t="str">
            <v>네온페인트-#130-LavaOrange</v>
          </cell>
          <cell r="D151">
            <v>157</v>
          </cell>
        </row>
        <row r="152">
          <cell r="B152">
            <v>72501131</v>
          </cell>
          <cell r="C152" t="str">
            <v>네온페인트-#131-BahamaBlue</v>
          </cell>
          <cell r="D152">
            <v>173</v>
          </cell>
        </row>
        <row r="153">
          <cell r="A153" t="str">
            <v>1-4.펄레슨트페인트</v>
          </cell>
          <cell r="B153">
            <v>73301451</v>
          </cell>
          <cell r="C153" t="str">
            <v>펄레슨트-#451-Riot Red</v>
          </cell>
          <cell r="D153">
            <v>76</v>
          </cell>
        </row>
        <row r="154">
          <cell r="B154">
            <v>73301452</v>
          </cell>
          <cell r="C154" t="str">
            <v>펄레슨트-#452-Pacific Blue</v>
          </cell>
          <cell r="D154">
            <v>76</v>
          </cell>
        </row>
        <row r="155">
          <cell r="B155">
            <v>73301453</v>
          </cell>
          <cell r="C155" t="str">
            <v>펄레슨트-#453-Prince Purple</v>
          </cell>
          <cell r="D155">
            <v>70</v>
          </cell>
        </row>
        <row r="156">
          <cell r="B156">
            <v>73301454</v>
          </cell>
          <cell r="C156" t="str">
            <v>펄레슨트-#454-Sterling Silver</v>
          </cell>
          <cell r="D156">
            <v>49</v>
          </cell>
        </row>
        <row r="157">
          <cell r="B157">
            <v>73301455</v>
          </cell>
          <cell r="C157" t="str">
            <v>펄레슨트-#455-18K Gold</v>
          </cell>
          <cell r="D157">
            <v>9</v>
          </cell>
        </row>
        <row r="158">
          <cell r="B158">
            <v>73301456</v>
          </cell>
          <cell r="C158" t="str">
            <v>펄레슨트-#456-Rose Gold</v>
          </cell>
          <cell r="D158">
            <v>39</v>
          </cell>
        </row>
        <row r="159">
          <cell r="B159">
            <v>73301457</v>
          </cell>
          <cell r="C159" t="str">
            <v>펄레슨트-#457-Emerald Green</v>
          </cell>
          <cell r="D159">
            <v>94</v>
          </cell>
        </row>
        <row r="160">
          <cell r="A160" t="str">
            <v>1-5.글리터라이트</v>
          </cell>
          <cell r="B160">
            <v>73001205</v>
          </cell>
          <cell r="C160" t="str">
            <v>글리터라이트-#205-White Sugar</v>
          </cell>
          <cell r="D160">
            <v>35</v>
          </cell>
        </row>
        <row r="161">
          <cell r="B161">
            <v>73001220</v>
          </cell>
          <cell r="C161" t="str">
            <v>글리터라이트-#220-Sky DesertGold</v>
          </cell>
          <cell r="D161">
            <v>7</v>
          </cell>
        </row>
        <row r="162">
          <cell r="B162">
            <v>73001221</v>
          </cell>
          <cell r="C162" t="str">
            <v>글리터라이트-#221-Penny Copper</v>
          </cell>
          <cell r="D162">
            <v>6</v>
          </cell>
        </row>
        <row r="163">
          <cell r="B163">
            <v>73001222</v>
          </cell>
          <cell r="C163" t="str">
            <v>글리터라이트-#222-Silver Spark</v>
          </cell>
          <cell r="D163">
            <v>-12</v>
          </cell>
        </row>
        <row r="164">
          <cell r="B164">
            <v>73001223</v>
          </cell>
          <cell r="C164" t="str">
            <v>글리터라이트-#223-GunMetal</v>
          </cell>
          <cell r="D164">
            <v>-11</v>
          </cell>
        </row>
        <row r="165">
          <cell r="B165">
            <v>73001224</v>
          </cell>
          <cell r="C165" t="str">
            <v>글리터라이트-#224-Emerald</v>
          </cell>
          <cell r="D165">
            <v>15</v>
          </cell>
        </row>
        <row r="166">
          <cell r="B166">
            <v>73001225</v>
          </cell>
          <cell r="C166" t="str">
            <v>글리터라이트-#225-Limelite</v>
          </cell>
          <cell r="D166">
            <v>26</v>
          </cell>
        </row>
        <row r="167">
          <cell r="B167">
            <v>73001226</v>
          </cell>
          <cell r="C167" t="str">
            <v>글리터라이트-#226-Sky Blue</v>
          </cell>
          <cell r="D167">
            <v>37</v>
          </cell>
        </row>
        <row r="168">
          <cell r="B168">
            <v>73001227</v>
          </cell>
          <cell r="C168" t="str">
            <v>글리터라이트-#227-Starlite Blue</v>
          </cell>
          <cell r="D168">
            <v>7</v>
          </cell>
        </row>
        <row r="169">
          <cell r="B169">
            <v>73001228</v>
          </cell>
          <cell r="C169" t="str">
            <v>글리터라이트-#228-Lavender Lace</v>
          </cell>
          <cell r="D169">
            <v>-3</v>
          </cell>
        </row>
        <row r="170">
          <cell r="B170">
            <v>73001229</v>
          </cell>
          <cell r="C170" t="str">
            <v>글리터라이트-#229-Princess Purple</v>
          </cell>
          <cell r="D170">
            <v>27</v>
          </cell>
        </row>
        <row r="171">
          <cell r="B171">
            <v>73001230</v>
          </cell>
          <cell r="C171" t="str">
            <v>글리터라이트-#230- Cany Pink</v>
          </cell>
          <cell r="D171">
            <v>17</v>
          </cell>
        </row>
        <row r="172">
          <cell r="B172">
            <v>73001231</v>
          </cell>
          <cell r="C172" t="str">
            <v>글리터라이트-#231-Ruby Red</v>
          </cell>
          <cell r="D172">
            <v>16</v>
          </cell>
        </row>
        <row r="173">
          <cell r="B173">
            <v>73001233</v>
          </cell>
          <cell r="C173" t="str">
            <v>글리터라이트-#233-Razzberry</v>
          </cell>
          <cell r="D173">
            <v>13</v>
          </cell>
        </row>
        <row r="174">
          <cell r="B174">
            <v>73001235</v>
          </cell>
          <cell r="C174" t="str">
            <v>글리터라이트-#235-Tuxedo Black</v>
          </cell>
          <cell r="D174">
            <v>-3</v>
          </cell>
        </row>
        <row r="175">
          <cell r="B175">
            <v>73001236</v>
          </cell>
          <cell r="C175" t="str">
            <v>글리터라이트-#236-Orange Orange</v>
          </cell>
          <cell r="D175">
            <v>22</v>
          </cell>
        </row>
        <row r="176">
          <cell r="B176">
            <v>73001237</v>
          </cell>
          <cell r="C176" t="str">
            <v>글리터라이트-#237-Ice Ice Blue</v>
          </cell>
          <cell r="D176">
            <v>8</v>
          </cell>
        </row>
        <row r="177">
          <cell r="B177">
            <v>73001238</v>
          </cell>
          <cell r="C177" t="str">
            <v>글리터라이트-#238-Baby Blue</v>
          </cell>
          <cell r="D177">
            <v>24</v>
          </cell>
        </row>
        <row r="178">
          <cell r="A178" t="str">
            <v>1-6.4oz페인트</v>
          </cell>
          <cell r="B178">
            <v>72004001</v>
          </cell>
          <cell r="C178" t="str">
            <v>4온즈-#001-레더페인트-Black</v>
          </cell>
          <cell r="D178">
            <v>256</v>
          </cell>
        </row>
        <row r="179">
          <cell r="B179">
            <v>72004004</v>
          </cell>
          <cell r="C179" t="str">
            <v>4온즈-#004-레더페인트-Neutral</v>
          </cell>
          <cell r="D179">
            <v>0</v>
          </cell>
        </row>
        <row r="180">
          <cell r="B180">
            <v>72004005</v>
          </cell>
          <cell r="C180" t="str">
            <v>4온즈-#005-레더페인트-White</v>
          </cell>
          <cell r="D180">
            <v>160</v>
          </cell>
        </row>
        <row r="181">
          <cell r="B181">
            <v>72004014</v>
          </cell>
          <cell r="C181" t="str">
            <v>4온즈-#014-레더페인트-Brown</v>
          </cell>
          <cell r="D181">
            <v>8</v>
          </cell>
        </row>
        <row r="182">
          <cell r="B182">
            <v>72004015</v>
          </cell>
          <cell r="C182" t="str">
            <v>4온즈-#015-레더페인트-Chocolate</v>
          </cell>
          <cell r="D182">
            <v>15</v>
          </cell>
        </row>
        <row r="183">
          <cell r="B183">
            <v>72004018</v>
          </cell>
          <cell r="C183" t="str">
            <v>4온즈-#018-레더페인트-DarkBrown</v>
          </cell>
          <cell r="D183">
            <v>0</v>
          </cell>
        </row>
        <row r="184">
          <cell r="B184">
            <v>72004019</v>
          </cell>
          <cell r="C184" t="str">
            <v>4온즈-#019-레더페인트-English Tan</v>
          </cell>
          <cell r="D184">
            <v>12</v>
          </cell>
        </row>
        <row r="185">
          <cell r="B185">
            <v>72004021</v>
          </cell>
          <cell r="C185" t="str">
            <v>4온즈-#021-레더페인트-LightBrown</v>
          </cell>
          <cell r="D185">
            <v>13</v>
          </cell>
        </row>
        <row r="186">
          <cell r="B186">
            <v>72004024</v>
          </cell>
          <cell r="C186" t="str">
            <v>4온즈-#024-레더페인트-Orange</v>
          </cell>
          <cell r="D186">
            <v>4</v>
          </cell>
        </row>
        <row r="187">
          <cell r="B187">
            <v>72004027</v>
          </cell>
          <cell r="C187" t="str">
            <v>4온즈-#027-레더페인트- SADDLE</v>
          </cell>
          <cell r="D187">
            <v>16</v>
          </cell>
        </row>
        <row r="188">
          <cell r="B188">
            <v>72004029</v>
          </cell>
          <cell r="C188" t="str">
            <v>4온즈-#029-레더페인트- Tan</v>
          </cell>
          <cell r="D188">
            <v>9</v>
          </cell>
        </row>
        <row r="189">
          <cell r="B189">
            <v>72004040</v>
          </cell>
          <cell r="C189" t="str">
            <v>4온즈-#040-레더페인트-BLUE</v>
          </cell>
          <cell r="D189">
            <v>36</v>
          </cell>
        </row>
        <row r="190">
          <cell r="B190">
            <v>72004041</v>
          </cell>
          <cell r="C190" t="str">
            <v>4온즈-#041-레더페인트-LightBLUE</v>
          </cell>
          <cell r="D190">
            <v>13</v>
          </cell>
        </row>
        <row r="191">
          <cell r="B191">
            <v>72004042</v>
          </cell>
          <cell r="C191" t="str">
            <v>4온즈-#042-레더페인트-NavyBlue</v>
          </cell>
          <cell r="D191">
            <v>2</v>
          </cell>
        </row>
        <row r="192">
          <cell r="B192">
            <v>72004043</v>
          </cell>
          <cell r="C192" t="str">
            <v>4온즈-#043-레더페인트-Turgouise</v>
          </cell>
          <cell r="D192">
            <v>4</v>
          </cell>
        </row>
        <row r="193">
          <cell r="B193">
            <v>72004045</v>
          </cell>
          <cell r="C193" t="str">
            <v>4온즈-#045-레더페인트-Blue Turquoise</v>
          </cell>
          <cell r="D193">
            <v>5</v>
          </cell>
        </row>
        <row r="194">
          <cell r="B194">
            <v>72004047</v>
          </cell>
          <cell r="C194" t="str">
            <v>4온즈-#047-레더페인트-Purple</v>
          </cell>
          <cell r="D194">
            <v>39</v>
          </cell>
        </row>
        <row r="195">
          <cell r="B195">
            <v>72004050</v>
          </cell>
          <cell r="C195" t="str">
            <v>4온즈-#050-레더페인트-Green</v>
          </cell>
          <cell r="D195">
            <v>31</v>
          </cell>
        </row>
        <row r="196">
          <cell r="B196">
            <v>72004052</v>
          </cell>
          <cell r="C196" t="str">
            <v>4온즈-#052-레더페인트-MidniteGreen</v>
          </cell>
          <cell r="D196">
            <v>5</v>
          </cell>
        </row>
        <row r="197">
          <cell r="B197">
            <v>72004060</v>
          </cell>
          <cell r="C197" t="str">
            <v>4온즈-#060-레더페인트-Burgundy</v>
          </cell>
          <cell r="D197">
            <v>2</v>
          </cell>
        </row>
        <row r="198">
          <cell r="B198">
            <v>72004064</v>
          </cell>
          <cell r="C198" t="str">
            <v>4온즈-#064-레더페인트-Red</v>
          </cell>
          <cell r="D198">
            <v>55</v>
          </cell>
        </row>
        <row r="199">
          <cell r="B199">
            <v>72004070</v>
          </cell>
          <cell r="C199" t="str">
            <v>4온즈-#070-레더페인트-Beige</v>
          </cell>
          <cell r="D199">
            <v>8</v>
          </cell>
        </row>
        <row r="200">
          <cell r="B200">
            <v>72004075</v>
          </cell>
          <cell r="C200" t="str">
            <v>4온즈-#075-레더페인트-Yellow</v>
          </cell>
          <cell r="D200">
            <v>15</v>
          </cell>
        </row>
        <row r="201">
          <cell r="B201">
            <v>72004080</v>
          </cell>
          <cell r="C201" t="str">
            <v>4온즈-#080-레더페인트-DarkGrey</v>
          </cell>
          <cell r="D201">
            <v>8</v>
          </cell>
        </row>
        <row r="202">
          <cell r="B202">
            <v>72004081</v>
          </cell>
          <cell r="C202" t="str">
            <v>4온즈-#081-레더페인트-Grey</v>
          </cell>
          <cell r="D202">
            <v>15</v>
          </cell>
        </row>
        <row r="203">
          <cell r="B203">
            <v>72004082</v>
          </cell>
          <cell r="C203" t="str">
            <v>4온즈-#082-레더페인트-LightGrey</v>
          </cell>
          <cell r="D203">
            <v>3</v>
          </cell>
        </row>
        <row r="204">
          <cell r="B204">
            <v>72004093</v>
          </cell>
          <cell r="C204" t="str">
            <v>4온즈-#093-레더페인트-Brick</v>
          </cell>
          <cell r="D204">
            <v>7</v>
          </cell>
        </row>
        <row r="205">
          <cell r="B205">
            <v>72004101</v>
          </cell>
          <cell r="C205" t="str">
            <v>4온즈-#101-레더페인트-Flat Black</v>
          </cell>
          <cell r="D205">
            <v>312</v>
          </cell>
        </row>
        <row r="206">
          <cell r="B206">
            <v>72004105</v>
          </cell>
          <cell r="C206" t="str">
            <v>4온즈-#105-레더페인트-Flat White</v>
          </cell>
          <cell r="D206">
            <v>227</v>
          </cell>
        </row>
        <row r="207">
          <cell r="B207">
            <v>72004150</v>
          </cell>
          <cell r="C207" t="str">
            <v>4온즈-#150-레더페인트-SILVER</v>
          </cell>
          <cell r="D207">
            <v>0</v>
          </cell>
        </row>
        <row r="208">
          <cell r="B208">
            <v>72004155</v>
          </cell>
          <cell r="C208" t="str">
            <v>4온즈-#155-레더페인트-Bone</v>
          </cell>
          <cell r="D208">
            <v>8</v>
          </cell>
        </row>
        <row r="209">
          <cell r="B209">
            <v>72004156</v>
          </cell>
          <cell r="C209" t="str">
            <v>4온즈-#156-레더페인트-Champagne</v>
          </cell>
          <cell r="D209">
            <v>7</v>
          </cell>
        </row>
        <row r="210">
          <cell r="B210">
            <v>72004157</v>
          </cell>
          <cell r="C210" t="str">
            <v>4온즈-#157-레더페인트-DarkBone</v>
          </cell>
          <cell r="D210">
            <v>15</v>
          </cell>
        </row>
        <row r="211">
          <cell r="B211">
            <v>72004159</v>
          </cell>
          <cell r="C211" t="str">
            <v>4온즈-#159-레더페인트-Mist</v>
          </cell>
          <cell r="D211">
            <v>6</v>
          </cell>
        </row>
        <row r="212">
          <cell r="B212">
            <v>72004160</v>
          </cell>
          <cell r="C212" t="str">
            <v>4온즈-#160-레더페인트-Vanilla</v>
          </cell>
          <cell r="D212">
            <v>5</v>
          </cell>
        </row>
        <row r="213">
          <cell r="B213">
            <v>72004161</v>
          </cell>
          <cell r="C213" t="str">
            <v>4온즈-#161-레더페인트-Natural</v>
          </cell>
          <cell r="D213">
            <v>9</v>
          </cell>
        </row>
        <row r="214">
          <cell r="B214">
            <v>72004162</v>
          </cell>
          <cell r="C214" t="str">
            <v>4온즈-#162-레더페인트-Cream</v>
          </cell>
          <cell r="D214">
            <v>2</v>
          </cell>
        </row>
        <row r="215">
          <cell r="B215">
            <v>72004163</v>
          </cell>
          <cell r="C215" t="str">
            <v>4온즈-#163-레더페인트-CapazioTan</v>
          </cell>
          <cell r="D215">
            <v>9</v>
          </cell>
        </row>
        <row r="216">
          <cell r="B216">
            <v>72004165</v>
          </cell>
          <cell r="C216" t="str">
            <v>4온즈-#165-레더페인트-BeigeTaupe</v>
          </cell>
          <cell r="D216">
            <v>10</v>
          </cell>
        </row>
        <row r="217">
          <cell r="B217">
            <v>72004166</v>
          </cell>
          <cell r="C217" t="str">
            <v>4온즈-#166-레더페인트-GreyTaupe</v>
          </cell>
          <cell r="D217">
            <v>15</v>
          </cell>
        </row>
        <row r="218">
          <cell r="B218">
            <v>72004167</v>
          </cell>
          <cell r="C218" t="str">
            <v>4온즈-#167-레더페인트-Taupe</v>
          </cell>
          <cell r="D218">
            <v>10</v>
          </cell>
        </row>
        <row r="219">
          <cell r="B219">
            <v>72004168</v>
          </cell>
          <cell r="C219" t="str">
            <v>4온즈-#168-레더페인트-DarkTaupe</v>
          </cell>
          <cell r="D219">
            <v>11</v>
          </cell>
        </row>
        <row r="220">
          <cell r="B220">
            <v>72004169</v>
          </cell>
          <cell r="C220" t="str">
            <v>4온즈-#169-레더페인트-Mauve</v>
          </cell>
          <cell r="D220">
            <v>12</v>
          </cell>
        </row>
        <row r="221">
          <cell r="B221">
            <v>72004170</v>
          </cell>
          <cell r="C221" t="str">
            <v>4온즈-#170-레더페인트-Avocado</v>
          </cell>
          <cell r="D221">
            <v>13</v>
          </cell>
        </row>
        <row r="222">
          <cell r="B222">
            <v>72004171</v>
          </cell>
          <cell r="C222" t="str">
            <v>4온즈-#171-레더페인트-DarkGreen</v>
          </cell>
          <cell r="D222">
            <v>8</v>
          </cell>
        </row>
        <row r="223">
          <cell r="B223">
            <v>72004172</v>
          </cell>
          <cell r="C223" t="str">
            <v>4온즈-#172-레더페인트-Light Green</v>
          </cell>
          <cell r="D223">
            <v>10</v>
          </cell>
        </row>
        <row r="224">
          <cell r="B224">
            <v>72004174</v>
          </cell>
          <cell r="C224" t="str">
            <v>4온즈-#174-레더페인트-GiftBoxBlue</v>
          </cell>
          <cell r="D224">
            <v>8</v>
          </cell>
        </row>
        <row r="225">
          <cell r="B225">
            <v>72004175</v>
          </cell>
          <cell r="C225" t="str">
            <v>4온즈-#175-레더페인트-Lylac</v>
          </cell>
          <cell r="D225">
            <v>15</v>
          </cell>
        </row>
        <row r="226">
          <cell r="B226">
            <v>72004176</v>
          </cell>
          <cell r="C226" t="str">
            <v>4온즈-#176-레더페인트-PaleBlue</v>
          </cell>
          <cell r="D226">
            <v>16</v>
          </cell>
        </row>
        <row r="227">
          <cell r="B227">
            <v>72004177</v>
          </cell>
          <cell r="C227" t="str">
            <v>4온즈-#177-레더페인트-Sapphire</v>
          </cell>
          <cell r="D227">
            <v>15</v>
          </cell>
        </row>
        <row r="228">
          <cell r="B228">
            <v>72004178</v>
          </cell>
          <cell r="C228" t="str">
            <v>4온즈-#178-레더페인트-Violet</v>
          </cell>
          <cell r="D228">
            <v>8</v>
          </cell>
        </row>
        <row r="229">
          <cell r="B229">
            <v>72004179</v>
          </cell>
          <cell r="C229" t="str">
            <v>4온즈-#179-레더페인트-DarkBlue</v>
          </cell>
          <cell r="D229">
            <v>10</v>
          </cell>
        </row>
        <row r="230">
          <cell r="B230">
            <v>72004180</v>
          </cell>
          <cell r="C230" t="str">
            <v>4온즈-#180-레더페인트-Cognac</v>
          </cell>
          <cell r="D230">
            <v>20</v>
          </cell>
        </row>
        <row r="231">
          <cell r="B231">
            <v>72004181</v>
          </cell>
          <cell r="C231" t="str">
            <v>4온즈-#181-레더페인트-RichBrown</v>
          </cell>
          <cell r="D231">
            <v>3</v>
          </cell>
        </row>
        <row r="232">
          <cell r="B232">
            <v>72004182</v>
          </cell>
          <cell r="C232" t="str">
            <v>4온즈-#182-레더페인트-Sand</v>
          </cell>
          <cell r="D232">
            <v>15</v>
          </cell>
        </row>
        <row r="233">
          <cell r="B233">
            <v>72004183</v>
          </cell>
          <cell r="C233" t="str">
            <v>4온즈-#183-레더페인트-TerraCottaRed</v>
          </cell>
          <cell r="D233">
            <v>14</v>
          </cell>
        </row>
        <row r="234">
          <cell r="B234">
            <v>72004184</v>
          </cell>
          <cell r="C234" t="str">
            <v>4온즈-#184-레더페인트-AutumnRed</v>
          </cell>
          <cell r="D234">
            <v>12</v>
          </cell>
        </row>
        <row r="235">
          <cell r="B235">
            <v>72004185</v>
          </cell>
          <cell r="C235" t="str">
            <v>4온즈-#185-레더페인트-FireRed</v>
          </cell>
          <cell r="D235">
            <v>12</v>
          </cell>
        </row>
        <row r="236">
          <cell r="B236">
            <v>72004186</v>
          </cell>
          <cell r="C236" t="str">
            <v>4온즈-#186-레더페인트-HotPink</v>
          </cell>
          <cell r="D236">
            <v>15</v>
          </cell>
        </row>
        <row r="237">
          <cell r="B237">
            <v>72004187</v>
          </cell>
          <cell r="C237" t="str">
            <v>4온즈-#187-레더페인트-Magenta</v>
          </cell>
          <cell r="D237">
            <v>8</v>
          </cell>
        </row>
        <row r="238">
          <cell r="B238">
            <v>72004188</v>
          </cell>
          <cell r="C238" t="str">
            <v>4온즈-#188-레더페인트-Pink</v>
          </cell>
          <cell r="D238">
            <v>1</v>
          </cell>
        </row>
        <row r="239">
          <cell r="B239">
            <v>72004189</v>
          </cell>
          <cell r="C239" t="str">
            <v>4온즈-#189-레더페인트-Petal Pink</v>
          </cell>
          <cell r="D239">
            <v>10</v>
          </cell>
        </row>
        <row r="240">
          <cell r="B240">
            <v>72004190</v>
          </cell>
          <cell r="C240" t="str">
            <v>4온즈-#190-레더페인트-ScaletRed</v>
          </cell>
          <cell r="D240">
            <v>3</v>
          </cell>
        </row>
        <row r="241">
          <cell r="B241">
            <v>72004191</v>
          </cell>
          <cell r="C241" t="str">
            <v>4온즈-#191-레더페인트-Shell Pink</v>
          </cell>
          <cell r="D241">
            <v>12</v>
          </cell>
        </row>
        <row r="242">
          <cell r="B242">
            <v>72004194</v>
          </cell>
          <cell r="C242" t="str">
            <v>4온즈-#194-레더페인트-Caramel</v>
          </cell>
          <cell r="D242">
            <v>10</v>
          </cell>
        </row>
        <row r="243">
          <cell r="B243">
            <v>72004196</v>
          </cell>
          <cell r="C243" t="str">
            <v>4온즈-#196-레더페인트-Mustard</v>
          </cell>
          <cell r="D243">
            <v>15</v>
          </cell>
        </row>
        <row r="244">
          <cell r="B244">
            <v>72004197</v>
          </cell>
          <cell r="C244" t="str">
            <v>4온즈-#197-레더페인트-PaleYellow</v>
          </cell>
          <cell r="D244">
            <v>15</v>
          </cell>
        </row>
        <row r="245">
          <cell r="B245">
            <v>72004198</v>
          </cell>
          <cell r="C245" t="str">
            <v>4온즈-#198-레더페인트-Buttercup</v>
          </cell>
          <cell r="D245">
            <v>10</v>
          </cell>
        </row>
        <row r="246">
          <cell r="B246">
            <v>72004260</v>
          </cell>
          <cell r="C246" t="str">
            <v>4온즈-#260-레더페인트-Chili Red</v>
          </cell>
          <cell r="D246">
            <v>17</v>
          </cell>
        </row>
        <row r="247">
          <cell r="B247">
            <v>72004261</v>
          </cell>
          <cell r="C247" t="str">
            <v>4온즈-#261-레더페인트-South Beach</v>
          </cell>
          <cell r="D247">
            <v>9</v>
          </cell>
        </row>
        <row r="248">
          <cell r="B248">
            <v>72004262</v>
          </cell>
          <cell r="C248" t="str">
            <v>4온즈-#262-레더페인트-Play in the Sand</v>
          </cell>
          <cell r="D248">
            <v>0</v>
          </cell>
        </row>
        <row r="249">
          <cell r="B249">
            <v>72004263</v>
          </cell>
          <cell r="C249" t="str">
            <v>4온즈-#263-레더페인트-Grinch Green</v>
          </cell>
          <cell r="D249">
            <v>15</v>
          </cell>
        </row>
        <row r="250">
          <cell r="B250">
            <v>72004264</v>
          </cell>
          <cell r="C250" t="str">
            <v>4온즈-#264-레더페인트-Putty</v>
          </cell>
          <cell r="D250">
            <v>1</v>
          </cell>
        </row>
        <row r="251">
          <cell r="B251">
            <v>72004265</v>
          </cell>
          <cell r="C251" t="str">
            <v>4온즈-#265-레더페인트-Tangerine</v>
          </cell>
          <cell r="D251">
            <v>24</v>
          </cell>
        </row>
        <row r="252">
          <cell r="B252">
            <v>72004266</v>
          </cell>
          <cell r="C252" t="str">
            <v>4온즈-#266-레더페인트-Georgia Peach</v>
          </cell>
          <cell r="D252">
            <v>14</v>
          </cell>
        </row>
        <row r="253">
          <cell r="B253">
            <v>72004267</v>
          </cell>
          <cell r="C253" t="str">
            <v>4온즈-#267-레더페인트-Salmon</v>
          </cell>
          <cell r="D253">
            <v>13</v>
          </cell>
        </row>
        <row r="254">
          <cell r="B254">
            <v>72004268</v>
          </cell>
          <cell r="C254" t="str">
            <v>4온즈-#268-레더페인트-Rasberry</v>
          </cell>
          <cell r="D254">
            <v>14</v>
          </cell>
        </row>
        <row r="255">
          <cell r="B255">
            <v>72004269</v>
          </cell>
          <cell r="C255" t="str">
            <v>4온즈-#269-레더페인트-Mint</v>
          </cell>
          <cell r="D255">
            <v>10</v>
          </cell>
        </row>
        <row r="256">
          <cell r="B256">
            <v>72004270</v>
          </cell>
          <cell r="C256" t="str">
            <v>4온즈-#270-레더페인트-Vachetta</v>
          </cell>
          <cell r="D256">
            <v>5</v>
          </cell>
        </row>
        <row r="257">
          <cell r="B257">
            <v>72004272</v>
          </cell>
          <cell r="C257" t="str">
            <v>4온즈-#272-레더페인트-Olive</v>
          </cell>
          <cell r="D257">
            <v>10</v>
          </cell>
        </row>
        <row r="258">
          <cell r="B258">
            <v>72004273</v>
          </cell>
          <cell r="C258" t="str">
            <v>4온즈-#273-레더페인트-Bowler Brown</v>
          </cell>
          <cell r="D258">
            <v>2</v>
          </cell>
        </row>
        <row r="259">
          <cell r="B259">
            <v>72004274</v>
          </cell>
          <cell r="C259" t="str">
            <v>4온즈-#274-레더페인트-Luggage Brown</v>
          </cell>
          <cell r="D259">
            <v>17</v>
          </cell>
        </row>
        <row r="260">
          <cell r="B260">
            <v>72004275</v>
          </cell>
          <cell r="C260" t="str">
            <v>4온즈-#275-레더페인트-Satchel Tan</v>
          </cell>
          <cell r="D260">
            <v>18</v>
          </cell>
        </row>
        <row r="261">
          <cell r="B261">
            <v>72504120</v>
          </cell>
          <cell r="C261" t="str">
            <v>[네온페인트]4온즈-#120-Rio Red</v>
          </cell>
          <cell r="D261">
            <v>4</v>
          </cell>
        </row>
        <row r="262">
          <cell r="B262">
            <v>72504121</v>
          </cell>
          <cell r="C262" t="str">
            <v>[네온페인트]4온즈-#121-TahitianPink</v>
          </cell>
          <cell r="D262">
            <v>13</v>
          </cell>
        </row>
        <row r="263">
          <cell r="B263">
            <v>72504122</v>
          </cell>
          <cell r="C263" t="str">
            <v>[네온페인트]4온즈-#122-JamaicanJoyPink</v>
          </cell>
          <cell r="D263">
            <v>5</v>
          </cell>
        </row>
        <row r="264">
          <cell r="B264">
            <v>72504123</v>
          </cell>
          <cell r="C264" t="str">
            <v>[네온페인트]4온즈-#123-ParisianPink</v>
          </cell>
          <cell r="D264">
            <v>14</v>
          </cell>
        </row>
        <row r="265">
          <cell r="B265">
            <v>72504124</v>
          </cell>
          <cell r="C265" t="str">
            <v>[네온페인트]4온즈-#124-ParadisePurple</v>
          </cell>
          <cell r="D265">
            <v>17</v>
          </cell>
        </row>
        <row r="266">
          <cell r="B266">
            <v>72504125</v>
          </cell>
          <cell r="C266" t="str">
            <v>[네온페인트]4온즈-#125-AmazonGreen</v>
          </cell>
          <cell r="D266">
            <v>7</v>
          </cell>
        </row>
        <row r="267">
          <cell r="B267">
            <v>72504126</v>
          </cell>
          <cell r="C267" t="str">
            <v>[네온페인트]4온즈-#126-PlposicleGreen</v>
          </cell>
          <cell r="D267">
            <v>15</v>
          </cell>
        </row>
        <row r="268">
          <cell r="B268">
            <v>72504127</v>
          </cell>
          <cell r="C268" t="str">
            <v>[네온페인트]4온즈-#127-TropicSunYellow</v>
          </cell>
          <cell r="D268">
            <v>8</v>
          </cell>
        </row>
        <row r="269">
          <cell r="B269">
            <v>72504128</v>
          </cell>
          <cell r="C269" t="str">
            <v>[네온페인트]4온즈-#128-SunsetYellow</v>
          </cell>
          <cell r="D269">
            <v>7</v>
          </cell>
        </row>
        <row r="270">
          <cell r="B270">
            <v>72504129</v>
          </cell>
          <cell r="C270" t="str">
            <v>[네온페인트]4온즈-#129-FlamingOrange</v>
          </cell>
          <cell r="D270">
            <v>5</v>
          </cell>
        </row>
        <row r="271">
          <cell r="B271">
            <v>72504130</v>
          </cell>
          <cell r="C271" t="str">
            <v>[네온페인트]4온즈-#130-LavaOrange</v>
          </cell>
          <cell r="D271">
            <v>15</v>
          </cell>
        </row>
        <row r="272">
          <cell r="B272">
            <v>72504131</v>
          </cell>
          <cell r="C272" t="str">
            <v>[네온페인트]4온즈-#131-BahamaBlue</v>
          </cell>
          <cell r="D272">
            <v>8</v>
          </cell>
        </row>
        <row r="273">
          <cell r="B273">
            <v>73201141</v>
          </cell>
          <cell r="C273" t="str">
            <v>4온즈-#141-레더페인트-Copper</v>
          </cell>
          <cell r="D273">
            <v>9</v>
          </cell>
        </row>
        <row r="274">
          <cell r="B274">
            <v>73201142</v>
          </cell>
          <cell r="C274" t="str">
            <v>4온즈-#142-레더페인트-Bronze</v>
          </cell>
          <cell r="D274">
            <v>17</v>
          </cell>
        </row>
        <row r="275">
          <cell r="B275">
            <v>73201143</v>
          </cell>
          <cell r="C275" t="str">
            <v>4온즈-#143-레더페인트-Pewter</v>
          </cell>
          <cell r="D275">
            <v>16</v>
          </cell>
        </row>
        <row r="276">
          <cell r="B276">
            <v>73204072</v>
          </cell>
          <cell r="C276" t="str">
            <v>4온즈-#072-레더페인트-Gold</v>
          </cell>
          <cell r="D276">
            <v>17</v>
          </cell>
        </row>
        <row r="277">
          <cell r="B277">
            <v>73304451</v>
          </cell>
          <cell r="C277" t="str">
            <v>[펄레슨트]4온즈-#451-Riot Red</v>
          </cell>
          <cell r="D277">
            <v>4</v>
          </cell>
        </row>
        <row r="278">
          <cell r="B278">
            <v>73304452</v>
          </cell>
          <cell r="C278" t="str">
            <v>[펄레슨트]4온즈-#452-Pacific Blue</v>
          </cell>
          <cell r="D278">
            <v>16</v>
          </cell>
        </row>
        <row r="279">
          <cell r="B279">
            <v>73304453</v>
          </cell>
          <cell r="C279" t="str">
            <v>[펄레슨트]4온즈-#453-Prince Purple</v>
          </cell>
          <cell r="D279">
            <v>17</v>
          </cell>
        </row>
        <row r="280">
          <cell r="B280">
            <v>73304454</v>
          </cell>
          <cell r="C280" t="str">
            <v>[펄레슨트]4온즈-#454-Sterling Silver</v>
          </cell>
          <cell r="D280">
            <v>3</v>
          </cell>
        </row>
        <row r="281">
          <cell r="B281">
            <v>73304455</v>
          </cell>
          <cell r="C281" t="str">
            <v>[펄레슨트]4온즈-#455-18K Gold</v>
          </cell>
          <cell r="D281">
            <v>7</v>
          </cell>
        </row>
        <row r="282">
          <cell r="B282">
            <v>73304456</v>
          </cell>
          <cell r="C282" t="str">
            <v>[펄레슨트]4온즈-#456-Rose Gold</v>
          </cell>
          <cell r="D282">
            <v>12</v>
          </cell>
        </row>
        <row r="283">
          <cell r="B283">
            <v>73304457</v>
          </cell>
          <cell r="C283" t="str">
            <v>[펄레슨트]4온즈-#457-Emerald Green</v>
          </cell>
          <cell r="D283">
            <v>5</v>
          </cell>
        </row>
        <row r="284">
          <cell r="A284" t="str">
            <v>16.기타</v>
          </cell>
          <cell r="B284" t="str">
            <v>79912PKBASICSKIT</v>
          </cell>
          <cell r="C284" t="str">
            <v>베이직 키트</v>
          </cell>
          <cell r="D284">
            <v>654</v>
          </cell>
        </row>
        <row r="285">
          <cell r="A285" t="str">
            <v>1-7-보조재</v>
          </cell>
          <cell r="B285">
            <v>72001000</v>
          </cell>
          <cell r="C285" t="str">
            <v>[희석재]2-Thin</v>
          </cell>
          <cell r="D285">
            <v>933</v>
          </cell>
        </row>
        <row r="286">
          <cell r="B286">
            <v>72004000</v>
          </cell>
          <cell r="C286" t="str">
            <v>[희석재]2-Thin 4oz</v>
          </cell>
          <cell r="D286">
            <v>182</v>
          </cell>
        </row>
        <row r="287">
          <cell r="B287">
            <v>72201000</v>
          </cell>
          <cell r="C287" t="str">
            <v>[희석재]둘러-1온즈</v>
          </cell>
          <cell r="D287">
            <v>627</v>
          </cell>
        </row>
        <row r="288">
          <cell r="B288">
            <v>72204000</v>
          </cell>
          <cell r="C288" t="str">
            <v>[희석재]둘러-4온즈</v>
          </cell>
          <cell r="D288">
            <v>84</v>
          </cell>
        </row>
        <row r="289">
          <cell r="B289" t="str">
            <v>720PT000</v>
          </cell>
          <cell r="C289" t="str">
            <v>[희석재]2-Thin Pint</v>
          </cell>
          <cell r="D289">
            <v>0</v>
          </cell>
        </row>
        <row r="290">
          <cell r="B290" t="str">
            <v>72201000hard</v>
          </cell>
          <cell r="C290" t="str">
            <v>[희석재]2-하드 1온즈</v>
          </cell>
          <cell r="D290">
            <v>157</v>
          </cell>
        </row>
        <row r="291">
          <cell r="B291" t="str">
            <v>72201000soft</v>
          </cell>
          <cell r="C291" t="str">
            <v>[희석재]2-소프트 1온즈</v>
          </cell>
          <cell r="D291">
            <v>291</v>
          </cell>
        </row>
        <row r="292">
          <cell r="B292" t="str">
            <v>72204000hard</v>
          </cell>
          <cell r="C292" t="str">
            <v>[희석재]2-하드 4온즈</v>
          </cell>
          <cell r="D292">
            <v>47</v>
          </cell>
        </row>
        <row r="293">
          <cell r="B293" t="str">
            <v>72204000soft</v>
          </cell>
          <cell r="C293" t="str">
            <v>[희석재]2-소프트 4온즈</v>
          </cell>
          <cell r="D293">
            <v>50</v>
          </cell>
        </row>
        <row r="294">
          <cell r="A294" t="str">
            <v>2-1.레더다이</v>
          </cell>
          <cell r="B294">
            <v>50003002</v>
          </cell>
          <cell r="C294" t="str">
            <v>레더다이-#002-Jet Black</v>
          </cell>
          <cell r="D294">
            <v>396</v>
          </cell>
        </row>
        <row r="295">
          <cell r="B295">
            <v>50003003</v>
          </cell>
          <cell r="C295" t="str">
            <v>레더다이-#003-Neutral</v>
          </cell>
          <cell r="D295">
            <v>21</v>
          </cell>
        </row>
        <row r="296">
          <cell r="B296">
            <v>50003010</v>
          </cell>
          <cell r="C296" t="str">
            <v>레더다이-#010-ArmyTan</v>
          </cell>
          <cell r="D296">
            <v>41</v>
          </cell>
        </row>
        <row r="297">
          <cell r="B297">
            <v>50003011</v>
          </cell>
          <cell r="C297" t="str">
            <v>레더다이-#011-Mahogany</v>
          </cell>
          <cell r="D297">
            <v>32</v>
          </cell>
        </row>
        <row r="298">
          <cell r="B298">
            <v>50003014</v>
          </cell>
          <cell r="C298" t="str">
            <v>레더다이-#014-Brown</v>
          </cell>
          <cell r="D298">
            <v>59</v>
          </cell>
        </row>
        <row r="299">
          <cell r="B299">
            <v>50003015</v>
          </cell>
          <cell r="C299" t="str">
            <v>레더다이-#015-Chocolate</v>
          </cell>
          <cell r="D299">
            <v>1</v>
          </cell>
        </row>
        <row r="300">
          <cell r="B300">
            <v>50003017</v>
          </cell>
          <cell r="C300" t="str">
            <v>레더다이-#017-Cordovan</v>
          </cell>
          <cell r="D300">
            <v>33</v>
          </cell>
        </row>
        <row r="301">
          <cell r="B301">
            <v>50003018</v>
          </cell>
          <cell r="C301" t="str">
            <v>레더다이-#018-DarkBrown</v>
          </cell>
          <cell r="D301">
            <v>7</v>
          </cell>
        </row>
        <row r="302">
          <cell r="B302">
            <v>50003019</v>
          </cell>
          <cell r="C302" t="str">
            <v>레더다이-#019-EnglishTan</v>
          </cell>
          <cell r="D302">
            <v>25</v>
          </cell>
        </row>
        <row r="303">
          <cell r="B303">
            <v>50003021</v>
          </cell>
          <cell r="C303" t="str">
            <v>레더다이-#021-LightBrown</v>
          </cell>
          <cell r="D303">
            <v>24</v>
          </cell>
        </row>
        <row r="304">
          <cell r="B304">
            <v>50003022</v>
          </cell>
          <cell r="C304" t="str">
            <v>레더다이-#022-LightBrown A</v>
          </cell>
          <cell r="D304">
            <v>48</v>
          </cell>
        </row>
        <row r="305">
          <cell r="B305">
            <v>50003023</v>
          </cell>
          <cell r="C305" t="str">
            <v>레더다이-#023-Med.Brown</v>
          </cell>
          <cell r="D305">
            <v>36</v>
          </cell>
        </row>
        <row r="306">
          <cell r="B306">
            <v>50003024</v>
          </cell>
          <cell r="C306" t="str">
            <v>레더다이-#024-Orange</v>
          </cell>
          <cell r="D306">
            <v>67</v>
          </cell>
        </row>
        <row r="307">
          <cell r="B307">
            <v>50003028</v>
          </cell>
          <cell r="C307" t="str">
            <v>레더다이-#028-SunTan</v>
          </cell>
          <cell r="D307">
            <v>52</v>
          </cell>
        </row>
        <row r="308">
          <cell r="B308">
            <v>50003029</v>
          </cell>
          <cell r="C308" t="str">
            <v>레더다이-#029-Tan</v>
          </cell>
          <cell r="D308">
            <v>25</v>
          </cell>
        </row>
        <row r="309">
          <cell r="B309">
            <v>50003040</v>
          </cell>
          <cell r="C309" t="str">
            <v>레더다이-#040-Blue</v>
          </cell>
          <cell r="D309">
            <v>63</v>
          </cell>
        </row>
        <row r="310">
          <cell r="B310">
            <v>50003041</v>
          </cell>
          <cell r="C310" t="str">
            <v>레더다이-#041-LightBlue</v>
          </cell>
          <cell r="D310">
            <v>32</v>
          </cell>
        </row>
        <row r="311">
          <cell r="B311">
            <v>50003042</v>
          </cell>
          <cell r="C311" t="str">
            <v>레더다이-#042-NavyBlue</v>
          </cell>
          <cell r="D311">
            <v>0</v>
          </cell>
        </row>
        <row r="312">
          <cell r="B312">
            <v>50003043</v>
          </cell>
          <cell r="C312" t="str">
            <v>레더다이-#043-Turquoise</v>
          </cell>
          <cell r="D312">
            <v>49</v>
          </cell>
        </row>
        <row r="313">
          <cell r="B313">
            <v>50003044</v>
          </cell>
          <cell r="C313" t="str">
            <v>레더다이-#044-BlueJean</v>
          </cell>
          <cell r="D313">
            <v>31</v>
          </cell>
        </row>
        <row r="314">
          <cell r="B314">
            <v>50003047</v>
          </cell>
          <cell r="C314" t="str">
            <v>레더다이-#047-Puple</v>
          </cell>
          <cell r="D314">
            <v>47</v>
          </cell>
        </row>
        <row r="315">
          <cell r="B315">
            <v>50003050</v>
          </cell>
          <cell r="C315" t="str">
            <v>레더다이-#050-Green</v>
          </cell>
          <cell r="D315">
            <v>48</v>
          </cell>
        </row>
        <row r="316">
          <cell r="B316">
            <v>50003051</v>
          </cell>
          <cell r="C316" t="str">
            <v>레더다이-#051-KellyGreen</v>
          </cell>
          <cell r="D316">
            <v>49</v>
          </cell>
        </row>
        <row r="317">
          <cell r="B317">
            <v>50003060</v>
          </cell>
          <cell r="C317" t="str">
            <v>레더다이-#060-Burgundy</v>
          </cell>
          <cell r="D317">
            <v>16</v>
          </cell>
        </row>
        <row r="318">
          <cell r="B318">
            <v>50003062</v>
          </cell>
          <cell r="C318" t="str">
            <v>레더다이-#062-OxBlood</v>
          </cell>
          <cell r="D318">
            <v>51</v>
          </cell>
        </row>
        <row r="319">
          <cell r="B319">
            <v>50003064</v>
          </cell>
          <cell r="C319" t="str">
            <v>레더다이-#064-Red</v>
          </cell>
          <cell r="D319">
            <v>43</v>
          </cell>
        </row>
        <row r="320">
          <cell r="B320">
            <v>50003065</v>
          </cell>
          <cell r="C320" t="str">
            <v>레더다이-#065-Wine-Tone</v>
          </cell>
          <cell r="D320">
            <v>42</v>
          </cell>
        </row>
        <row r="321">
          <cell r="B321">
            <v>50003072</v>
          </cell>
          <cell r="C321" t="str">
            <v>레더다이-#072-Gold</v>
          </cell>
          <cell r="D321">
            <v>63</v>
          </cell>
        </row>
        <row r="322">
          <cell r="B322">
            <v>50003075</v>
          </cell>
          <cell r="C322" t="str">
            <v>레더다이-#075-Yellow</v>
          </cell>
          <cell r="D322">
            <v>53</v>
          </cell>
        </row>
        <row r="323">
          <cell r="B323">
            <v>50003091</v>
          </cell>
          <cell r="C323" t="str">
            <v>레더다이-#091-BismarkBrown</v>
          </cell>
          <cell r="D323">
            <v>56</v>
          </cell>
        </row>
        <row r="324">
          <cell r="B324">
            <v>50003092</v>
          </cell>
          <cell r="C324" t="str">
            <v>레더다이-#092-Brandy</v>
          </cell>
          <cell r="D324">
            <v>44</v>
          </cell>
        </row>
        <row r="325">
          <cell r="B325">
            <v>50003093</v>
          </cell>
          <cell r="C325" t="str">
            <v>레더다이-#093-Brick</v>
          </cell>
          <cell r="D325">
            <v>52</v>
          </cell>
        </row>
        <row r="326">
          <cell r="B326">
            <v>50003094</v>
          </cell>
          <cell r="C326" t="str">
            <v>레더다이-#094-Honey</v>
          </cell>
          <cell r="D326">
            <v>45</v>
          </cell>
        </row>
        <row r="327">
          <cell r="B327">
            <v>50003095</v>
          </cell>
          <cell r="C327" t="str">
            <v>레더다이-#095-Russet</v>
          </cell>
          <cell r="D327">
            <v>63</v>
          </cell>
        </row>
        <row r="328">
          <cell r="B328">
            <v>50003096</v>
          </cell>
          <cell r="C328" t="str">
            <v>레더다이-#096-Spice</v>
          </cell>
          <cell r="D328">
            <v>44</v>
          </cell>
        </row>
        <row r="329">
          <cell r="B329">
            <v>50003097</v>
          </cell>
          <cell r="C329" t="str">
            <v>레더다이-#097-Coffee</v>
          </cell>
          <cell r="D329">
            <v>31</v>
          </cell>
        </row>
        <row r="330">
          <cell r="B330">
            <v>50003173</v>
          </cell>
          <cell r="C330" t="str">
            <v>레더다이-#173-Jade</v>
          </cell>
          <cell r="D330">
            <v>51</v>
          </cell>
        </row>
        <row r="331">
          <cell r="B331">
            <v>50003192</v>
          </cell>
          <cell r="C331" t="str">
            <v>레더다이-#192-Rose</v>
          </cell>
          <cell r="D331">
            <v>41</v>
          </cell>
        </row>
        <row r="332">
          <cell r="B332">
            <v>50003193</v>
          </cell>
          <cell r="C332" t="str">
            <v>레더다이-#193-Lt.Rose</v>
          </cell>
          <cell r="D332">
            <v>56</v>
          </cell>
        </row>
        <row r="333">
          <cell r="B333">
            <v>50003507</v>
          </cell>
          <cell r="C333" t="str">
            <v>레더다이-#507 Special Black</v>
          </cell>
          <cell r="D333">
            <v>164</v>
          </cell>
        </row>
        <row r="334">
          <cell r="B334">
            <v>50703001</v>
          </cell>
          <cell r="C334" t="str">
            <v>레더다이-#507 Special Black</v>
          </cell>
          <cell r="D334">
            <v>0</v>
          </cell>
        </row>
        <row r="335">
          <cell r="A335" t="str">
            <v>2-2.스웨이드다이</v>
          </cell>
          <cell r="B335">
            <v>52003001</v>
          </cell>
          <cell r="C335" t="str">
            <v>스웨이드다이-#001-Black</v>
          </cell>
          <cell r="D335">
            <v>0</v>
          </cell>
        </row>
        <row r="336">
          <cell r="B336">
            <v>52003004</v>
          </cell>
          <cell r="C336" t="str">
            <v>스웨이드다이-#004-Neutral</v>
          </cell>
          <cell r="D336">
            <v>37</v>
          </cell>
        </row>
        <row r="337">
          <cell r="B337">
            <v>52003014</v>
          </cell>
          <cell r="C337" t="str">
            <v>스웨이드다이-#014-Brown</v>
          </cell>
          <cell r="D337">
            <v>72</v>
          </cell>
        </row>
        <row r="338">
          <cell r="B338">
            <v>52003018</v>
          </cell>
          <cell r="C338" t="str">
            <v>스웨이드다이-#018-DarkBrown</v>
          </cell>
          <cell r="D338">
            <v>79</v>
          </cell>
        </row>
        <row r="339">
          <cell r="B339">
            <v>52003021</v>
          </cell>
          <cell r="C339" t="str">
            <v>스웨이드다이-#021-LightBrown</v>
          </cell>
          <cell r="D339">
            <v>58</v>
          </cell>
        </row>
        <row r="340">
          <cell r="B340">
            <v>52003026</v>
          </cell>
          <cell r="C340" t="str">
            <v>스웨이드다이-#026-Rust</v>
          </cell>
          <cell r="D340">
            <v>25</v>
          </cell>
        </row>
        <row r="341">
          <cell r="B341">
            <v>52003029</v>
          </cell>
          <cell r="C341" t="str">
            <v>스웨이드다이-#029-Tan</v>
          </cell>
          <cell r="D341">
            <v>45</v>
          </cell>
        </row>
        <row r="342">
          <cell r="B342">
            <v>52003040</v>
          </cell>
          <cell r="C342" t="str">
            <v>스웨이드다이-#040-Blue</v>
          </cell>
          <cell r="D342">
            <v>40</v>
          </cell>
        </row>
        <row r="343">
          <cell r="B343">
            <v>52003041</v>
          </cell>
          <cell r="C343" t="str">
            <v>스웨이드다이-#041-LightBlue</v>
          </cell>
          <cell r="D343">
            <v>23</v>
          </cell>
        </row>
        <row r="344">
          <cell r="B344">
            <v>52003042</v>
          </cell>
          <cell r="C344" t="str">
            <v>스웨이드다이-#042-NavyBlue</v>
          </cell>
          <cell r="D344">
            <v>0</v>
          </cell>
        </row>
        <row r="345">
          <cell r="B345">
            <v>52003047</v>
          </cell>
          <cell r="C345" t="str">
            <v>스웨이드다이-#047-Puple</v>
          </cell>
          <cell r="D345">
            <v>46</v>
          </cell>
        </row>
        <row r="346">
          <cell r="B346">
            <v>52003050</v>
          </cell>
          <cell r="C346" t="str">
            <v>스웨이드다이-#050-Green</v>
          </cell>
          <cell r="D346">
            <v>22</v>
          </cell>
        </row>
        <row r="347">
          <cell r="B347">
            <v>52003051</v>
          </cell>
          <cell r="C347" t="str">
            <v>스웨이드다이-#051-KellyGreen</v>
          </cell>
          <cell r="D347">
            <v>39</v>
          </cell>
        </row>
        <row r="348">
          <cell r="B348">
            <v>52003060</v>
          </cell>
          <cell r="C348" t="str">
            <v>스웨이드다이-#060-Burgundy</v>
          </cell>
          <cell r="D348">
            <v>43</v>
          </cell>
        </row>
        <row r="349">
          <cell r="B349">
            <v>52003061</v>
          </cell>
          <cell r="C349" t="str">
            <v>스웨이드다이-#061-DarkRed</v>
          </cell>
          <cell r="D349">
            <v>36</v>
          </cell>
        </row>
        <row r="350">
          <cell r="B350">
            <v>52003064</v>
          </cell>
          <cell r="C350" t="str">
            <v>스웨이드다이-#064-Red</v>
          </cell>
          <cell r="D350">
            <v>13</v>
          </cell>
        </row>
        <row r="351">
          <cell r="B351">
            <v>52003065</v>
          </cell>
          <cell r="C351" t="str">
            <v>스웨이드다이-#065-Wine-Tone</v>
          </cell>
          <cell r="D351">
            <v>65</v>
          </cell>
        </row>
        <row r="352">
          <cell r="B352">
            <v>52003070</v>
          </cell>
          <cell r="C352" t="str">
            <v>스웨이드다이-#070-Beige</v>
          </cell>
          <cell r="D352">
            <v>33</v>
          </cell>
        </row>
        <row r="353">
          <cell r="B353">
            <v>52003071</v>
          </cell>
          <cell r="C353" t="str">
            <v>스웨이드다이-#071-Chamois</v>
          </cell>
          <cell r="D353">
            <v>64</v>
          </cell>
        </row>
        <row r="354">
          <cell r="B354">
            <v>52003075</v>
          </cell>
          <cell r="C354" t="str">
            <v>스웨이드다이-#075-Yellow</v>
          </cell>
          <cell r="D354">
            <v>66</v>
          </cell>
        </row>
        <row r="355">
          <cell r="B355">
            <v>52003080</v>
          </cell>
          <cell r="C355" t="str">
            <v>스웨이드다이-#080-DarkGrey</v>
          </cell>
          <cell r="D355">
            <v>21</v>
          </cell>
        </row>
        <row r="356">
          <cell r="B356">
            <v>52003081</v>
          </cell>
          <cell r="C356" t="str">
            <v>스웨이드다이-#081-Grey</v>
          </cell>
          <cell r="D356">
            <v>48</v>
          </cell>
        </row>
        <row r="357">
          <cell r="B357">
            <v>52003082</v>
          </cell>
          <cell r="C357" t="str">
            <v>스웨이드다이-#082-LightGrey</v>
          </cell>
          <cell r="D357">
            <v>30</v>
          </cell>
        </row>
        <row r="358">
          <cell r="B358">
            <v>52003175</v>
          </cell>
          <cell r="C358" t="str">
            <v>스웨이드다이-#175-Lilac</v>
          </cell>
          <cell r="D358">
            <v>76</v>
          </cell>
        </row>
        <row r="359">
          <cell r="B359">
            <v>52003188</v>
          </cell>
          <cell r="C359" t="str">
            <v>스웨이드다이-#188-Pink</v>
          </cell>
          <cell r="D359">
            <v>66</v>
          </cell>
        </row>
        <row r="360">
          <cell r="A360" t="str">
            <v>3-1.디글레이저</v>
          </cell>
          <cell r="B360">
            <v>82004000</v>
          </cell>
          <cell r="C360" t="str">
            <v>디글레이저 4온즈</v>
          </cell>
          <cell r="D360">
            <v>3128</v>
          </cell>
        </row>
        <row r="361">
          <cell r="B361" t="str">
            <v>820PT000</v>
          </cell>
          <cell r="C361" t="str">
            <v>디글레이저 파인트</v>
          </cell>
          <cell r="D361">
            <v>35</v>
          </cell>
        </row>
        <row r="362">
          <cell r="A362" t="str">
            <v>3-2.피니셔 4oz</v>
          </cell>
          <cell r="B362">
            <v>60004000</v>
          </cell>
          <cell r="C362" t="str">
            <v>피니셔#600 아크릴피니셔</v>
          </cell>
          <cell r="D362">
            <v>844</v>
          </cell>
        </row>
        <row r="363">
          <cell r="B363">
            <v>60504000</v>
          </cell>
          <cell r="C363" t="str">
            <v>피니셔#605 새틴아크릴피니셔</v>
          </cell>
          <cell r="D363">
            <v>353</v>
          </cell>
        </row>
        <row r="364">
          <cell r="B364">
            <v>61004000</v>
          </cell>
          <cell r="C364" t="str">
            <v>피니셔#610 아크릴피니셔 하이글로스</v>
          </cell>
          <cell r="D364">
            <v>309</v>
          </cell>
        </row>
        <row r="365">
          <cell r="B365">
            <v>61504000</v>
          </cell>
          <cell r="C365" t="str">
            <v>피니셔#615 새틴아크릴피니셔 하이글로스</v>
          </cell>
          <cell r="D365">
            <v>352</v>
          </cell>
        </row>
        <row r="366">
          <cell r="B366">
            <v>62004000</v>
          </cell>
          <cell r="C366" t="str">
            <v>피니셔#620 매트아크릴피니셔</v>
          </cell>
          <cell r="D366">
            <v>1222</v>
          </cell>
        </row>
        <row r="367">
          <cell r="A367" t="str">
            <v>3-3.피니셔 1oz</v>
          </cell>
          <cell r="B367">
            <v>60001000</v>
          </cell>
          <cell r="C367" t="str">
            <v>피니셔1온즈#600 아크릴피니셔</v>
          </cell>
          <cell r="D367">
            <v>359</v>
          </cell>
        </row>
        <row r="368">
          <cell r="B368">
            <v>60501000</v>
          </cell>
          <cell r="C368" t="str">
            <v>피니셔1온즈#605 새틴아크릴피니셔</v>
          </cell>
          <cell r="D368">
            <v>220</v>
          </cell>
        </row>
        <row r="369">
          <cell r="B369">
            <v>61001000</v>
          </cell>
          <cell r="C369" t="str">
            <v>피니셔1온즈#610 아크릴피니셔 하이글로스</v>
          </cell>
          <cell r="D369">
            <v>477</v>
          </cell>
        </row>
        <row r="370">
          <cell r="B370">
            <v>61501000</v>
          </cell>
          <cell r="C370" t="str">
            <v>피니셔1온즈#615 새틴아크릴피니셔 하이글로스</v>
          </cell>
          <cell r="D370">
            <v>378</v>
          </cell>
        </row>
        <row r="371">
          <cell r="B371">
            <v>62001000</v>
          </cell>
          <cell r="C371" t="str">
            <v>피니셔1온즈#620 매트아크릴피니셔</v>
          </cell>
          <cell r="D371">
            <v>727</v>
          </cell>
        </row>
        <row r="372">
          <cell r="A372" t="str">
            <v>4-1.클리너</v>
          </cell>
          <cell r="B372">
            <v>84008000</v>
          </cell>
          <cell r="C372" t="str">
            <v>이지클리너 8온즈</v>
          </cell>
          <cell r="D372">
            <v>215</v>
          </cell>
        </row>
        <row r="373">
          <cell r="B373">
            <v>84205000</v>
          </cell>
          <cell r="C373" t="str">
            <v>폼텍스 클리너 5온즈</v>
          </cell>
          <cell r="D373">
            <v>267</v>
          </cell>
        </row>
        <row r="374">
          <cell r="B374">
            <v>85205000</v>
          </cell>
          <cell r="C374" t="str">
            <v>부트스프레이</v>
          </cell>
          <cell r="D374">
            <v>186</v>
          </cell>
        </row>
        <row r="375">
          <cell r="B375" t="str">
            <v>84008KIT</v>
          </cell>
          <cell r="C375" t="str">
            <v>이지클리너 키트</v>
          </cell>
          <cell r="D375">
            <v>53</v>
          </cell>
        </row>
        <row r="376">
          <cell r="B376" t="str">
            <v>84205KIT</v>
          </cell>
          <cell r="C376" t="str">
            <v>폼텍스 클리너키트</v>
          </cell>
          <cell r="D376">
            <v>95</v>
          </cell>
        </row>
        <row r="377">
          <cell r="B377" t="str">
            <v>845WS000</v>
          </cell>
          <cell r="C377" t="str">
            <v>올퍼포스 클리너</v>
          </cell>
          <cell r="D377">
            <v>107</v>
          </cell>
        </row>
        <row r="378">
          <cell r="B378" t="str">
            <v>851WS000</v>
          </cell>
          <cell r="C378" t="str">
            <v>워터&amp;스테인 리펠런트(방수제)</v>
          </cell>
          <cell r="D378">
            <v>316</v>
          </cell>
        </row>
        <row r="379">
          <cell r="A379" t="str">
            <v>5-1.가죽크림</v>
          </cell>
          <cell r="B379">
            <v>21004000</v>
          </cell>
          <cell r="C379" t="str">
            <v>레더밤</v>
          </cell>
          <cell r="D379">
            <v>0</v>
          </cell>
        </row>
        <row r="380">
          <cell r="B380">
            <v>30203005</v>
          </cell>
          <cell r="C380" t="str">
            <v>화이트에이스(백화제)</v>
          </cell>
          <cell r="D380">
            <v>361</v>
          </cell>
        </row>
        <row r="381">
          <cell r="B381" t="str">
            <v>99103MO100</v>
          </cell>
          <cell r="C381" t="str">
            <v>밍크오일 캔</v>
          </cell>
          <cell r="D381">
            <v>0</v>
          </cell>
        </row>
        <row r="382">
          <cell r="B382" t="str">
            <v>99103MO107</v>
          </cell>
          <cell r="C382" t="str">
            <v>밍크오일 캔</v>
          </cell>
          <cell r="D382">
            <v>108</v>
          </cell>
        </row>
        <row r="383">
          <cell r="A383" t="str">
            <v>6-1.기타</v>
          </cell>
          <cell r="B383">
            <v>7995100</v>
          </cell>
          <cell r="C383" t="str">
            <v>엔젤러스 페인트 브러시 5종세트</v>
          </cell>
          <cell r="D383">
            <v>-92</v>
          </cell>
        </row>
        <row r="384">
          <cell r="B384">
            <v>7995101</v>
          </cell>
          <cell r="C384" t="str">
            <v>엔젤러스 디테일 브러시 5종세트</v>
          </cell>
          <cell r="D384">
            <v>-26</v>
          </cell>
        </row>
        <row r="385">
          <cell r="B385">
            <v>87504000</v>
          </cell>
          <cell r="C385" t="str">
            <v>디오더라이저 4oz</v>
          </cell>
          <cell r="D385">
            <v>140</v>
          </cell>
        </row>
        <row r="386">
          <cell r="B386">
            <v>87604000</v>
          </cell>
          <cell r="C386" t="str">
            <v>솔브라이트 4온즈</v>
          </cell>
          <cell r="D386">
            <v>747</v>
          </cell>
        </row>
        <row r="387">
          <cell r="B387">
            <v>89404000</v>
          </cell>
          <cell r="C387" t="str">
            <v>스웨이드 리뉴</v>
          </cell>
          <cell r="D387">
            <v>29</v>
          </cell>
        </row>
        <row r="388">
          <cell r="B388" t="str">
            <v>4971671511941</v>
          </cell>
          <cell r="C388" t="str">
            <v>콜럼버스 스웨이드 지우개</v>
          </cell>
          <cell r="D388">
            <v>48</v>
          </cell>
        </row>
        <row r="389">
          <cell r="B389" t="str">
            <v>599BT000</v>
          </cell>
          <cell r="C389" t="str">
            <v>다이라이너 브로드팁</v>
          </cell>
          <cell r="D389">
            <v>72</v>
          </cell>
        </row>
        <row r="390">
          <cell r="B390" t="str">
            <v>599FT000</v>
          </cell>
          <cell r="C390" t="str">
            <v>다이라이너 파인팁</v>
          </cell>
          <cell r="D390">
            <v>62</v>
          </cell>
        </row>
        <row r="391">
          <cell r="B391" t="str">
            <v>7993M2PK</v>
          </cell>
          <cell r="C391" t="str">
            <v>마커펜세트 3mm</v>
          </cell>
          <cell r="D391">
            <v>8</v>
          </cell>
        </row>
        <row r="392">
          <cell r="B392" t="str">
            <v>7995M2PK</v>
          </cell>
          <cell r="C392" t="str">
            <v>마커펜세트 5mm</v>
          </cell>
          <cell r="D392">
            <v>36</v>
          </cell>
        </row>
        <row r="393">
          <cell r="B393" t="str">
            <v>89500KIT</v>
          </cell>
          <cell r="C393" t="str">
            <v>스웨이드&amp;누벅키트</v>
          </cell>
          <cell r="D393">
            <v>-75</v>
          </cell>
        </row>
        <row r="394">
          <cell r="B394" t="str">
            <v>99200PSTREE</v>
          </cell>
          <cell r="C394" t="str">
            <v>엔젤러스 플라스틱 슈트리</v>
          </cell>
          <cell r="D394">
            <v>239</v>
          </cell>
        </row>
        <row r="395">
          <cell r="B395" t="str">
            <v>99200SHOEHORN</v>
          </cell>
          <cell r="C395" t="str">
            <v>메탈슈혼</v>
          </cell>
          <cell r="D395">
            <v>-12</v>
          </cell>
        </row>
        <row r="396">
          <cell r="B396" t="str">
            <v>99205PremSneakerBrush</v>
          </cell>
          <cell r="C396" t="str">
            <v>클리닝브러시</v>
          </cell>
          <cell r="D396">
            <v>145</v>
          </cell>
        </row>
        <row r="397">
          <cell r="B397" t="str">
            <v>992E00KNIFE</v>
          </cell>
          <cell r="C397" t="str">
            <v>엔젤러스 디테일 나이프</v>
          </cell>
          <cell r="D397">
            <v>65</v>
          </cell>
        </row>
        <row r="398">
          <cell r="B398" t="str">
            <v>992E1218MAT</v>
          </cell>
          <cell r="C398" t="str">
            <v>커팅 매트(중) 12"x18"</v>
          </cell>
          <cell r="D398">
            <v>21</v>
          </cell>
        </row>
        <row r="399">
          <cell r="B399" t="str">
            <v>992E1824MAT</v>
          </cell>
          <cell r="C399" t="str">
            <v>커팅 매트(대) 18"x24"</v>
          </cell>
          <cell r="D399">
            <v>0</v>
          </cell>
        </row>
        <row r="400">
          <cell r="B400" t="str">
            <v>992E912MAT</v>
          </cell>
          <cell r="C400" t="str">
            <v>커팅 매트(소) 9"x12"</v>
          </cell>
          <cell r="D400">
            <v>0</v>
          </cell>
        </row>
        <row r="401">
          <cell r="B401" t="str">
            <v>applicator</v>
          </cell>
          <cell r="C401" t="str">
            <v>올퍼포스애플리케이터</v>
          </cell>
          <cell r="D401">
            <v>0</v>
          </cell>
        </row>
        <row r="402">
          <cell r="B402" t="str">
            <v>Blade</v>
          </cell>
          <cell r="C402" t="str">
            <v>엔젤러스 교체용 나이프날</v>
          </cell>
          <cell r="D402">
            <v>20</v>
          </cell>
        </row>
        <row r="403">
          <cell r="B403" t="str">
            <v>brush17_black</v>
          </cell>
          <cell r="C403" t="str">
            <v>말털브러시 17cm 블랙</v>
          </cell>
          <cell r="D403">
            <v>29</v>
          </cell>
        </row>
        <row r="404">
          <cell r="B404" t="str">
            <v>hogbrush</v>
          </cell>
          <cell r="C404" t="str">
            <v>돼지털 클리닝브러시</v>
          </cell>
          <cell r="D404">
            <v>42</v>
          </cell>
        </row>
        <row r="405">
          <cell r="B405" t="str">
            <v>paint_cup</v>
          </cell>
          <cell r="C405" t="str">
            <v>페인트컵</v>
          </cell>
          <cell r="D405">
            <v>-4</v>
          </cell>
        </row>
        <row r="406">
          <cell r="B406" t="str">
            <v>towel</v>
          </cell>
          <cell r="C406" t="str">
            <v>프리미엄 마이크로파이버 타올</v>
          </cell>
          <cell r="D406">
            <v>86</v>
          </cell>
        </row>
        <row r="407">
          <cell r="B407" t="str">
            <v>고무가루</v>
          </cell>
          <cell r="C407" t="str">
            <v>고무가루</v>
          </cell>
          <cell r="D407">
            <v>-160</v>
          </cell>
        </row>
        <row r="408">
          <cell r="B408" t="str">
            <v>택배비</v>
          </cell>
          <cell r="C408" t="str">
            <v>택배비</v>
          </cell>
          <cell r="D408">
            <v>-82</v>
          </cell>
        </row>
        <row r="409">
          <cell r="A409" t="str">
            <v>6-2.브러시</v>
          </cell>
          <cell r="B409" t="str">
            <v>6Filbert</v>
          </cell>
          <cell r="C409" t="str">
            <v>필버트 #6</v>
          </cell>
          <cell r="D409">
            <v>98</v>
          </cell>
        </row>
        <row r="410">
          <cell r="B410" t="str">
            <v>799AN00</v>
          </cell>
          <cell r="C410" t="str">
            <v>앵귤러쉐이더 #0</v>
          </cell>
          <cell r="D410">
            <v>98</v>
          </cell>
        </row>
        <row r="411">
          <cell r="B411" t="str">
            <v>799AN02</v>
          </cell>
          <cell r="C411" t="str">
            <v>앵귤러 #2</v>
          </cell>
          <cell r="D411">
            <v>0</v>
          </cell>
        </row>
        <row r="412">
          <cell r="B412" t="str">
            <v>799AN14</v>
          </cell>
          <cell r="C412" t="str">
            <v>앵귤러 #1/4"</v>
          </cell>
          <cell r="D412">
            <v>80</v>
          </cell>
        </row>
        <row r="413">
          <cell r="B413" t="str">
            <v>799AS01</v>
          </cell>
          <cell r="C413" t="str">
            <v>앵귤러쉐이더 #1</v>
          </cell>
          <cell r="D413">
            <v>56</v>
          </cell>
        </row>
        <row r="414">
          <cell r="B414" t="str">
            <v>799AS12</v>
          </cell>
          <cell r="C414" t="str">
            <v>앵귤러쉐이더 #1/2"</v>
          </cell>
          <cell r="D414">
            <v>88</v>
          </cell>
        </row>
        <row r="415">
          <cell r="B415" t="str">
            <v>799AS38</v>
          </cell>
          <cell r="C415" t="str">
            <v>앵귤러쉐이더 #3/8"</v>
          </cell>
          <cell r="D415">
            <v>86</v>
          </cell>
        </row>
        <row r="416">
          <cell r="B416" t="str">
            <v>799FL00</v>
          </cell>
          <cell r="C416" t="str">
            <v>필버트 #0</v>
          </cell>
          <cell r="D416">
            <v>98</v>
          </cell>
        </row>
        <row r="417">
          <cell r="B417" t="str">
            <v>799FL02</v>
          </cell>
          <cell r="C417" t="str">
            <v>필버트 #2</v>
          </cell>
          <cell r="D417">
            <v>86</v>
          </cell>
        </row>
        <row r="418">
          <cell r="B418" t="str">
            <v>799RO01</v>
          </cell>
          <cell r="C418" t="str">
            <v>라운드 #1</v>
          </cell>
          <cell r="D418">
            <v>74</v>
          </cell>
        </row>
        <row r="419">
          <cell r="B419" t="str">
            <v>799RO02</v>
          </cell>
          <cell r="C419" t="str">
            <v>라운드 #2</v>
          </cell>
          <cell r="D419">
            <v>92</v>
          </cell>
        </row>
        <row r="420">
          <cell r="B420" t="str">
            <v>799SH00</v>
          </cell>
          <cell r="C420" t="str">
            <v>쉐이더 #0</v>
          </cell>
          <cell r="D420">
            <v>98</v>
          </cell>
        </row>
        <row r="421">
          <cell r="B421" t="str">
            <v>799SH02</v>
          </cell>
          <cell r="C421" t="str">
            <v>쉐이더 #2</v>
          </cell>
          <cell r="D421">
            <v>14</v>
          </cell>
        </row>
        <row r="422">
          <cell r="B422" t="str">
            <v>799SH06</v>
          </cell>
          <cell r="C422" t="str">
            <v>쉐이더 #6</v>
          </cell>
          <cell r="D422">
            <v>88</v>
          </cell>
        </row>
        <row r="423">
          <cell r="B423" t="str">
            <v>799SH10</v>
          </cell>
          <cell r="C423" t="str">
            <v>쉐이더 #10</v>
          </cell>
          <cell r="D423">
            <v>86</v>
          </cell>
        </row>
        <row r="424">
          <cell r="B424" t="str">
            <v>799SP00</v>
          </cell>
          <cell r="C424" t="str">
            <v>스파터 #0</v>
          </cell>
          <cell r="D424">
            <v>74</v>
          </cell>
        </row>
        <row r="425">
          <cell r="B425" t="str">
            <v>799SP50</v>
          </cell>
          <cell r="C425" t="str">
            <v>스파터 5/0</v>
          </cell>
          <cell r="D425">
            <v>86</v>
          </cell>
        </row>
        <row r="426">
          <cell r="A426" t="str">
            <v>7-1.LaceLab</v>
          </cell>
          <cell r="B426" t="str">
            <v>3M01</v>
          </cell>
          <cell r="C426" t="str">
            <v>3M01-[레이스랩]Black 3M Reflective Rope Laces</v>
          </cell>
          <cell r="D426">
            <v>-17</v>
          </cell>
        </row>
        <row r="427">
          <cell r="B427" t="str">
            <v>3M02</v>
          </cell>
          <cell r="C427" t="str">
            <v>3M02-[레이스랩]Blue 3M Reflective Rope Laces</v>
          </cell>
          <cell r="D427">
            <v>-2</v>
          </cell>
        </row>
        <row r="428">
          <cell r="B428" t="str">
            <v>3M03</v>
          </cell>
          <cell r="C428" t="str">
            <v>3M03-[레이스랩]White 3M Reflective Rope Laces</v>
          </cell>
          <cell r="D428">
            <v>-19</v>
          </cell>
        </row>
        <row r="429">
          <cell r="B429" t="str">
            <v>3M04</v>
          </cell>
          <cell r="C429" t="str">
            <v>3M04-[레이스랩]Red 3M Reflective Rope Laces</v>
          </cell>
          <cell r="D429">
            <v>-1</v>
          </cell>
        </row>
        <row r="430">
          <cell r="B430" t="str">
            <v>3M05</v>
          </cell>
          <cell r="C430" t="str">
            <v>3M05-[레이스랩]Grey 3M/3M Reflective Rope Laces</v>
          </cell>
          <cell r="D430">
            <v>0</v>
          </cell>
        </row>
        <row r="431">
          <cell r="B431" t="str">
            <v>3M06</v>
          </cell>
          <cell r="C431" t="str">
            <v>3M06-[레이스랩]Olive 3M Reflective Rope Laces</v>
          </cell>
          <cell r="D431">
            <v>0</v>
          </cell>
        </row>
        <row r="432">
          <cell r="B432" t="str">
            <v>3M07</v>
          </cell>
          <cell r="C432" t="str">
            <v>3M07-[레이스랩]Volt 3M Reflective Rope Laces</v>
          </cell>
          <cell r="D432">
            <v>-5</v>
          </cell>
        </row>
        <row r="433">
          <cell r="B433" t="str">
            <v>3M08</v>
          </cell>
          <cell r="C433" t="str">
            <v>3M08-[레이스랩]Mint 3M Reflective Rope Laces</v>
          </cell>
          <cell r="D433">
            <v>-8</v>
          </cell>
        </row>
        <row r="434">
          <cell r="B434" t="str">
            <v>3M09</v>
          </cell>
          <cell r="C434" t="str">
            <v>3M09-[레이스랩]Cove Blue 3M Reflective Rope Laces</v>
          </cell>
          <cell r="D434">
            <v>-2</v>
          </cell>
        </row>
        <row r="435">
          <cell r="B435" t="str">
            <v>3M10</v>
          </cell>
          <cell r="C435" t="str">
            <v>3M10-[레이스랩]Yellow 3M Reflective Rope Laces</v>
          </cell>
          <cell r="D435">
            <v>-2</v>
          </cell>
        </row>
        <row r="436">
          <cell r="B436" t="str">
            <v>3M11</v>
          </cell>
          <cell r="C436" t="str">
            <v>3M11-[레이스랩]Purple 3M Reflective Rope Laces</v>
          </cell>
          <cell r="D436">
            <v>-2</v>
          </cell>
        </row>
        <row r="437">
          <cell r="B437" t="str">
            <v>3M12</v>
          </cell>
          <cell r="C437" t="str">
            <v>3M12-[레이스랩]Orange 3M Reflective Rope Laces</v>
          </cell>
          <cell r="D437">
            <v>-4</v>
          </cell>
        </row>
        <row r="438">
          <cell r="B438" t="str">
            <v>3M13</v>
          </cell>
          <cell r="C438" t="str">
            <v>3M13-[레이스랩]Pink 3M Reflective Rope Laces</v>
          </cell>
          <cell r="D438">
            <v>0</v>
          </cell>
        </row>
        <row r="439">
          <cell r="B439" t="str">
            <v>3M14</v>
          </cell>
          <cell r="C439" t="str">
            <v>3M14-[레이스랩]Green 3M Reflective Rope Laces</v>
          </cell>
          <cell r="D439">
            <v>-2</v>
          </cell>
        </row>
        <row r="440">
          <cell r="B440" t="str">
            <v>B01</v>
          </cell>
          <cell r="C440" t="str">
            <v>B01-[레이스랩]Black Boot Laces</v>
          </cell>
          <cell r="D440">
            <v>-16</v>
          </cell>
        </row>
        <row r="441">
          <cell r="B441" t="str">
            <v>B02</v>
          </cell>
          <cell r="C441" t="str">
            <v>B02-[레이스랩]Black/Brown Boot Laces</v>
          </cell>
          <cell r="D441">
            <v>-3</v>
          </cell>
        </row>
        <row r="442">
          <cell r="B442" t="str">
            <v>B03</v>
          </cell>
          <cell r="C442" t="str">
            <v>B03-[레이스랩]Black/Grey Boot Laces</v>
          </cell>
          <cell r="D442">
            <v>-2</v>
          </cell>
        </row>
        <row r="443">
          <cell r="B443" t="str">
            <v>B05</v>
          </cell>
          <cell r="C443" t="str">
            <v>B05-[레이스랩]Black/Tan Boot Laces</v>
          </cell>
          <cell r="D443">
            <v>-10</v>
          </cell>
        </row>
        <row r="444">
          <cell r="B444" t="str">
            <v>B06</v>
          </cell>
          <cell r="C444" t="str">
            <v>B06-[레이스랩]Brown Boot Laces</v>
          </cell>
          <cell r="D444">
            <v>-7</v>
          </cell>
        </row>
        <row r="445">
          <cell r="B445" t="str">
            <v>B07</v>
          </cell>
          <cell r="C445" t="str">
            <v>B07-[레이스랩]Brown/Beige Boot Laces</v>
          </cell>
          <cell r="D445">
            <v>-5</v>
          </cell>
        </row>
        <row r="446">
          <cell r="B446" t="str">
            <v>B08</v>
          </cell>
          <cell r="C446" t="str">
            <v>B08-[레이스랩]Rawhide Boot Laces</v>
          </cell>
          <cell r="D446">
            <v>-15</v>
          </cell>
        </row>
        <row r="447">
          <cell r="B447" t="str">
            <v>F01</v>
          </cell>
          <cell r="C447" t="str">
            <v>F01-[레이스랩]White Shoe Laces</v>
          </cell>
          <cell r="D447">
            <v>-66</v>
          </cell>
        </row>
        <row r="448">
          <cell r="B448" t="str">
            <v>F02</v>
          </cell>
          <cell r="C448" t="str">
            <v>F02-[레이스랩]Black Shoe Laces</v>
          </cell>
          <cell r="D448">
            <v>-18</v>
          </cell>
        </row>
        <row r="449">
          <cell r="B449" t="str">
            <v>F03</v>
          </cell>
          <cell r="C449" t="str">
            <v>F03-[레이스랩]Red Shoe Laces</v>
          </cell>
          <cell r="D449">
            <v>-13</v>
          </cell>
        </row>
        <row r="450">
          <cell r="B450" t="str">
            <v>F04</v>
          </cell>
          <cell r="C450" t="str">
            <v>F04-[레이스랩]Royal Blue Shoe Laces</v>
          </cell>
          <cell r="D450">
            <v>-8</v>
          </cell>
        </row>
        <row r="451">
          <cell r="B451" t="str">
            <v>F05</v>
          </cell>
          <cell r="C451" t="str">
            <v>F05-[레이스랩]Mint Shoe Laces</v>
          </cell>
          <cell r="D451">
            <v>-11</v>
          </cell>
        </row>
        <row r="452">
          <cell r="B452" t="str">
            <v>F06</v>
          </cell>
          <cell r="C452" t="str">
            <v>F06-[레이스랩]Bahama Blue Shoe Laces</v>
          </cell>
          <cell r="D452">
            <v>-2</v>
          </cell>
        </row>
        <row r="453">
          <cell r="B453" t="str">
            <v>F07</v>
          </cell>
          <cell r="C453" t="str">
            <v>F07-[레이스랩]Maize Shoe Laces</v>
          </cell>
          <cell r="D453">
            <v>-7</v>
          </cell>
        </row>
        <row r="454">
          <cell r="B454" t="str">
            <v>F08</v>
          </cell>
          <cell r="C454" t="str">
            <v>F08-[레이스랩]Maroon Shoe Laces</v>
          </cell>
          <cell r="D454">
            <v>-7</v>
          </cell>
        </row>
        <row r="455">
          <cell r="B455" t="str">
            <v>F09</v>
          </cell>
          <cell r="C455" t="str">
            <v>F09-[레이스랩]Navy Blue Shoe Laces</v>
          </cell>
          <cell r="D455">
            <v>-8</v>
          </cell>
        </row>
        <row r="456">
          <cell r="B456" t="str">
            <v>F10</v>
          </cell>
          <cell r="C456" t="str">
            <v>F10-[레이스랩]Neon Green Shoe Laces</v>
          </cell>
          <cell r="D456">
            <v>-4</v>
          </cell>
        </row>
        <row r="457">
          <cell r="B457" t="str">
            <v>F11</v>
          </cell>
          <cell r="C457" t="str">
            <v>F11-[레이스랩]Neon Pink Shoe Laces</v>
          </cell>
          <cell r="D457">
            <v>-5</v>
          </cell>
        </row>
        <row r="458">
          <cell r="B458" t="str">
            <v>F12</v>
          </cell>
          <cell r="C458" t="str">
            <v>F12-[레이스랩]Pale Yellow Shoe Laces</v>
          </cell>
          <cell r="D458">
            <v>-10</v>
          </cell>
        </row>
        <row r="459">
          <cell r="B459" t="str">
            <v>F13</v>
          </cell>
          <cell r="C459" t="str">
            <v>F13-[레이스랩]Paradise Purple Shoe Laces</v>
          </cell>
          <cell r="D459">
            <v>-3</v>
          </cell>
        </row>
        <row r="460">
          <cell r="B460" t="str">
            <v>F14</v>
          </cell>
          <cell r="C460" t="str">
            <v>F14-[레이스랩]Pink Shoe Laces</v>
          </cell>
          <cell r="D460">
            <v>-7</v>
          </cell>
        </row>
        <row r="461">
          <cell r="B461" t="str">
            <v>F15</v>
          </cell>
          <cell r="C461" t="str">
            <v>F15-[레이스랩]Purple Shoe Laces</v>
          </cell>
          <cell r="D461">
            <v>-4</v>
          </cell>
        </row>
        <row r="462">
          <cell r="B462" t="str">
            <v>F16</v>
          </cell>
          <cell r="C462" t="str">
            <v>F16-[레이스랩]Silver Shoe Laces</v>
          </cell>
          <cell r="D462">
            <v>-9</v>
          </cell>
        </row>
        <row r="463">
          <cell r="B463" t="str">
            <v>F17</v>
          </cell>
          <cell r="C463" t="str">
            <v>F17-[레이스랩]Teal Shoe Laces</v>
          </cell>
          <cell r="D463">
            <v>-3</v>
          </cell>
        </row>
        <row r="464">
          <cell r="B464" t="str">
            <v>F18</v>
          </cell>
          <cell r="C464" t="str">
            <v>F18-[레이스랩]Volt Shoe Laces</v>
          </cell>
          <cell r="D464">
            <v>-4</v>
          </cell>
        </row>
        <row r="465">
          <cell r="B465" t="str">
            <v>F19</v>
          </cell>
          <cell r="C465" t="str">
            <v>F19-[레이스랩]Olive Shoe Laces</v>
          </cell>
          <cell r="D465">
            <v>-1</v>
          </cell>
        </row>
        <row r="466">
          <cell r="B466" t="str">
            <v>F20</v>
          </cell>
          <cell r="C466" t="str">
            <v>F20-[레이스랩]Lilac Shoe Laces</v>
          </cell>
          <cell r="D466">
            <v>-3</v>
          </cell>
        </row>
        <row r="467">
          <cell r="B467" t="str">
            <v>F21</v>
          </cell>
          <cell r="C467" t="str">
            <v>F21-[레이스랩]Light Grey Shoe Laces</v>
          </cell>
          <cell r="D467">
            <v>-25</v>
          </cell>
        </row>
        <row r="468">
          <cell r="B468" t="str">
            <v>F22</v>
          </cell>
          <cell r="C468" t="str">
            <v>F22-[레이스랩]Beige Shoe Laces</v>
          </cell>
          <cell r="D468">
            <v>-20</v>
          </cell>
        </row>
        <row r="469">
          <cell r="B469" t="str">
            <v>F23</v>
          </cell>
          <cell r="C469" t="str">
            <v>F23-[레이스랩]Brown Shoe Laces</v>
          </cell>
          <cell r="D469">
            <v>-3</v>
          </cell>
        </row>
        <row r="470">
          <cell r="B470" t="str">
            <v>F24</v>
          </cell>
          <cell r="C470" t="str">
            <v>F24-[레이스랩]Carolina Blue Shoe Laces</v>
          </cell>
          <cell r="D470">
            <v>-5</v>
          </cell>
        </row>
        <row r="471">
          <cell r="B471" t="str">
            <v>F25</v>
          </cell>
          <cell r="C471" t="str">
            <v>F25-[레이스랩]Charcoal Grey Shoe Laces</v>
          </cell>
          <cell r="D471">
            <v>-8</v>
          </cell>
        </row>
        <row r="472">
          <cell r="B472" t="str">
            <v>F26</v>
          </cell>
          <cell r="C472" t="str">
            <v>F26-[레이스랩]Columbia Blue Shoe Laces</v>
          </cell>
          <cell r="D472">
            <v>-2</v>
          </cell>
        </row>
        <row r="473">
          <cell r="B473" t="str">
            <v>F27</v>
          </cell>
          <cell r="C473" t="str">
            <v>F27-[레이스랩]Dark Brown Shoe Laces</v>
          </cell>
          <cell r="D473">
            <v>-4</v>
          </cell>
        </row>
        <row r="474">
          <cell r="B474" t="str">
            <v>F28</v>
          </cell>
          <cell r="C474" t="str">
            <v>F28-[레이스랩]Dark Green Shoe Laces</v>
          </cell>
          <cell r="D474">
            <v>-5</v>
          </cell>
        </row>
        <row r="475">
          <cell r="B475" t="str">
            <v>F29</v>
          </cell>
          <cell r="C475" t="str">
            <v>F29-[레이스랩]Dark Grey Shoe Laces</v>
          </cell>
          <cell r="D475">
            <v>-11</v>
          </cell>
        </row>
        <row r="476">
          <cell r="B476" t="str">
            <v>F30</v>
          </cell>
          <cell r="C476" t="str">
            <v>F30-[레이스랩]Dark Orange Shoe Laces</v>
          </cell>
          <cell r="D476">
            <v>-3</v>
          </cell>
        </row>
        <row r="477">
          <cell r="B477" t="str">
            <v>F31</v>
          </cell>
          <cell r="C477" t="str">
            <v>F31-[레이스랩]Flaming Orange Shoe Laces</v>
          </cell>
          <cell r="D477">
            <v>-4</v>
          </cell>
        </row>
        <row r="478">
          <cell r="B478" t="str">
            <v>F33</v>
          </cell>
          <cell r="C478" t="str">
            <v>F33-[레이스랩]Gold Shoe Laces</v>
          </cell>
          <cell r="D478">
            <v>-18</v>
          </cell>
        </row>
        <row r="479">
          <cell r="B479" t="str">
            <v>F34</v>
          </cell>
          <cell r="C479" t="str">
            <v>F34-[레이스랩]Kelly Green Shoe Laces</v>
          </cell>
          <cell r="D479">
            <v>-5</v>
          </cell>
        </row>
        <row r="480">
          <cell r="B480" t="str">
            <v>F35</v>
          </cell>
          <cell r="C480" t="str">
            <v>F35-[레이스랩]Light Beige Shoe Laces</v>
          </cell>
          <cell r="D480">
            <v>-24</v>
          </cell>
        </row>
        <row r="481">
          <cell r="B481" t="str">
            <v>I01</v>
          </cell>
          <cell r="C481" t="str">
            <v>I01-[레이스랩]Black 3M Inverse Rope Laces</v>
          </cell>
          <cell r="D481">
            <v>-5</v>
          </cell>
        </row>
        <row r="482">
          <cell r="B482" t="str">
            <v>I02</v>
          </cell>
          <cell r="C482" t="str">
            <v>I02-[레이스랩]White 3M Inverse Rope Laces</v>
          </cell>
          <cell r="D482">
            <v>-10</v>
          </cell>
        </row>
        <row r="483">
          <cell r="B483" t="str">
            <v>I03</v>
          </cell>
          <cell r="C483" t="str">
            <v>I03-[레이스랩]Blue 3M Inverse Rope Laces</v>
          </cell>
          <cell r="D483">
            <v>-1</v>
          </cell>
        </row>
        <row r="484">
          <cell r="B484" t="str">
            <v>I04</v>
          </cell>
          <cell r="C484" t="str">
            <v>I04-[레이스랩]Red 3M Inverse Rope Laces</v>
          </cell>
          <cell r="D484">
            <v>-1</v>
          </cell>
        </row>
        <row r="485">
          <cell r="B485" t="str">
            <v>I05</v>
          </cell>
          <cell r="C485" t="str">
            <v>I05-[레이스랩]Charcoal 3M Inverse Rope Laces</v>
          </cell>
          <cell r="D485">
            <v>-3</v>
          </cell>
        </row>
        <row r="486">
          <cell r="B486" t="str">
            <v>I07</v>
          </cell>
          <cell r="C486" t="str">
            <v>I07-[레이스랩]Cove Blue 3M Inverse Rope Laces</v>
          </cell>
          <cell r="D486">
            <v>-2</v>
          </cell>
        </row>
        <row r="487">
          <cell r="B487" t="str">
            <v>I08</v>
          </cell>
          <cell r="C487" t="str">
            <v>I08-[레이스랩]Volt 3M Inverse Rope Laces</v>
          </cell>
          <cell r="D487">
            <v>-9</v>
          </cell>
        </row>
        <row r="488">
          <cell r="B488" t="str">
            <v>K02</v>
          </cell>
          <cell r="C488" t="str">
            <v xml:space="preserve">k02-[레이스랩]Black Japanese Katakana Flat Laces </v>
          </cell>
          <cell r="D488">
            <v>-1</v>
          </cell>
        </row>
        <row r="489">
          <cell r="B489" t="str">
            <v>L01</v>
          </cell>
          <cell r="C489" t="str">
            <v>L01-[레이스랩]Black Luxury Leather Laces - GoldPlated</v>
          </cell>
          <cell r="D489">
            <v>-15</v>
          </cell>
        </row>
        <row r="490">
          <cell r="B490" t="str">
            <v>L02</v>
          </cell>
          <cell r="C490" t="str">
            <v>L02-[레이스랩]Black Luxury Leather Laces - GunmetalPlated</v>
          </cell>
          <cell r="D490">
            <v>-10</v>
          </cell>
        </row>
        <row r="491">
          <cell r="B491" t="str">
            <v>L03</v>
          </cell>
          <cell r="C491" t="str">
            <v>L03-[레이스랩]Black Luxury Leather Laces - SilverPlated</v>
          </cell>
          <cell r="D491">
            <v>-5</v>
          </cell>
        </row>
        <row r="492">
          <cell r="B492" t="str">
            <v>L04</v>
          </cell>
          <cell r="C492" t="str">
            <v>L04-[레이스랩]White Luxury Leather Laces - GoldPlated</v>
          </cell>
          <cell r="D492">
            <v>-4</v>
          </cell>
        </row>
        <row r="493">
          <cell r="B493" t="str">
            <v>L05</v>
          </cell>
          <cell r="C493" t="str">
            <v>L05-[레이스랩]White Luxury Leather Laces - GunmetalPlated</v>
          </cell>
          <cell r="D493">
            <v>-1</v>
          </cell>
        </row>
        <row r="494">
          <cell r="B494" t="str">
            <v>L06</v>
          </cell>
          <cell r="C494" t="str">
            <v>L06-[레이스랩]White Luxury Leather Laces - SilverPlated</v>
          </cell>
          <cell r="D494">
            <v>-7</v>
          </cell>
        </row>
        <row r="495">
          <cell r="B495" t="str">
            <v>L07</v>
          </cell>
          <cell r="C495" t="str">
            <v>L07-[레이스랩]Gold Luxury Leather Laces - GoldPlated</v>
          </cell>
          <cell r="D495">
            <v>-10</v>
          </cell>
        </row>
        <row r="496">
          <cell r="B496" t="str">
            <v>L08</v>
          </cell>
          <cell r="C496" t="str">
            <v>L08-[레이스랩]Gold Luxury Leather Laces - GunmetalPlated</v>
          </cell>
          <cell r="D496">
            <v>-3</v>
          </cell>
        </row>
        <row r="497">
          <cell r="B497" t="str">
            <v>L09</v>
          </cell>
          <cell r="C497" t="str">
            <v>L09-[레이스랩]Gold Luxury Leather Laces - SilverPlated</v>
          </cell>
          <cell r="D497">
            <v>-1</v>
          </cell>
        </row>
        <row r="498">
          <cell r="B498" t="str">
            <v>L10</v>
          </cell>
          <cell r="C498" t="str">
            <v>L10-[레이스랩]Red Luxury Leather Laces - GoldPlated</v>
          </cell>
          <cell r="D498">
            <v>-2</v>
          </cell>
        </row>
        <row r="499">
          <cell r="B499" t="str">
            <v>L11</v>
          </cell>
          <cell r="C499" t="str">
            <v>L11-[레이스랩]Red Luxury Leather Laces - GunmetalPlated</v>
          </cell>
          <cell r="D499">
            <v>-2</v>
          </cell>
        </row>
        <row r="500">
          <cell r="B500" t="str">
            <v>L12</v>
          </cell>
          <cell r="C500" t="str">
            <v>L12-[레이스랩]Red Luxury Leather Laces - SilverPlated</v>
          </cell>
          <cell r="D500">
            <v>-2</v>
          </cell>
        </row>
        <row r="501">
          <cell r="B501" t="str">
            <v>L14</v>
          </cell>
          <cell r="C501" t="str">
            <v>L14-[레이스랩]Royal Blue Luxury Leather Laces - GunmetalPlated</v>
          </cell>
          <cell r="D501">
            <v>-1</v>
          </cell>
        </row>
        <row r="502">
          <cell r="B502" t="str">
            <v>L19</v>
          </cell>
          <cell r="C502" t="str">
            <v xml:space="preserve">L19-[레이스랩]Light Grey Luxury Leather Laces - Gold Plated </v>
          </cell>
          <cell r="D502">
            <v>-2</v>
          </cell>
        </row>
        <row r="503">
          <cell r="B503" t="str">
            <v>L20</v>
          </cell>
          <cell r="C503" t="str">
            <v>L20-[레이스랩]Light Grey Luxury Leather Laces - Gunmetal Plated</v>
          </cell>
          <cell r="D503">
            <v>-2</v>
          </cell>
        </row>
        <row r="504">
          <cell r="B504" t="str">
            <v>L21</v>
          </cell>
          <cell r="C504" t="str">
            <v>L21-[레이스랩]Light Grey Luxury Leather Laces - Silver Plated</v>
          </cell>
          <cell r="D504">
            <v>-2</v>
          </cell>
        </row>
        <row r="505">
          <cell r="B505" t="str">
            <v>L22</v>
          </cell>
          <cell r="C505" t="str">
            <v>L22-[레이스랩]Olive Luxury Leather Laces - Gold Plated</v>
          </cell>
          <cell r="D505">
            <v>0</v>
          </cell>
        </row>
        <row r="506">
          <cell r="B506" t="str">
            <v>L23</v>
          </cell>
          <cell r="C506" t="str">
            <v>L23-[레이스랩]Olive Luxury Leather Laces - Gunmetal Plated</v>
          </cell>
          <cell r="D506">
            <v>-1</v>
          </cell>
        </row>
        <row r="507">
          <cell r="B507" t="str">
            <v>L24</v>
          </cell>
          <cell r="C507" t="str">
            <v>L24-[레이스랩]Olive Luxury Leather Laces - Silver Plated</v>
          </cell>
          <cell r="D507">
            <v>-2</v>
          </cell>
        </row>
        <row r="508">
          <cell r="B508" t="str">
            <v>L31</v>
          </cell>
          <cell r="C508" t="str">
            <v>L31-[레이스랩]Kelly Green Luxury Leather Laces - Gold Plated</v>
          </cell>
          <cell r="D508">
            <v>-1</v>
          </cell>
        </row>
        <row r="509">
          <cell r="B509" t="str">
            <v>L32</v>
          </cell>
          <cell r="C509" t="str">
            <v>L32-[레이스랩]Kelly Green Luxury Leather Laces - Gunmetal Plated</v>
          </cell>
          <cell r="D509">
            <v>-1</v>
          </cell>
        </row>
        <row r="510">
          <cell r="B510" t="str">
            <v>L37</v>
          </cell>
          <cell r="C510" t="str">
            <v>L37-[레이스랩]University Blue Luxury Leather Laces - Gold Plated</v>
          </cell>
          <cell r="D510">
            <v>-1</v>
          </cell>
        </row>
        <row r="511">
          <cell r="B511" t="str">
            <v>L38</v>
          </cell>
          <cell r="C511" t="str">
            <v>L38-[레이스랩]University Blue Luxury Leather Laces - Gunmetal Plated</v>
          </cell>
          <cell r="D511">
            <v>-1</v>
          </cell>
        </row>
        <row r="512">
          <cell r="B512" t="str">
            <v>L39</v>
          </cell>
          <cell r="C512" t="str">
            <v>L39-[레이스랩]University Blue Luxury Leather Laces - Silver Plated</v>
          </cell>
          <cell r="D512">
            <v>-1</v>
          </cell>
        </row>
        <row r="513">
          <cell r="B513" t="str">
            <v>M01</v>
          </cell>
          <cell r="C513" t="str">
            <v>M01-[레이스랩]Black/Red Multi - ColorRopeLaces</v>
          </cell>
          <cell r="D513">
            <v>-1</v>
          </cell>
        </row>
        <row r="514">
          <cell r="B514" t="str">
            <v>M06</v>
          </cell>
          <cell r="C514" t="str">
            <v>M06-[레이스랩]Pink Multi - ColorRopeLaces</v>
          </cell>
          <cell r="D514">
            <v>-1</v>
          </cell>
        </row>
        <row r="515">
          <cell r="B515" t="str">
            <v>M07</v>
          </cell>
          <cell r="C515" t="str">
            <v>M07-[레이스랩]Volt Multi - ColorRopeLaces</v>
          </cell>
          <cell r="D515">
            <v>-1</v>
          </cell>
        </row>
        <row r="516">
          <cell r="B516" t="str">
            <v>MF01</v>
          </cell>
          <cell r="C516" t="str">
            <v>MF01-[레이스랩]Grey/Black Multi-Color Flat Laces</v>
          </cell>
          <cell r="D516">
            <v>-3</v>
          </cell>
        </row>
        <row r="517">
          <cell r="B517" t="str">
            <v>MF02</v>
          </cell>
          <cell r="C517" t="str">
            <v>MF02-[레이스랩]Black/Red Multi-Color Flat Laces</v>
          </cell>
          <cell r="D517">
            <v>-1</v>
          </cell>
        </row>
        <row r="518">
          <cell r="B518" t="str">
            <v>MF03</v>
          </cell>
          <cell r="C518" t="str">
            <v>MF03-[레이스랩]Black/White Multi-Color Flat Laces</v>
          </cell>
          <cell r="D518">
            <v>-3</v>
          </cell>
        </row>
        <row r="519">
          <cell r="B519" t="str">
            <v>MF04</v>
          </cell>
          <cell r="C519" t="str">
            <v>MF04-[레이스랩]Grey/White Multi-Color Flat Laces</v>
          </cell>
          <cell r="D519">
            <v>-4</v>
          </cell>
        </row>
        <row r="520">
          <cell r="B520" t="str">
            <v>MF05</v>
          </cell>
          <cell r="C520" t="str">
            <v>MF05-[레이스랩]Beige/White Multi-Color Flat Laces</v>
          </cell>
          <cell r="D520">
            <v>-3</v>
          </cell>
        </row>
        <row r="521">
          <cell r="B521" t="str">
            <v>O02</v>
          </cell>
          <cell r="C521" t="str">
            <v>O02-[레이스랩]Blue  - OvalSBLaces</v>
          </cell>
          <cell r="D521">
            <v>-1</v>
          </cell>
        </row>
        <row r="522">
          <cell r="B522" t="str">
            <v>O03</v>
          </cell>
          <cell r="C522" t="str">
            <v>O03-[레이스랩]Carolina Blue  - OvalSBLaces</v>
          </cell>
          <cell r="D522">
            <v>-1</v>
          </cell>
        </row>
        <row r="523">
          <cell r="B523" t="str">
            <v>O07</v>
          </cell>
          <cell r="C523" t="str">
            <v>O07-[레이스랩]Orange  - OvalSBLaces</v>
          </cell>
          <cell r="D523">
            <v>0</v>
          </cell>
        </row>
        <row r="524">
          <cell r="B524" t="str">
            <v>O08</v>
          </cell>
          <cell r="C524" t="str">
            <v>O08-[레이스랩]Pink  - OvalSBLaces</v>
          </cell>
          <cell r="D524">
            <v>0</v>
          </cell>
        </row>
        <row r="525">
          <cell r="B525" t="str">
            <v>O10</v>
          </cell>
          <cell r="C525" t="str">
            <v>O10-[레이스랩]Red  - OvalSBLaces</v>
          </cell>
          <cell r="D525">
            <v>0</v>
          </cell>
        </row>
        <row r="526">
          <cell r="B526" t="str">
            <v>OW01</v>
          </cell>
          <cell r="C526" t="str">
            <v>Black Off-White Style "SHOELACES"</v>
          </cell>
          <cell r="D526">
            <v>-23</v>
          </cell>
        </row>
        <row r="527">
          <cell r="B527" t="str">
            <v>OW02</v>
          </cell>
          <cell r="C527" t="str">
            <v>White Off-White Style "SHOELACES</v>
          </cell>
          <cell r="D527">
            <v>-18</v>
          </cell>
        </row>
        <row r="528">
          <cell r="B528" t="str">
            <v>OW03</v>
          </cell>
          <cell r="C528" t="str">
            <v>Neon Orange Off-White Style "SHOELACES"</v>
          </cell>
          <cell r="D528">
            <v>-13</v>
          </cell>
        </row>
        <row r="529">
          <cell r="B529" t="str">
            <v>OW04</v>
          </cell>
          <cell r="C529" t="str">
            <v>Neon Green Off-White Style "SHOELACES"</v>
          </cell>
          <cell r="D529">
            <v>-4</v>
          </cell>
        </row>
        <row r="530">
          <cell r="B530" t="str">
            <v>OW05</v>
          </cell>
          <cell r="C530" t="str">
            <v>Purple Off-White Style "SHOELACES"</v>
          </cell>
          <cell r="D530">
            <v>-1</v>
          </cell>
        </row>
        <row r="531">
          <cell r="B531" t="str">
            <v>OW06</v>
          </cell>
          <cell r="C531" t="str">
            <v>Light Blue Off-White Style "SHOELACES"</v>
          </cell>
          <cell r="D531">
            <v>-3</v>
          </cell>
        </row>
        <row r="532">
          <cell r="B532" t="str">
            <v>R01</v>
          </cell>
          <cell r="C532" t="str">
            <v>R01-[레이스랩]Black/White Rope Laces</v>
          </cell>
          <cell r="D532">
            <v>-6</v>
          </cell>
        </row>
        <row r="533">
          <cell r="B533" t="str">
            <v>R02</v>
          </cell>
          <cell r="C533" t="str">
            <v>R02-[레이스랩]Grey/Black Rope Laces</v>
          </cell>
          <cell r="D533">
            <v>-81</v>
          </cell>
        </row>
        <row r="534">
          <cell r="B534" t="str">
            <v>R03</v>
          </cell>
          <cell r="C534" t="str">
            <v>R03-[레이스랩]Grey/White Rope Laces</v>
          </cell>
          <cell r="D534">
            <v>-4</v>
          </cell>
        </row>
        <row r="535">
          <cell r="B535" t="str">
            <v>R04</v>
          </cell>
          <cell r="C535" t="str">
            <v>R04-[레이스랩]Black/Red Rope Laces</v>
          </cell>
          <cell r="D535">
            <v>-4</v>
          </cell>
        </row>
        <row r="536">
          <cell r="B536" t="str">
            <v>R07</v>
          </cell>
          <cell r="C536" t="str">
            <v>R07-[레이스랩]Blue/Black Rope Laces</v>
          </cell>
          <cell r="D536">
            <v>-1</v>
          </cell>
        </row>
        <row r="537">
          <cell r="B537" t="str">
            <v>R08</v>
          </cell>
          <cell r="C537" t="str">
            <v>R08-[레이스랩]Mint/Black Rope Laces</v>
          </cell>
          <cell r="D537">
            <v>-1</v>
          </cell>
        </row>
        <row r="538">
          <cell r="B538" t="str">
            <v>R09</v>
          </cell>
          <cell r="C538" t="str">
            <v>R09-[레이스랩]Oxford Tan Rope Laces</v>
          </cell>
          <cell r="D538">
            <v>-8</v>
          </cell>
        </row>
        <row r="539">
          <cell r="B539" t="str">
            <v>R10</v>
          </cell>
          <cell r="C539" t="str">
            <v>R10-[레이스랩]Metallic Red/Black Rope Laces</v>
          </cell>
          <cell r="D539">
            <v>-3</v>
          </cell>
        </row>
        <row r="540">
          <cell r="B540" t="str">
            <v>R11</v>
          </cell>
          <cell r="C540" t="str">
            <v>R11-[레이스랩]Metallic Gold/White Rope Laces</v>
          </cell>
          <cell r="D540">
            <v>-7</v>
          </cell>
        </row>
        <row r="541">
          <cell r="B541" t="str">
            <v>R12</v>
          </cell>
          <cell r="C541" t="str">
            <v>R12-[레이스랩]Olive/Black Rope Laces</v>
          </cell>
          <cell r="D541">
            <v>-1</v>
          </cell>
        </row>
        <row r="542">
          <cell r="B542" t="str">
            <v>R13</v>
          </cell>
          <cell r="C542" t="str">
            <v>R13-[레이스랩]Pink/White Rope Laces</v>
          </cell>
          <cell r="D542">
            <v>-1</v>
          </cell>
        </row>
        <row r="543">
          <cell r="B543" t="str">
            <v>R14</v>
          </cell>
          <cell r="C543" t="str">
            <v>R14-[레이스랩]Mint Green/White Rope Laces</v>
          </cell>
          <cell r="D543">
            <v>-6</v>
          </cell>
        </row>
        <row r="544">
          <cell r="B544" t="str">
            <v>R15</v>
          </cell>
          <cell r="C544" t="str">
            <v>R15-[레이스랩]Volt/Black Rope Laces</v>
          </cell>
          <cell r="D544">
            <v>-3</v>
          </cell>
        </row>
        <row r="545">
          <cell r="B545" t="str">
            <v>R16</v>
          </cell>
          <cell r="C545" t="str">
            <v>R16-[레이스랩]Green/White Rope Laces</v>
          </cell>
          <cell r="D545">
            <v>-3</v>
          </cell>
        </row>
        <row r="546">
          <cell r="B546" t="str">
            <v>R19</v>
          </cell>
          <cell r="C546" t="str">
            <v>R19-[레이스랩]Red/Orange Rope Laces</v>
          </cell>
          <cell r="D546">
            <v>-1</v>
          </cell>
        </row>
        <row r="547">
          <cell r="B547" t="str">
            <v>R22</v>
          </cell>
          <cell r="C547" t="str">
            <v>R22-[레이스랩]Purple/Black Rope Laces</v>
          </cell>
          <cell r="D547">
            <v>-3</v>
          </cell>
        </row>
        <row r="548">
          <cell r="B548" t="str">
            <v>R23</v>
          </cell>
          <cell r="C548" t="str">
            <v>R23-[레이스랩]Yellow/Black Rope Laces</v>
          </cell>
          <cell r="D548">
            <v>-2</v>
          </cell>
        </row>
        <row r="549">
          <cell r="B549" t="str">
            <v>R24</v>
          </cell>
          <cell r="C549" t="str">
            <v>R24-[레이스랩]Yellow/White Rope Laces</v>
          </cell>
          <cell r="D549">
            <v>-2</v>
          </cell>
        </row>
        <row r="550">
          <cell r="B550" t="str">
            <v>R25</v>
          </cell>
          <cell r="C550" t="str">
            <v>R25-[레이스랩]Black/Tan Rope Laces</v>
          </cell>
          <cell r="D550">
            <v>-5</v>
          </cell>
        </row>
        <row r="551">
          <cell r="B551" t="str">
            <v>R26</v>
          </cell>
          <cell r="C551" t="str">
            <v>R26-[레이스랩]Cream/White Rope Laces</v>
          </cell>
          <cell r="D551">
            <v>-5</v>
          </cell>
        </row>
        <row r="552">
          <cell r="B552" t="str">
            <v>R27</v>
          </cell>
          <cell r="C552" t="str">
            <v>R27-[레이스랩]Black/Metallic Gold v2.0 Rope Laces</v>
          </cell>
          <cell r="D552">
            <v>-5</v>
          </cell>
        </row>
        <row r="553">
          <cell r="B553" t="str">
            <v>R28</v>
          </cell>
          <cell r="C553" t="str">
            <v>R28-[레이스랩]White/Metallic Gold v2.0 Rope Laces</v>
          </cell>
          <cell r="D553">
            <v>-7</v>
          </cell>
        </row>
        <row r="554">
          <cell r="B554" t="str">
            <v>R29</v>
          </cell>
          <cell r="C554" t="str">
            <v>R29-[레이스랩]Green/Black Rope Laces</v>
          </cell>
          <cell r="D554">
            <v>-3</v>
          </cell>
        </row>
        <row r="555">
          <cell r="B555" t="str">
            <v>R34</v>
          </cell>
          <cell r="C555" t="str">
            <v>R34-[레이스랩]Beige Rope Laces</v>
          </cell>
          <cell r="D555">
            <v>-22</v>
          </cell>
        </row>
        <row r="556">
          <cell r="B556" t="str">
            <v>R35</v>
          </cell>
          <cell r="C556" t="str">
            <v>R35-[레이스랩]Black Rope Laces</v>
          </cell>
          <cell r="D556">
            <v>-19</v>
          </cell>
        </row>
        <row r="557">
          <cell r="B557" t="str">
            <v>R36</v>
          </cell>
          <cell r="C557" t="str">
            <v>R36-[레이스랩]White Rope Laces</v>
          </cell>
          <cell r="D557">
            <v>-33</v>
          </cell>
        </row>
        <row r="558">
          <cell r="B558" t="str">
            <v>R37</v>
          </cell>
          <cell r="C558" t="str">
            <v>R37-[레이스랩]Blue Rope Laces</v>
          </cell>
          <cell r="D558">
            <v>-3</v>
          </cell>
        </row>
        <row r="559">
          <cell r="B559" t="str">
            <v>R38</v>
          </cell>
          <cell r="C559" t="str">
            <v>R38-[레이스랩]Red Rope Laces</v>
          </cell>
          <cell r="D559">
            <v>-1</v>
          </cell>
        </row>
        <row r="560">
          <cell r="B560" t="str">
            <v>R39</v>
          </cell>
          <cell r="C560" t="str">
            <v>R39-[레이스랩]Navy Blue Rope Laces</v>
          </cell>
          <cell r="D560">
            <v>-1</v>
          </cell>
        </row>
        <row r="561">
          <cell r="B561" t="str">
            <v>RF01</v>
          </cell>
          <cell r="C561" t="str">
            <v>RF01-[레이스랩]White  - ReflectiveFlatLaces1.0</v>
          </cell>
          <cell r="D561">
            <v>-4</v>
          </cell>
        </row>
        <row r="562">
          <cell r="B562" t="str">
            <v>RF02</v>
          </cell>
          <cell r="C562" t="str">
            <v xml:space="preserve">RF02-[레이스랩]Black Reflective Flat Laces1.0 </v>
          </cell>
          <cell r="D562">
            <v>-3</v>
          </cell>
        </row>
        <row r="563">
          <cell r="B563" t="str">
            <v>RF03</v>
          </cell>
          <cell r="C563" t="str">
            <v>RF03-[레이스랩]Red  - ReflectiveFlatLaces1.0</v>
          </cell>
          <cell r="D563">
            <v>-4</v>
          </cell>
        </row>
        <row r="564">
          <cell r="B564" t="str">
            <v>RF05</v>
          </cell>
          <cell r="C564" t="str">
            <v>RF05-[레이스랩]White  - ReflectiveFlatLaces2.0</v>
          </cell>
          <cell r="D564">
            <v>-7</v>
          </cell>
        </row>
        <row r="565">
          <cell r="B565" t="str">
            <v>RF06</v>
          </cell>
          <cell r="C565" t="str">
            <v>RF06-[레이스랩]Black  - ReflectiveFlatLaces2.0</v>
          </cell>
          <cell r="D565">
            <v>-8</v>
          </cell>
        </row>
        <row r="566">
          <cell r="B566" t="str">
            <v>RF08</v>
          </cell>
          <cell r="C566" t="str">
            <v>RF08-[레이스랩]Red  - ReflectiveFlatLaces2.0</v>
          </cell>
          <cell r="D566">
            <v>-2</v>
          </cell>
        </row>
        <row r="567">
          <cell r="B567" t="str">
            <v>RF10</v>
          </cell>
          <cell r="C567" t="str">
            <v>RF10-[레이스랩]Mint  - ReflectiveFlatLaces2.0</v>
          </cell>
          <cell r="D567">
            <v>-2</v>
          </cell>
        </row>
        <row r="568">
          <cell r="B568" t="str">
            <v>RF11</v>
          </cell>
          <cell r="C568" t="str">
            <v>RF11-[레이스랩]Volt  - ReflectiveFlatLaces2.0</v>
          </cell>
          <cell r="D568">
            <v>-4</v>
          </cell>
        </row>
        <row r="569">
          <cell r="B569" t="str">
            <v>RF12</v>
          </cell>
          <cell r="C569" t="str">
            <v>RF12-[레이스랩]Black Reflective Flat Laces</v>
          </cell>
          <cell r="D569">
            <v>-1</v>
          </cell>
        </row>
        <row r="570">
          <cell r="B570" t="str">
            <v>RF13</v>
          </cell>
          <cell r="C570" t="str">
            <v>RF13-[레이스랩]Silver Reflective Flat Laces</v>
          </cell>
          <cell r="D570">
            <v>-7</v>
          </cell>
        </row>
        <row r="571">
          <cell r="B571" t="str">
            <v>RF14</v>
          </cell>
          <cell r="C571" t="str">
            <v>RF14-[레이스랩]White Reflective Flat Laces</v>
          </cell>
          <cell r="D571">
            <v>-10</v>
          </cell>
        </row>
        <row r="572">
          <cell r="B572" t="str">
            <v>RF15</v>
          </cell>
          <cell r="C572" t="str">
            <v>RF15-[레이스랩]Navy Blue  - ReflectiveFlatLaces1.0</v>
          </cell>
          <cell r="D572">
            <v>-2</v>
          </cell>
        </row>
        <row r="573">
          <cell r="B573" t="str">
            <v>RF17</v>
          </cell>
          <cell r="C573" t="str">
            <v>RF17-[레이스랩]Sapphire - Reflective Flat Laces 2.0</v>
          </cell>
          <cell r="D573">
            <v>0</v>
          </cell>
        </row>
        <row r="574">
          <cell r="B574" t="str">
            <v>RF18</v>
          </cell>
          <cell r="C574" t="str">
            <v>RF18-[레이스랩]Navy Blue - Reflective Flat Laces 2.0</v>
          </cell>
          <cell r="D574">
            <v>-2</v>
          </cell>
        </row>
        <row r="575">
          <cell r="B575" t="str">
            <v>RF19</v>
          </cell>
          <cell r="C575" t="str">
            <v>RF19-[레이스랩]Olive - Reflective Flat Laces 1.0</v>
          </cell>
          <cell r="D575">
            <v>0</v>
          </cell>
        </row>
        <row r="576">
          <cell r="B576" t="str">
            <v>RF20</v>
          </cell>
          <cell r="C576" t="str">
            <v>RF20-[레이스랩]Olive - Reflective Flat Laces 2.0</v>
          </cell>
          <cell r="D576">
            <v>-1</v>
          </cell>
        </row>
        <row r="577">
          <cell r="B577" t="str">
            <v>RO01</v>
          </cell>
          <cell r="C577" t="str">
            <v>RO01-[레이스랩]Beige Roshe - StyleLaces</v>
          </cell>
          <cell r="D577">
            <v>-3</v>
          </cell>
        </row>
        <row r="578">
          <cell r="B578" t="str">
            <v>RO02</v>
          </cell>
          <cell r="C578" t="str">
            <v>RO02-[레이스랩]Black Roshe - StyleLaces</v>
          </cell>
          <cell r="D578">
            <v>-5</v>
          </cell>
        </row>
        <row r="579">
          <cell r="B579" t="str">
            <v>RO03</v>
          </cell>
          <cell r="C579" t="str">
            <v>RO03-[레이스랩]Bone Roshe - StyleLaces</v>
          </cell>
          <cell r="D579">
            <v>-3</v>
          </cell>
        </row>
        <row r="580">
          <cell r="B580" t="str">
            <v>RO04</v>
          </cell>
          <cell r="C580" t="str">
            <v>RO04-[레이스랩]Cappuccino Roshe - StyleLaces</v>
          </cell>
          <cell r="D580">
            <v>-3</v>
          </cell>
        </row>
        <row r="581">
          <cell r="B581" t="str">
            <v>RO05</v>
          </cell>
          <cell r="C581" t="str">
            <v>RO05-[레이스랩]Chocolate Roshe - StyleLaces</v>
          </cell>
          <cell r="D581">
            <v>-7</v>
          </cell>
        </row>
        <row r="582">
          <cell r="B582" t="str">
            <v>RO06</v>
          </cell>
          <cell r="C582" t="str">
            <v>RO06-[레이스랩]Dark Brown Roshe - StyleLaces</v>
          </cell>
          <cell r="D582">
            <v>-3</v>
          </cell>
        </row>
        <row r="583">
          <cell r="B583" t="str">
            <v>RO07</v>
          </cell>
          <cell r="C583" t="str">
            <v>RO07-[레이스랩]Hunter Green Roshe - StyleLaces</v>
          </cell>
          <cell r="D583">
            <v>-3</v>
          </cell>
        </row>
        <row r="584">
          <cell r="B584" t="str">
            <v>RO08</v>
          </cell>
          <cell r="C584" t="str">
            <v>RO08-[레이스랩]Navy Blue Roshe - StyleLaces</v>
          </cell>
          <cell r="D584">
            <v>-7</v>
          </cell>
        </row>
        <row r="585">
          <cell r="B585" t="str">
            <v>RO09</v>
          </cell>
          <cell r="C585" t="str">
            <v>RO09-[레이스랩]Neon Green Roshe - StyleLaces</v>
          </cell>
          <cell r="D585">
            <v>-1</v>
          </cell>
        </row>
        <row r="586">
          <cell r="B586" t="str">
            <v>RO10</v>
          </cell>
          <cell r="C586" t="str">
            <v>RO10-[레이스랩]Neon Pink Roshe - StyleLaces</v>
          </cell>
          <cell r="D586">
            <v>-2</v>
          </cell>
        </row>
        <row r="587">
          <cell r="B587" t="str">
            <v>RO11</v>
          </cell>
          <cell r="C587" t="str">
            <v>RO11-[레이스랩]Red Roshe - StyleLaces</v>
          </cell>
          <cell r="D587">
            <v>-1</v>
          </cell>
        </row>
        <row r="588">
          <cell r="B588" t="str">
            <v>RO12</v>
          </cell>
          <cell r="C588" t="str">
            <v>RO12-[레이스랩]White Roshe - StyleLaces</v>
          </cell>
          <cell r="D588">
            <v>-7</v>
          </cell>
        </row>
        <row r="589">
          <cell r="B589" t="str">
            <v>RO13</v>
          </cell>
          <cell r="C589" t="str">
            <v>RO13-[레이스랩]Yellow Roshe - StyleLaces</v>
          </cell>
          <cell r="D589">
            <v>-2</v>
          </cell>
        </row>
        <row r="590">
          <cell r="B590" t="str">
            <v>T01</v>
          </cell>
          <cell r="C590" t="str">
            <v>T01-[레이스랩]Black  - ThinOvalLaces</v>
          </cell>
          <cell r="D590">
            <v>-4</v>
          </cell>
        </row>
        <row r="591">
          <cell r="B591" t="str">
            <v>T02</v>
          </cell>
          <cell r="C591" t="str">
            <v>T02-[레이스랩]Black/Red  - ThinOvalLaces</v>
          </cell>
          <cell r="D591">
            <v>-1</v>
          </cell>
        </row>
        <row r="592">
          <cell r="B592" t="str">
            <v>T03</v>
          </cell>
          <cell r="C592" t="str">
            <v>T03-[레이스랩]Flaming Orange  - ThinOvalLaces</v>
          </cell>
          <cell r="D592">
            <v>-1</v>
          </cell>
        </row>
        <row r="593">
          <cell r="B593" t="str">
            <v>T05</v>
          </cell>
          <cell r="C593" t="str">
            <v>T05-[레이스랩]Light Grey  - ThinOvalLaces</v>
          </cell>
          <cell r="D593">
            <v>-5</v>
          </cell>
        </row>
        <row r="594">
          <cell r="B594" t="str">
            <v>T06</v>
          </cell>
          <cell r="C594" t="str">
            <v>T06-[레이스랩]Navy Blue  - ThinOvalLaces</v>
          </cell>
          <cell r="D594">
            <v>-3</v>
          </cell>
        </row>
        <row r="595">
          <cell r="B595" t="str">
            <v>T07</v>
          </cell>
          <cell r="C595" t="str">
            <v>T07-[레이스랩]Red  - ThinOvalLaces</v>
          </cell>
          <cell r="D595">
            <v>-5</v>
          </cell>
        </row>
        <row r="596">
          <cell r="B596" t="str">
            <v>T08</v>
          </cell>
          <cell r="C596" t="str">
            <v>T08-[레이스랩]Royal Blue  - ThinOvalLaces</v>
          </cell>
          <cell r="D596">
            <v>-2</v>
          </cell>
        </row>
        <row r="597">
          <cell r="B597" t="str">
            <v>T09</v>
          </cell>
          <cell r="C597" t="str">
            <v>T09-[레이스랩]Volt  - ThinOvalLaces</v>
          </cell>
          <cell r="D597">
            <v>-6</v>
          </cell>
        </row>
        <row r="598">
          <cell r="B598" t="str">
            <v>T10</v>
          </cell>
          <cell r="C598" t="str">
            <v>T10-[레이스랩]White  - ThinOvalLaces</v>
          </cell>
          <cell r="D598">
            <v>-12</v>
          </cell>
        </row>
        <row r="599">
          <cell r="B599" t="str">
            <v>W01</v>
          </cell>
          <cell r="C599" t="str">
            <v>[레이스랩] W01-"Black Waxed Shoe Laces</v>
          </cell>
          <cell r="D599">
            <v>-58</v>
          </cell>
        </row>
        <row r="600">
          <cell r="B600" t="str">
            <v>W02</v>
          </cell>
          <cell r="C600" t="str">
            <v>[레이스랩] W02-"White Waxed Shoe Laces</v>
          </cell>
          <cell r="D600">
            <v>-24</v>
          </cell>
        </row>
        <row r="601">
          <cell r="B601" t="str">
            <v>W03</v>
          </cell>
          <cell r="C601" t="str">
            <v>[레이스랩] W03-"Red Waxed Shoe Laces</v>
          </cell>
          <cell r="D601">
            <v>-9</v>
          </cell>
        </row>
        <row r="602">
          <cell r="B602" t="str">
            <v>W04</v>
          </cell>
          <cell r="C602" t="str">
            <v>[레이스랩] W04-"Royal Blue Waxed Shoe Laces</v>
          </cell>
          <cell r="D602">
            <v>-1</v>
          </cell>
        </row>
        <row r="603">
          <cell r="B603" t="str">
            <v>X01</v>
          </cell>
          <cell r="C603" t="str">
            <v>X01-[레이스랩]Black  - XIRopeLaces</v>
          </cell>
          <cell r="D603">
            <v>-12</v>
          </cell>
        </row>
        <row r="604">
          <cell r="B604" t="str">
            <v>X02</v>
          </cell>
          <cell r="C604" t="str">
            <v>X02-[레이스랩]Cool Grey  - XIRopeLaces</v>
          </cell>
          <cell r="D604">
            <v>-7</v>
          </cell>
        </row>
        <row r="605">
          <cell r="B605" t="str">
            <v>X03</v>
          </cell>
          <cell r="C605" t="str">
            <v>X03-[레이스랩]Gamma Blue  - XIRopeLaces</v>
          </cell>
          <cell r="D605">
            <v>-1</v>
          </cell>
        </row>
        <row r="606">
          <cell r="B606" t="str">
            <v>X04</v>
          </cell>
          <cell r="C606" t="str">
            <v>X04-[레이스랩]Grape  - XIRopeLaces</v>
          </cell>
          <cell r="D606">
            <v>-1</v>
          </cell>
        </row>
        <row r="607">
          <cell r="B607" t="str">
            <v>X05</v>
          </cell>
          <cell r="C607" t="str">
            <v>X05-[레이스랩]Legend Blue  - XIRopeLaces</v>
          </cell>
          <cell r="D607">
            <v>-2</v>
          </cell>
        </row>
        <row r="608">
          <cell r="B608" t="str">
            <v>X06</v>
          </cell>
          <cell r="C608" t="str">
            <v>X06-[레이스랩]Light Grey  - XIRopeLaces</v>
          </cell>
          <cell r="D608">
            <v>-7</v>
          </cell>
        </row>
        <row r="609">
          <cell r="B609" t="str">
            <v>X07</v>
          </cell>
          <cell r="C609" t="str">
            <v>X07-[레이스랩]Navy Blue  - XIRopeLaces</v>
          </cell>
          <cell r="D609">
            <v>-5</v>
          </cell>
        </row>
        <row r="610">
          <cell r="B610" t="str">
            <v>X08</v>
          </cell>
          <cell r="C610" t="str">
            <v>X08-[레이스랩]Red  - XILaces</v>
          </cell>
          <cell r="D610">
            <v>-8</v>
          </cell>
        </row>
        <row r="611">
          <cell r="B611" t="str">
            <v>X09</v>
          </cell>
          <cell r="C611" t="str">
            <v>X09-[레이스랩]Royal Blue  - XIRopeLaces</v>
          </cell>
          <cell r="D611">
            <v>-1</v>
          </cell>
        </row>
        <row r="612">
          <cell r="B612" t="str">
            <v>X10</v>
          </cell>
          <cell r="C612" t="str">
            <v>X10-[레이스랩]White  - XIRopeLaces</v>
          </cell>
          <cell r="D612">
            <v>-14</v>
          </cell>
        </row>
        <row r="613">
          <cell r="A613" t="str">
            <v>7-1.슈구</v>
          </cell>
          <cell r="B613" t="str">
            <v>슈구 클리너키트</v>
          </cell>
          <cell r="C613" t="str">
            <v>슈구 클리너키트</v>
          </cell>
          <cell r="D613">
            <v>198</v>
          </cell>
        </row>
        <row r="614">
          <cell r="B614" t="str">
            <v>슈구스피드</v>
          </cell>
          <cell r="C614" t="str">
            <v>슈구스피드</v>
          </cell>
          <cell r="D614">
            <v>-60</v>
          </cell>
        </row>
        <row r="615">
          <cell r="B615" t="str">
            <v>슈구자연</v>
          </cell>
          <cell r="C615" t="str">
            <v>슈구자연</v>
          </cell>
          <cell r="D615">
            <v>1797</v>
          </cell>
        </row>
        <row r="616">
          <cell r="B616" t="str">
            <v>슈구클리너</v>
          </cell>
          <cell r="C616" t="str">
            <v>슈구클리너 200ml</v>
          </cell>
          <cell r="D616">
            <v>14</v>
          </cell>
        </row>
        <row r="617">
          <cell r="B617" t="str">
            <v>슈구클리너키트</v>
          </cell>
          <cell r="C617" t="str">
            <v>슈구클리너키트</v>
          </cell>
          <cell r="D617">
            <v>-4</v>
          </cell>
        </row>
        <row r="618">
          <cell r="B618" t="str">
            <v>스피드구</v>
          </cell>
          <cell r="C618" t="str">
            <v>스피드구</v>
          </cell>
          <cell r="D618">
            <v>0</v>
          </cell>
        </row>
        <row r="619">
          <cell r="A619" t="str">
            <v>7-2.Aglet</v>
          </cell>
          <cell r="B619" t="str">
            <v>flatblack_bullet</v>
          </cell>
          <cell r="C619" t="str">
            <v>Flat Black Bullet Aglets</v>
          </cell>
          <cell r="D619">
            <v>-1</v>
          </cell>
        </row>
        <row r="620">
          <cell r="B620" t="str">
            <v>flatblack_sylinder</v>
          </cell>
          <cell r="C620" t="str">
            <v>[레이스랩] 플랫블랙 실린더 애글렛</v>
          </cell>
          <cell r="D620">
            <v>-9</v>
          </cell>
        </row>
        <row r="621">
          <cell r="B621" t="str">
            <v>gold_bullet</v>
          </cell>
          <cell r="C621" t="str">
            <v>[레이스랩] 골드 불렛 애글렛</v>
          </cell>
          <cell r="D621">
            <v>-13</v>
          </cell>
        </row>
        <row r="622">
          <cell r="B622" t="str">
            <v>gold_sylinder</v>
          </cell>
          <cell r="C622" t="str">
            <v>[레이스랩] 골드 실린더 애글렛</v>
          </cell>
          <cell r="D622">
            <v>-8</v>
          </cell>
        </row>
        <row r="623">
          <cell r="B623" t="str">
            <v>gold_yeezy</v>
          </cell>
          <cell r="C623" t="str">
            <v>[레이스랩] 골드 메탈 애글렛[이지스타일]</v>
          </cell>
          <cell r="D623">
            <v>-16</v>
          </cell>
        </row>
        <row r="624">
          <cell r="B624" t="str">
            <v>gunmetal_bullet</v>
          </cell>
          <cell r="C624" t="str">
            <v>[레이스랩] 건메탈 불렛 애글렛</v>
          </cell>
          <cell r="D624">
            <v>-17</v>
          </cell>
        </row>
        <row r="625">
          <cell r="B625" t="str">
            <v>gunmetal_sylinder</v>
          </cell>
          <cell r="C625" t="str">
            <v>[레이스랩] 건메탈 실린더 애글렛</v>
          </cell>
          <cell r="D625">
            <v>-13</v>
          </cell>
        </row>
        <row r="626">
          <cell r="B626" t="str">
            <v>gunmetal_yeezy</v>
          </cell>
          <cell r="C626" t="str">
            <v>[레이스랩] 건메탈 메탈 애글렛[이지스타일]</v>
          </cell>
          <cell r="D626">
            <v>-4</v>
          </cell>
        </row>
        <row r="627">
          <cell r="B627" t="str">
            <v>neo_crome_bullet</v>
          </cell>
          <cell r="C627" t="str">
            <v>Neo Chrome Bullet Aglets</v>
          </cell>
          <cell r="D627">
            <v>-2</v>
          </cell>
        </row>
        <row r="628">
          <cell r="B628" t="str">
            <v>neo_crome_sylinder</v>
          </cell>
          <cell r="C628" t="str">
            <v>[레이스랩] 네오 크롬 실린더 애글렛</v>
          </cell>
          <cell r="D628">
            <v>-14</v>
          </cell>
        </row>
        <row r="629">
          <cell r="B629" t="str">
            <v>rosegold_bullet</v>
          </cell>
          <cell r="C629" t="str">
            <v>Rose Gold Bullet Aglets</v>
          </cell>
          <cell r="D629">
            <v>-1</v>
          </cell>
        </row>
        <row r="630">
          <cell r="B630" t="str">
            <v>rosegold_sylinder</v>
          </cell>
          <cell r="C630" t="str">
            <v>Rose Gold Cylinder Aglets</v>
          </cell>
          <cell r="D630">
            <v>-1</v>
          </cell>
        </row>
        <row r="631">
          <cell r="B631" t="str">
            <v>silver_bullet</v>
          </cell>
          <cell r="C631" t="str">
            <v>[레이스랩] 실버 불렛 애글렛</v>
          </cell>
          <cell r="D631">
            <v>-15</v>
          </cell>
        </row>
        <row r="632">
          <cell r="B632" t="str">
            <v>silver_sylinder</v>
          </cell>
          <cell r="C632" t="str">
            <v>[레이스랩] 실버 실린더 애글렛</v>
          </cell>
          <cell r="D632">
            <v>-12</v>
          </cell>
        </row>
        <row r="633">
          <cell r="B633" t="str">
            <v>silver_yeezy</v>
          </cell>
          <cell r="C633" t="str">
            <v>[레이스랩] 실버 메탈 애글렛[이지스타일]</v>
          </cell>
          <cell r="D633">
            <v>-13</v>
          </cell>
        </row>
        <row r="634">
          <cell r="A634" t="str">
            <v>8-1.SneakerShield</v>
          </cell>
          <cell r="B634">
            <v>640816954175</v>
          </cell>
          <cell r="C634" t="str">
            <v>[스니커쉴드] 윈터부츠 Medium</v>
          </cell>
          <cell r="D634">
            <v>-1</v>
          </cell>
        </row>
        <row r="635">
          <cell r="B635">
            <v>649906438960</v>
          </cell>
          <cell r="C635" t="str">
            <v>[스니커쉴드] 매직와이프</v>
          </cell>
          <cell r="D635">
            <v>0</v>
          </cell>
        </row>
        <row r="636">
          <cell r="B636">
            <v>705020599069</v>
          </cell>
          <cell r="C636" t="str">
            <v>[스니커쉴드] 프로텍터 Medium</v>
          </cell>
          <cell r="D636">
            <v>-14</v>
          </cell>
        </row>
        <row r="637">
          <cell r="B637">
            <v>705020599076</v>
          </cell>
          <cell r="C637" t="str">
            <v xml:space="preserve">[스니커쉴드] 프로텍터 Small </v>
          </cell>
          <cell r="D637">
            <v>-17</v>
          </cell>
        </row>
        <row r="638">
          <cell r="B638">
            <v>705020599106</v>
          </cell>
          <cell r="C638" t="str">
            <v>[스니커쉴드] 스포츠 Small</v>
          </cell>
          <cell r="D638">
            <v>-10</v>
          </cell>
        </row>
        <row r="639">
          <cell r="B639">
            <v>705020599113</v>
          </cell>
          <cell r="C639" t="str">
            <v>[스니커쉴드] 부츠 Small</v>
          </cell>
          <cell r="D639">
            <v>-2</v>
          </cell>
        </row>
        <row r="640">
          <cell r="B640">
            <v>705020599120</v>
          </cell>
          <cell r="C640" t="str">
            <v>[스니커쉴드] 부츠 Medium</v>
          </cell>
          <cell r="D640">
            <v>-1</v>
          </cell>
        </row>
        <row r="641">
          <cell r="B641">
            <v>705020599144</v>
          </cell>
          <cell r="C641" t="str">
            <v>[스니커쉴드] 윈터부츠 Small</v>
          </cell>
          <cell r="D641">
            <v>-2</v>
          </cell>
        </row>
        <row r="642">
          <cell r="B642">
            <v>783583294833</v>
          </cell>
          <cell r="C642" t="str">
            <v>[스니커쉴드] 유니버살 Small</v>
          </cell>
          <cell r="D642">
            <v>-54</v>
          </cell>
        </row>
        <row r="643">
          <cell r="B643">
            <v>783583298476</v>
          </cell>
          <cell r="C643" t="str">
            <v>[스니커쉴드] 유니버살 Medium</v>
          </cell>
          <cell r="D643">
            <v>-24</v>
          </cell>
        </row>
        <row r="644">
          <cell r="A644" t="str">
            <v>#N/A</v>
          </cell>
          <cell r="B644" t="str">
            <v>입금</v>
          </cell>
          <cell r="C644" t="str">
            <v>#N/A</v>
          </cell>
          <cell r="D644">
            <v>711521330</v>
          </cell>
        </row>
        <row r="645">
          <cell r="C645" t="str">
            <v>입금</v>
          </cell>
          <cell r="D645">
            <v>96502200</v>
          </cell>
        </row>
        <row r="646">
          <cell r="B646" t="str">
            <v>(비어 있음)</v>
          </cell>
          <cell r="C646" t="str">
            <v>#N/A</v>
          </cell>
          <cell r="D646">
            <v>0</v>
          </cell>
        </row>
        <row r="647">
          <cell r="A647" t="str">
            <v>(비어 있음)</v>
          </cell>
          <cell r="B647" t="str">
            <v>F01</v>
          </cell>
          <cell r="C647" t="str">
            <v>레이스랩반품</v>
          </cell>
          <cell r="D647">
            <v>2</v>
          </cell>
        </row>
        <row r="648">
          <cell r="B648" t="str">
            <v>(비어 있음)</v>
          </cell>
          <cell r="C648" t="str">
            <v>(비어 있음)</v>
          </cell>
        </row>
        <row r="649">
          <cell r="A649" t="str">
            <v>총합계</v>
          </cell>
          <cell r="D649">
            <v>808070452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392A-D1BD-492E-8458-4D57178CAB22}">
  <sheetPr filterMode="1"/>
  <dimension ref="A1:Y401"/>
  <sheetViews>
    <sheetView tabSelected="1" workbookViewId="0">
      <pane ySplit="2" topLeftCell="A189" activePane="bottomLeft" state="frozen"/>
      <selection pane="bottomLeft" activeCell="Q336" sqref="Q336"/>
    </sheetView>
  </sheetViews>
  <sheetFormatPr defaultRowHeight="16.5" x14ac:dyDescent="0.3"/>
  <cols>
    <col min="2" max="2" width="14.375" customWidth="1"/>
    <col min="3" max="3" width="30.75" customWidth="1"/>
    <col min="4" max="16" width="9" hidden="1" customWidth="1"/>
    <col min="17" max="17" width="43.125" customWidth="1"/>
    <col min="18" max="18" width="9" customWidth="1"/>
    <col min="19" max="19" width="9" style="19"/>
    <col min="20" max="20" width="9" style="21"/>
    <col min="21" max="21" width="9" style="19"/>
    <col min="22" max="22" width="9" style="21"/>
    <col min="25" max="25" width="9.375" style="19" bestFit="1" customWidth="1"/>
  </cols>
  <sheetData>
    <row r="1" spans="1:25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2"/>
      <c r="S1" s="18" t="s">
        <v>479</v>
      </c>
      <c r="T1" s="20" t="s">
        <v>480</v>
      </c>
      <c r="U1" s="18" t="s">
        <v>481</v>
      </c>
      <c r="V1" s="20" t="s">
        <v>482</v>
      </c>
      <c r="X1" t="s">
        <v>483</v>
      </c>
      <c r="Y1" s="19" t="s">
        <v>484</v>
      </c>
    </row>
    <row r="2" spans="1:25" hidden="1" x14ac:dyDescent="0.3">
      <c r="A2" s="5">
        <v>0</v>
      </c>
      <c r="B2" s="6">
        <v>72004072</v>
      </c>
      <c r="C2" t="s">
        <v>16</v>
      </c>
      <c r="D2" s="7"/>
      <c r="E2" s="8"/>
      <c r="F2" s="8"/>
      <c r="G2" s="8"/>
      <c r="H2" s="8">
        <v>-1</v>
      </c>
      <c r="I2" s="8"/>
      <c r="J2" s="8">
        <v>-1</v>
      </c>
      <c r="K2" s="8"/>
      <c r="L2" s="8"/>
      <c r="M2" s="8">
        <v>-3</v>
      </c>
      <c r="N2" s="8"/>
      <c r="O2" s="8"/>
      <c r="P2" s="8">
        <v>-5</v>
      </c>
      <c r="Q2" s="23"/>
      <c r="Y2" s="19">
        <f>SUM(Y3:Y400)</f>
        <v>46346</v>
      </c>
    </row>
    <row r="3" spans="1:25" hidden="1" x14ac:dyDescent="0.3">
      <c r="A3" s="5"/>
      <c r="B3" s="6" t="s">
        <v>17</v>
      </c>
      <c r="C3" t="s">
        <v>18</v>
      </c>
      <c r="D3" s="7"/>
      <c r="E3" s="8"/>
      <c r="F3" s="8"/>
      <c r="G3" s="8"/>
      <c r="H3" s="8">
        <v>-10</v>
      </c>
      <c r="I3" s="8"/>
      <c r="J3" s="8"/>
      <c r="K3" s="8"/>
      <c r="L3" s="8"/>
      <c r="M3" s="8"/>
      <c r="N3" s="8"/>
      <c r="O3" s="8"/>
      <c r="P3" s="8">
        <v>-10</v>
      </c>
      <c r="Q3" s="23"/>
    </row>
    <row r="4" spans="1:25" hidden="1" x14ac:dyDescent="0.3">
      <c r="A4" s="5"/>
      <c r="B4" s="6" t="s">
        <v>19</v>
      </c>
      <c r="C4" t="s">
        <v>20</v>
      </c>
      <c r="D4" s="7"/>
      <c r="E4" s="8"/>
      <c r="F4" s="8"/>
      <c r="G4" s="8"/>
      <c r="H4" s="8">
        <v>-10</v>
      </c>
      <c r="I4" s="8"/>
      <c r="J4" s="8"/>
      <c r="K4" s="8"/>
      <c r="L4" s="8"/>
      <c r="M4" s="8"/>
      <c r="N4" s="8"/>
      <c r="O4" s="8"/>
      <c r="P4" s="8">
        <v>-10</v>
      </c>
      <c r="Q4" s="23"/>
    </row>
    <row r="5" spans="1:25" hidden="1" x14ac:dyDescent="0.3">
      <c r="A5" s="5"/>
      <c r="B5" s="6" t="s">
        <v>21</v>
      </c>
      <c r="C5" t="s">
        <v>22</v>
      </c>
      <c r="D5" s="7"/>
      <c r="E5" s="8"/>
      <c r="F5" s="8"/>
      <c r="G5" s="8"/>
      <c r="H5" s="8">
        <v>-10</v>
      </c>
      <c r="I5" s="8"/>
      <c r="J5" s="8"/>
      <c r="K5" s="8"/>
      <c r="L5" s="8"/>
      <c r="M5" s="8"/>
      <c r="N5" s="8"/>
      <c r="O5" s="8"/>
      <c r="P5" s="8">
        <v>-10</v>
      </c>
      <c r="Q5" s="23"/>
    </row>
    <row r="6" spans="1:25" hidden="1" x14ac:dyDescent="0.3">
      <c r="A6" s="9"/>
      <c r="B6" s="6" t="s">
        <v>23</v>
      </c>
      <c r="C6" t="s">
        <v>24</v>
      </c>
      <c r="D6" s="7"/>
      <c r="E6" s="8"/>
      <c r="F6" s="8"/>
      <c r="G6" s="8"/>
      <c r="H6" s="8">
        <v>-10</v>
      </c>
      <c r="I6" s="8"/>
      <c r="J6" s="8"/>
      <c r="K6" s="8"/>
      <c r="L6" s="8"/>
      <c r="M6" s="8"/>
      <c r="N6" s="8"/>
      <c r="O6" s="8"/>
      <c r="P6" s="8">
        <v>-10</v>
      </c>
      <c r="Q6" s="23"/>
    </row>
    <row r="7" spans="1:25" hidden="1" x14ac:dyDescent="0.3">
      <c r="A7" s="5" t="s">
        <v>25</v>
      </c>
      <c r="B7" s="10">
        <v>72001001</v>
      </c>
      <c r="C7" s="11" t="str">
        <f>VLOOKUP(B7,[1]제품리스트!$A$2:$J$1000,10,FALSE)</f>
        <v>#001-Paint 1oz Black</v>
      </c>
      <c r="D7" s="7">
        <v>-699</v>
      </c>
      <c r="E7" s="8">
        <v>-653</v>
      </c>
      <c r="F7" s="8">
        <v>-734</v>
      </c>
      <c r="G7" s="8">
        <v>-781</v>
      </c>
      <c r="H7" s="8">
        <v>-598</v>
      </c>
      <c r="I7" s="8">
        <v>-581</v>
      </c>
      <c r="J7" s="8">
        <v>-927</v>
      </c>
      <c r="K7" s="8">
        <v>-646</v>
      </c>
      <c r="L7" s="8">
        <v>-539</v>
      </c>
      <c r="M7" s="8">
        <v>-856</v>
      </c>
      <c r="N7" s="8">
        <v>-566</v>
      </c>
      <c r="O7" s="8">
        <v>-24</v>
      </c>
      <c r="P7" s="8">
        <v>-7604</v>
      </c>
      <c r="Q7" s="23" t="str">
        <f>VLOOKUP(B7,[1]제품리스트!$A$2:$J$1000,10,FALSE)</f>
        <v>#001-Paint 1oz Black</v>
      </c>
      <c r="R7" s="17">
        <f>P7/11</f>
        <v>-691.27272727272725</v>
      </c>
      <c r="S7" s="19">
        <f>R7/-12</f>
        <v>57.606060606060602</v>
      </c>
      <c r="T7" s="21">
        <f>S7*3</f>
        <v>172.81818181818181</v>
      </c>
      <c r="U7" s="19" t="e">
        <f>VLOOKUP(B7,[1]재고수량!$A$13:$D$651,3,FALSE)</f>
        <v>#N/A</v>
      </c>
      <c r="V7" s="21" t="e">
        <f>U7/12</f>
        <v>#N/A</v>
      </c>
      <c r="X7">
        <f>VLOOKUP(B7,[1]제품리스트!$A$2:$F$1110,5,FALSE)</f>
        <v>16.2</v>
      </c>
      <c r="Y7" s="19">
        <f>W7*X7</f>
        <v>0</v>
      </c>
    </row>
    <row r="8" spans="1:25" x14ac:dyDescent="0.3">
      <c r="A8" s="5"/>
      <c r="B8" s="6">
        <v>72001004</v>
      </c>
      <c r="C8" t="s">
        <v>26</v>
      </c>
      <c r="D8" s="7">
        <v>-66</v>
      </c>
      <c r="E8" s="8">
        <v>-50</v>
      </c>
      <c r="F8" s="8">
        <v>-72</v>
      </c>
      <c r="G8" s="8">
        <v>-78</v>
      </c>
      <c r="H8" s="8">
        <v>-93</v>
      </c>
      <c r="I8" s="8">
        <v>-65</v>
      </c>
      <c r="J8" s="8">
        <v>-141</v>
      </c>
      <c r="K8" s="8">
        <v>-78</v>
      </c>
      <c r="L8" s="8">
        <v>-60</v>
      </c>
      <c r="M8" s="8">
        <v>-127</v>
      </c>
      <c r="N8" s="8">
        <v>-45</v>
      </c>
      <c r="O8" s="8"/>
      <c r="P8" s="8">
        <v>-875</v>
      </c>
      <c r="Q8" s="23" t="str">
        <f>VLOOKUP(B8,[1]제품리스트!$A$2:$J$1000,10,FALSE)</f>
        <v>#004-Paint 1oz Neutral</v>
      </c>
      <c r="R8" s="17">
        <f t="shared" ref="R8:R71" si="0">P8/11</f>
        <v>-79.545454545454547</v>
      </c>
      <c r="S8" s="19">
        <f t="shared" ref="S8:S71" si="1">R8/-12</f>
        <v>6.6287878787878789</v>
      </c>
      <c r="T8" s="21">
        <f t="shared" ref="T8:T71" si="2">S8*3</f>
        <v>19.886363636363637</v>
      </c>
      <c r="U8" s="19" t="e">
        <f>VLOOKUP(B8,[1]재고수량!$A$13:$D$651,3,FALSE)</f>
        <v>#N/A</v>
      </c>
      <c r="V8" s="21" t="e">
        <f t="shared" ref="V8:V71" si="3">U8/12</f>
        <v>#N/A</v>
      </c>
      <c r="W8">
        <v>20</v>
      </c>
      <c r="X8">
        <f>VLOOKUP(B8,[1]제품리스트!$A$2:$F$1110,5,FALSE)</f>
        <v>16.2</v>
      </c>
      <c r="Y8" s="19">
        <f t="shared" ref="Y8:Y71" si="4">W8*X8</f>
        <v>324</v>
      </c>
    </row>
    <row r="9" spans="1:25" hidden="1" x14ac:dyDescent="0.3">
      <c r="A9" s="5"/>
      <c r="B9" s="6">
        <v>72001005</v>
      </c>
      <c r="C9" t="s">
        <v>27</v>
      </c>
      <c r="D9" s="7">
        <v>-537</v>
      </c>
      <c r="E9" s="8">
        <v>-503</v>
      </c>
      <c r="F9" s="8">
        <v>-499</v>
      </c>
      <c r="G9" s="8">
        <v>-588</v>
      </c>
      <c r="H9" s="8">
        <v>-536</v>
      </c>
      <c r="I9" s="8">
        <v>-535</v>
      </c>
      <c r="J9" s="8">
        <v>-680</v>
      </c>
      <c r="K9" s="8">
        <v>-627</v>
      </c>
      <c r="L9" s="8">
        <v>-532</v>
      </c>
      <c r="M9" s="8">
        <v>-695</v>
      </c>
      <c r="N9" s="8">
        <v>-364</v>
      </c>
      <c r="O9" s="8"/>
      <c r="P9" s="8">
        <v>-6096</v>
      </c>
      <c r="Q9" s="23" t="str">
        <f>VLOOKUP(B9,[1]제품리스트!$A$2:$J$1000,10,FALSE)</f>
        <v>#005-Paint 1oz White</v>
      </c>
      <c r="R9" s="17">
        <f t="shared" si="0"/>
        <v>-554.18181818181813</v>
      </c>
      <c r="S9" s="19">
        <f t="shared" si="1"/>
        <v>46.18181818181818</v>
      </c>
      <c r="T9" s="21">
        <f t="shared" si="2"/>
        <v>138.54545454545453</v>
      </c>
      <c r="U9" s="19" t="e">
        <f>VLOOKUP(B9,[1]재고수량!$A$13:$D$651,3,FALSE)</f>
        <v>#N/A</v>
      </c>
      <c r="V9" s="21" t="e">
        <f t="shared" si="3"/>
        <v>#N/A</v>
      </c>
      <c r="X9">
        <f>VLOOKUP(B9,[1]제품리스트!$A$2:$F$1110,5,FALSE)</f>
        <v>16.2</v>
      </c>
      <c r="Y9" s="19">
        <f t="shared" si="4"/>
        <v>0</v>
      </c>
    </row>
    <row r="10" spans="1:25" x14ac:dyDescent="0.3">
      <c r="A10" s="5"/>
      <c r="B10" s="6">
        <v>72001014</v>
      </c>
      <c r="C10" t="s">
        <v>28</v>
      </c>
      <c r="D10" s="7">
        <v>-81</v>
      </c>
      <c r="E10" s="8">
        <v>-63</v>
      </c>
      <c r="F10" s="8">
        <v>-90</v>
      </c>
      <c r="G10" s="8">
        <v>-72</v>
      </c>
      <c r="H10" s="8">
        <v>-92</v>
      </c>
      <c r="I10" s="8">
        <v>-94</v>
      </c>
      <c r="J10" s="8">
        <v>-84</v>
      </c>
      <c r="K10" s="8">
        <v>-122</v>
      </c>
      <c r="L10" s="8">
        <v>-66</v>
      </c>
      <c r="M10" s="8">
        <v>-146</v>
      </c>
      <c r="N10" s="8">
        <v>-81</v>
      </c>
      <c r="O10" s="8"/>
      <c r="P10" s="8">
        <v>-991</v>
      </c>
      <c r="Q10" s="23" t="str">
        <f>VLOOKUP(B10,[1]제품리스트!$A$2:$J$1000,10,FALSE)</f>
        <v>#014-Paint 1oz Brown</v>
      </c>
      <c r="R10" s="17">
        <f t="shared" si="0"/>
        <v>-90.090909090909093</v>
      </c>
      <c r="S10" s="19">
        <f t="shared" si="1"/>
        <v>7.5075757575757578</v>
      </c>
      <c r="T10" s="21">
        <f t="shared" si="2"/>
        <v>22.522727272727273</v>
      </c>
      <c r="U10" s="19" t="e">
        <f>VLOOKUP(B10,[1]재고수량!$A$13:$D$651,3,FALSE)</f>
        <v>#N/A</v>
      </c>
      <c r="V10" s="21" t="e">
        <f t="shared" si="3"/>
        <v>#N/A</v>
      </c>
      <c r="W10">
        <v>20</v>
      </c>
      <c r="X10">
        <f>VLOOKUP(B10,[1]제품리스트!$A$2:$F$1110,5,FALSE)</f>
        <v>16.2</v>
      </c>
      <c r="Y10" s="19">
        <f t="shared" si="4"/>
        <v>324</v>
      </c>
    </row>
    <row r="11" spans="1:25" x14ac:dyDescent="0.3">
      <c r="A11" s="5"/>
      <c r="B11" s="6">
        <v>72001015</v>
      </c>
      <c r="C11" t="s">
        <v>29</v>
      </c>
      <c r="D11" s="7">
        <v>-12</v>
      </c>
      <c r="E11" s="8">
        <v>-27</v>
      </c>
      <c r="F11" s="8">
        <v>-30</v>
      </c>
      <c r="G11" s="8">
        <v>-26</v>
      </c>
      <c r="H11" s="8">
        <v>-37</v>
      </c>
      <c r="I11" s="8">
        <v>-27</v>
      </c>
      <c r="J11" s="8">
        <v>-53</v>
      </c>
      <c r="K11" s="8">
        <v>-43</v>
      </c>
      <c r="L11" s="8">
        <v>-9</v>
      </c>
      <c r="M11" s="8">
        <v>-87</v>
      </c>
      <c r="N11" s="8">
        <v>-53</v>
      </c>
      <c r="O11" s="8"/>
      <c r="P11" s="8">
        <v>-404</v>
      </c>
      <c r="Q11" s="23" t="str">
        <f>VLOOKUP(B11,[1]제품리스트!$A$2:$J$1000,10,FALSE)</f>
        <v>#015-Paint 1oz Chocolate</v>
      </c>
      <c r="R11" s="17">
        <f t="shared" si="0"/>
        <v>-36.727272727272727</v>
      </c>
      <c r="S11" s="19">
        <f t="shared" si="1"/>
        <v>3.0606060606060606</v>
      </c>
      <c r="T11" s="21">
        <f t="shared" si="2"/>
        <v>9.1818181818181817</v>
      </c>
      <c r="U11" s="19" t="e">
        <f>VLOOKUP(B11,[1]재고수량!$A$13:$D$651,3,FALSE)</f>
        <v>#N/A</v>
      </c>
      <c r="V11" s="21" t="e">
        <f t="shared" si="3"/>
        <v>#N/A</v>
      </c>
      <c r="W11">
        <v>20</v>
      </c>
      <c r="X11">
        <f>VLOOKUP(B11,[1]제품리스트!$A$2:$F$1110,5,FALSE)</f>
        <v>16.2</v>
      </c>
      <c r="Y11" s="19">
        <f t="shared" si="4"/>
        <v>324</v>
      </c>
    </row>
    <row r="12" spans="1:25" x14ac:dyDescent="0.3">
      <c r="A12" s="5"/>
      <c r="B12" s="6">
        <v>72001018</v>
      </c>
      <c r="C12" t="s">
        <v>30</v>
      </c>
      <c r="D12" s="7">
        <v>-63</v>
      </c>
      <c r="E12" s="8">
        <v>-78</v>
      </c>
      <c r="F12" s="8">
        <v>-116</v>
      </c>
      <c r="G12" s="8">
        <v>-92</v>
      </c>
      <c r="H12" s="8">
        <v>-65</v>
      </c>
      <c r="I12" s="8">
        <v>-111</v>
      </c>
      <c r="J12" s="8">
        <v>-1</v>
      </c>
      <c r="K12" s="8">
        <v>-131</v>
      </c>
      <c r="L12" s="8">
        <v>-73</v>
      </c>
      <c r="M12" s="8">
        <v>-161</v>
      </c>
      <c r="N12" s="8">
        <v>-84</v>
      </c>
      <c r="O12" s="8"/>
      <c r="P12" s="8">
        <v>-975</v>
      </c>
      <c r="Q12" s="23" t="str">
        <f>VLOOKUP(B12,[1]제품리스트!$A$2:$J$1000,10,FALSE)</f>
        <v>#018-Paint 1oz DarkBrown</v>
      </c>
      <c r="R12" s="17">
        <f t="shared" si="0"/>
        <v>-88.63636363636364</v>
      </c>
      <c r="S12" s="19">
        <f t="shared" si="1"/>
        <v>7.3863636363636367</v>
      </c>
      <c r="T12" s="21">
        <f t="shared" si="2"/>
        <v>22.15909090909091</v>
      </c>
      <c r="U12" s="19" t="e">
        <f>VLOOKUP(B12,[1]재고수량!$A$13:$D$651,3,FALSE)</f>
        <v>#N/A</v>
      </c>
      <c r="V12" s="21" t="e">
        <f t="shared" si="3"/>
        <v>#N/A</v>
      </c>
      <c r="W12">
        <v>20</v>
      </c>
      <c r="X12">
        <f>VLOOKUP(B12,[1]제품리스트!$A$2:$F$1110,5,FALSE)</f>
        <v>16.2</v>
      </c>
      <c r="Y12" s="19">
        <f t="shared" si="4"/>
        <v>324</v>
      </c>
    </row>
    <row r="13" spans="1:25" x14ac:dyDescent="0.3">
      <c r="A13" s="5"/>
      <c r="B13" s="6">
        <v>72001019</v>
      </c>
      <c r="C13" t="s">
        <v>31</v>
      </c>
      <c r="D13" s="7">
        <v>-30</v>
      </c>
      <c r="E13" s="8">
        <v>-26</v>
      </c>
      <c r="F13" s="8">
        <v>-32</v>
      </c>
      <c r="G13" s="8">
        <v>-17</v>
      </c>
      <c r="H13" s="8">
        <v>-51</v>
      </c>
      <c r="I13" s="8">
        <v>-22</v>
      </c>
      <c r="J13" s="8">
        <v>-16</v>
      </c>
      <c r="K13" s="8">
        <v>-25</v>
      </c>
      <c r="L13" s="8">
        <v>-13</v>
      </c>
      <c r="M13" s="8">
        <v>-45</v>
      </c>
      <c r="N13" s="8">
        <v>-19</v>
      </c>
      <c r="O13" s="8"/>
      <c r="P13" s="8">
        <v>-296</v>
      </c>
      <c r="Q13" s="23" t="str">
        <f>VLOOKUP(B13,[1]제품리스트!$A$2:$J$1000,10,FALSE)</f>
        <v>#019-Paint 1oz English Tan</v>
      </c>
      <c r="R13" s="17">
        <f t="shared" si="0"/>
        <v>-26.90909090909091</v>
      </c>
      <c r="S13" s="19">
        <f t="shared" si="1"/>
        <v>2.2424242424242427</v>
      </c>
      <c r="T13" s="21">
        <f t="shared" si="2"/>
        <v>6.7272727272727284</v>
      </c>
      <c r="U13" s="19" t="e">
        <f>VLOOKUP(B13,[1]재고수량!$A$13:$D$651,3,FALSE)</f>
        <v>#N/A</v>
      </c>
      <c r="V13" s="21" t="e">
        <f t="shared" si="3"/>
        <v>#N/A</v>
      </c>
      <c r="W13">
        <v>10</v>
      </c>
      <c r="X13">
        <f>VLOOKUP(B13,[1]제품리스트!$A$2:$F$1110,5,FALSE)</f>
        <v>16.2</v>
      </c>
      <c r="Y13" s="19">
        <f t="shared" si="4"/>
        <v>162</v>
      </c>
    </row>
    <row r="14" spans="1:25" x14ac:dyDescent="0.3">
      <c r="A14" s="5"/>
      <c r="B14" s="6">
        <v>72001021</v>
      </c>
      <c r="C14" t="s">
        <v>32</v>
      </c>
      <c r="D14" s="7">
        <v>-31</v>
      </c>
      <c r="E14" s="8">
        <v>-44</v>
      </c>
      <c r="F14" s="8">
        <v>-18</v>
      </c>
      <c r="G14" s="8">
        <v>-36</v>
      </c>
      <c r="H14" s="8">
        <v>-45</v>
      </c>
      <c r="I14" s="8">
        <v>-40</v>
      </c>
      <c r="J14" s="8">
        <v>-50</v>
      </c>
      <c r="K14" s="8">
        <v>-34</v>
      </c>
      <c r="L14" s="8">
        <v>-50</v>
      </c>
      <c r="M14" s="8">
        <v>-32</v>
      </c>
      <c r="N14" s="8">
        <v>-40</v>
      </c>
      <c r="O14" s="8"/>
      <c r="P14" s="8">
        <v>-420</v>
      </c>
      <c r="Q14" s="23" t="str">
        <f>VLOOKUP(B14,[1]제품리스트!$A$2:$J$1000,10,FALSE)</f>
        <v>#021-Paint 1oz LightBrown</v>
      </c>
      <c r="R14" s="17">
        <f t="shared" si="0"/>
        <v>-38.18181818181818</v>
      </c>
      <c r="S14" s="19">
        <f t="shared" si="1"/>
        <v>3.1818181818181817</v>
      </c>
      <c r="T14" s="21">
        <f t="shared" si="2"/>
        <v>9.545454545454545</v>
      </c>
      <c r="U14" s="19" t="e">
        <f>VLOOKUP(B14,[1]재고수량!$A$13:$D$651,3,FALSE)</f>
        <v>#N/A</v>
      </c>
      <c r="V14" s="21" t="e">
        <f t="shared" si="3"/>
        <v>#N/A</v>
      </c>
      <c r="W14">
        <v>10</v>
      </c>
      <c r="X14">
        <f>VLOOKUP(B14,[1]제품리스트!$A$2:$F$1110,5,FALSE)</f>
        <v>16.2</v>
      </c>
      <c r="Y14" s="19">
        <f t="shared" si="4"/>
        <v>162</v>
      </c>
    </row>
    <row r="15" spans="1:25" x14ac:dyDescent="0.3">
      <c r="A15" s="5"/>
      <c r="B15" s="6">
        <v>72001024</v>
      </c>
      <c r="C15" t="s">
        <v>33</v>
      </c>
      <c r="D15" s="7">
        <v>-71</v>
      </c>
      <c r="E15" s="8">
        <v>-77</v>
      </c>
      <c r="F15" s="8">
        <v>-148</v>
      </c>
      <c r="G15" s="8">
        <v>-40</v>
      </c>
      <c r="H15" s="8">
        <v>-89</v>
      </c>
      <c r="I15" s="8">
        <v>-88</v>
      </c>
      <c r="J15" s="8">
        <v>-159</v>
      </c>
      <c r="K15" s="8">
        <v>-85</v>
      </c>
      <c r="L15" s="8">
        <v>-74</v>
      </c>
      <c r="M15" s="8">
        <v>-61</v>
      </c>
      <c r="N15" s="8">
        <v>-51</v>
      </c>
      <c r="O15" s="8"/>
      <c r="P15" s="8">
        <v>-943</v>
      </c>
      <c r="Q15" s="23" t="str">
        <f>VLOOKUP(B15,[1]제품리스트!$A$2:$J$1000,10,FALSE)</f>
        <v>#024-Paint 1oz Orange</v>
      </c>
      <c r="R15" s="17">
        <f t="shared" si="0"/>
        <v>-85.727272727272734</v>
      </c>
      <c r="S15" s="19">
        <f t="shared" si="1"/>
        <v>7.1439393939393945</v>
      </c>
      <c r="T15" s="21">
        <f t="shared" si="2"/>
        <v>21.431818181818183</v>
      </c>
      <c r="U15" s="19" t="e">
        <f>VLOOKUP(B15,[1]재고수량!$A$13:$D$651,3,FALSE)</f>
        <v>#N/A</v>
      </c>
      <c r="V15" s="21" t="e">
        <f t="shared" si="3"/>
        <v>#N/A</v>
      </c>
      <c r="W15">
        <v>20</v>
      </c>
      <c r="X15">
        <f>VLOOKUP(B15,[1]제품리스트!$A$2:$F$1110,5,FALSE)</f>
        <v>16.2</v>
      </c>
      <c r="Y15" s="19">
        <f t="shared" si="4"/>
        <v>324</v>
      </c>
    </row>
    <row r="16" spans="1:25" x14ac:dyDescent="0.3">
      <c r="A16" s="5"/>
      <c r="B16" s="6">
        <v>72001027</v>
      </c>
      <c r="C16" t="s">
        <v>34</v>
      </c>
      <c r="D16" s="7">
        <v>-7</v>
      </c>
      <c r="E16" s="8">
        <v>-20</v>
      </c>
      <c r="F16" s="8">
        <v>-12</v>
      </c>
      <c r="G16" s="8">
        <v>-5</v>
      </c>
      <c r="H16" s="8">
        <v>-29</v>
      </c>
      <c r="I16" s="8">
        <v>-39</v>
      </c>
      <c r="J16" s="8">
        <v>-13</v>
      </c>
      <c r="K16" s="8">
        <v>-9</v>
      </c>
      <c r="L16" s="8">
        <v>-8</v>
      </c>
      <c r="M16" s="8">
        <v>-49</v>
      </c>
      <c r="N16" s="8">
        <v>-12</v>
      </c>
      <c r="O16" s="8"/>
      <c r="P16" s="8">
        <v>-203</v>
      </c>
      <c r="Q16" s="23" t="str">
        <f>VLOOKUP(B16,[1]제품리스트!$A$2:$J$1000,10,FALSE)</f>
        <v>#027- Paint 1oz SADDLE</v>
      </c>
      <c r="R16" s="17">
        <f t="shared" si="0"/>
        <v>-18.454545454545453</v>
      </c>
      <c r="S16" s="19">
        <f t="shared" si="1"/>
        <v>1.5378787878787878</v>
      </c>
      <c r="T16" s="21">
        <f t="shared" si="2"/>
        <v>4.6136363636363633</v>
      </c>
      <c r="U16" s="19" t="e">
        <f>VLOOKUP(B16,[1]재고수량!$A$13:$D$651,3,FALSE)</f>
        <v>#N/A</v>
      </c>
      <c r="V16" s="21" t="e">
        <f t="shared" si="3"/>
        <v>#N/A</v>
      </c>
      <c r="W16">
        <v>10</v>
      </c>
      <c r="X16">
        <f>VLOOKUP(B16,[1]제품리스트!$A$2:$F$1110,5,FALSE)</f>
        <v>16.2</v>
      </c>
      <c r="Y16" s="19">
        <f t="shared" si="4"/>
        <v>162</v>
      </c>
    </row>
    <row r="17" spans="1:25" x14ac:dyDescent="0.3">
      <c r="A17" s="5"/>
      <c r="B17" s="6">
        <v>72001029</v>
      </c>
      <c r="C17" t="s">
        <v>35</v>
      </c>
      <c r="D17" s="7">
        <v>-36</v>
      </c>
      <c r="E17" s="8">
        <v>-31</v>
      </c>
      <c r="F17" s="8">
        <v>-45</v>
      </c>
      <c r="G17" s="8">
        <v>-16</v>
      </c>
      <c r="H17" s="8">
        <v>-18</v>
      </c>
      <c r="I17" s="8">
        <v>-59</v>
      </c>
      <c r="J17" s="8">
        <v>-40</v>
      </c>
      <c r="K17" s="8">
        <v>-28</v>
      </c>
      <c r="L17" s="8">
        <v>-18</v>
      </c>
      <c r="M17" s="8">
        <v>-31</v>
      </c>
      <c r="N17" s="8">
        <v>-26</v>
      </c>
      <c r="O17" s="8"/>
      <c r="P17" s="8">
        <v>-348</v>
      </c>
      <c r="Q17" s="23" t="str">
        <f>VLOOKUP(B17,[1]제품리스트!$A$2:$J$1000,10,FALSE)</f>
        <v>#029- Paint 1oz Tan</v>
      </c>
      <c r="R17" s="17">
        <f t="shared" si="0"/>
        <v>-31.636363636363637</v>
      </c>
      <c r="S17" s="19">
        <f t="shared" si="1"/>
        <v>2.6363636363636362</v>
      </c>
      <c r="T17" s="21">
        <f t="shared" si="2"/>
        <v>7.9090909090909083</v>
      </c>
      <c r="U17" s="19" t="e">
        <f>VLOOKUP(B17,[1]재고수량!$A$13:$D$651,3,FALSE)</f>
        <v>#N/A</v>
      </c>
      <c r="V17" s="21" t="e">
        <f t="shared" si="3"/>
        <v>#N/A</v>
      </c>
      <c r="W17">
        <v>10</v>
      </c>
      <c r="X17">
        <f>VLOOKUP(B17,[1]제품리스트!$A$2:$F$1110,5,FALSE)</f>
        <v>16.2</v>
      </c>
      <c r="Y17" s="19">
        <f t="shared" si="4"/>
        <v>162</v>
      </c>
    </row>
    <row r="18" spans="1:25" x14ac:dyDescent="0.3">
      <c r="A18" s="5"/>
      <c r="B18" s="10">
        <v>72001040</v>
      </c>
      <c r="C18" s="11" t="s">
        <v>36</v>
      </c>
      <c r="D18" s="7">
        <v>-223</v>
      </c>
      <c r="E18" s="8">
        <v>-114</v>
      </c>
      <c r="F18" s="8">
        <v>-247</v>
      </c>
      <c r="G18" s="8">
        <v>-148</v>
      </c>
      <c r="H18" s="8">
        <v>-169</v>
      </c>
      <c r="I18" s="8">
        <v>-195</v>
      </c>
      <c r="J18" s="8">
        <v>-288</v>
      </c>
      <c r="K18" s="8">
        <v>-238</v>
      </c>
      <c r="L18" s="8">
        <v>-192</v>
      </c>
      <c r="M18" s="8">
        <v>-152</v>
      </c>
      <c r="N18" s="8">
        <v>-94</v>
      </c>
      <c r="O18" s="8"/>
      <c r="P18" s="8">
        <v>-2060</v>
      </c>
      <c r="Q18" s="23" t="str">
        <f>VLOOKUP(B18,[1]제품리스트!$A$2:$J$1000,10,FALSE)</f>
        <v>#040-Paint 1oz BLUE</v>
      </c>
      <c r="R18" s="17">
        <f t="shared" si="0"/>
        <v>-187.27272727272728</v>
      </c>
      <c r="S18" s="19">
        <f t="shared" si="1"/>
        <v>15.606060606060607</v>
      </c>
      <c r="T18" s="21">
        <f t="shared" si="2"/>
        <v>46.81818181818182</v>
      </c>
      <c r="U18" s="19" t="e">
        <f>VLOOKUP(B18,[1]재고수량!$A$13:$D$651,3,FALSE)</f>
        <v>#N/A</v>
      </c>
      <c r="V18" s="21" t="e">
        <f t="shared" si="3"/>
        <v>#N/A</v>
      </c>
      <c r="W18">
        <v>40</v>
      </c>
      <c r="X18">
        <f>VLOOKUP(B18,[1]제품리스트!$A$2:$F$1110,5,FALSE)</f>
        <v>16.2</v>
      </c>
      <c r="Y18" s="19">
        <f t="shared" si="4"/>
        <v>648</v>
      </c>
    </row>
    <row r="19" spans="1:25" x14ac:dyDescent="0.3">
      <c r="A19" s="5"/>
      <c r="B19" s="6">
        <v>72001041</v>
      </c>
      <c r="C19" t="s">
        <v>37</v>
      </c>
      <c r="D19" s="7">
        <v>-35</v>
      </c>
      <c r="E19" s="8">
        <v>-56</v>
      </c>
      <c r="F19" s="8">
        <v>-58</v>
      </c>
      <c r="G19" s="8">
        <v>-47</v>
      </c>
      <c r="H19" s="8">
        <v>-59</v>
      </c>
      <c r="I19" s="8">
        <v>-83</v>
      </c>
      <c r="J19" s="8">
        <v>-84</v>
      </c>
      <c r="K19" s="8">
        <v>-46</v>
      </c>
      <c r="L19" s="8">
        <v>-85</v>
      </c>
      <c r="M19" s="8">
        <v>-34</v>
      </c>
      <c r="N19" s="8">
        <v>-40</v>
      </c>
      <c r="O19" s="8"/>
      <c r="P19" s="8">
        <v>-627</v>
      </c>
      <c r="Q19" s="23" t="str">
        <f>VLOOKUP(B19,[1]제품리스트!$A$2:$J$1000,10,FALSE)</f>
        <v>#041-Paint 1oz LightBLUE</v>
      </c>
      <c r="R19" s="17">
        <f t="shared" si="0"/>
        <v>-57</v>
      </c>
      <c r="S19" s="19">
        <f t="shared" si="1"/>
        <v>4.75</v>
      </c>
      <c r="T19" s="21">
        <f t="shared" si="2"/>
        <v>14.25</v>
      </c>
      <c r="U19" s="19" t="e">
        <f>VLOOKUP(B19,[1]재고수량!$A$13:$D$651,3,FALSE)</f>
        <v>#N/A</v>
      </c>
      <c r="V19" s="21" t="e">
        <f t="shared" si="3"/>
        <v>#N/A</v>
      </c>
      <c r="W19">
        <v>20</v>
      </c>
      <c r="X19">
        <f>VLOOKUP(B19,[1]제품리스트!$A$2:$F$1110,5,FALSE)</f>
        <v>16.2</v>
      </c>
      <c r="Y19" s="19">
        <f t="shared" si="4"/>
        <v>324</v>
      </c>
    </row>
    <row r="20" spans="1:25" x14ac:dyDescent="0.3">
      <c r="A20" s="5"/>
      <c r="B20" s="6">
        <v>72001042</v>
      </c>
      <c r="C20" t="s">
        <v>38</v>
      </c>
      <c r="D20" s="7">
        <v>-36</v>
      </c>
      <c r="E20" s="8">
        <v>-75</v>
      </c>
      <c r="F20" s="8">
        <v>-55</v>
      </c>
      <c r="G20" s="8">
        <v>-62</v>
      </c>
      <c r="H20" s="8">
        <v>-71</v>
      </c>
      <c r="I20" s="8">
        <v>-75</v>
      </c>
      <c r="J20" s="8">
        <v>-80</v>
      </c>
      <c r="K20" s="8">
        <v>-63</v>
      </c>
      <c r="L20" s="8">
        <v>-82</v>
      </c>
      <c r="M20" s="8">
        <v>-45</v>
      </c>
      <c r="N20" s="8">
        <v>-41</v>
      </c>
      <c r="O20" s="8"/>
      <c r="P20" s="8">
        <v>-685</v>
      </c>
      <c r="Q20" s="23" t="str">
        <f>VLOOKUP(B20,[1]제품리스트!$A$2:$J$1000,10,FALSE)</f>
        <v>#042-Paint 1oz NavyBlue</v>
      </c>
      <c r="R20" s="17">
        <f t="shared" si="0"/>
        <v>-62.272727272727273</v>
      </c>
      <c r="S20" s="19">
        <f t="shared" si="1"/>
        <v>5.1893939393939394</v>
      </c>
      <c r="T20" s="21">
        <f t="shared" si="2"/>
        <v>15.568181818181818</v>
      </c>
      <c r="U20" s="19" t="e">
        <f>VLOOKUP(B20,[1]재고수량!$A$13:$D$651,3,FALSE)</f>
        <v>#N/A</v>
      </c>
      <c r="V20" s="21" t="e">
        <f t="shared" si="3"/>
        <v>#N/A</v>
      </c>
      <c r="W20">
        <v>20</v>
      </c>
      <c r="X20">
        <f>VLOOKUP(B20,[1]제품리스트!$A$2:$F$1110,5,FALSE)</f>
        <v>16.2</v>
      </c>
      <c r="Y20" s="19">
        <f t="shared" si="4"/>
        <v>324</v>
      </c>
    </row>
    <row r="21" spans="1:25" x14ac:dyDescent="0.3">
      <c r="A21" s="5"/>
      <c r="B21" s="6">
        <v>72001043</v>
      </c>
      <c r="C21" t="s">
        <v>39</v>
      </c>
      <c r="D21" s="7">
        <v>-26</v>
      </c>
      <c r="E21" s="8">
        <v>-39</v>
      </c>
      <c r="F21" s="8">
        <v>-29</v>
      </c>
      <c r="G21" s="8">
        <v>-29</v>
      </c>
      <c r="H21" s="8">
        <v>-36</v>
      </c>
      <c r="I21" s="8">
        <v>-38</v>
      </c>
      <c r="J21" s="8">
        <v>-33</v>
      </c>
      <c r="K21" s="8">
        <v>-56</v>
      </c>
      <c r="L21" s="8">
        <v>-15</v>
      </c>
      <c r="M21" s="8">
        <v>-33</v>
      </c>
      <c r="N21" s="8">
        <v>-24</v>
      </c>
      <c r="O21" s="8"/>
      <c r="P21" s="8">
        <v>-358</v>
      </c>
      <c r="Q21" s="23" t="str">
        <f>VLOOKUP(B21,[1]제품리스트!$A$2:$J$1000,10,FALSE)</f>
        <v>#043-Paint 1oz Turgouise</v>
      </c>
      <c r="R21" s="17">
        <f t="shared" si="0"/>
        <v>-32.545454545454547</v>
      </c>
      <c r="S21" s="19">
        <f t="shared" si="1"/>
        <v>2.7121212121212124</v>
      </c>
      <c r="T21" s="21">
        <f t="shared" si="2"/>
        <v>8.1363636363636367</v>
      </c>
      <c r="U21" s="19" t="e">
        <f>VLOOKUP(B21,[1]재고수량!$A$13:$D$651,3,FALSE)</f>
        <v>#N/A</v>
      </c>
      <c r="V21" s="21" t="e">
        <f t="shared" si="3"/>
        <v>#N/A</v>
      </c>
      <c r="W21">
        <v>10</v>
      </c>
      <c r="X21">
        <f>VLOOKUP(B21,[1]제품리스트!$A$2:$F$1110,5,FALSE)</f>
        <v>16.2</v>
      </c>
      <c r="Y21" s="19">
        <f t="shared" si="4"/>
        <v>162</v>
      </c>
    </row>
    <row r="22" spans="1:25" x14ac:dyDescent="0.3">
      <c r="A22" s="5"/>
      <c r="B22" s="6">
        <v>72001045</v>
      </c>
      <c r="C22" t="s">
        <v>40</v>
      </c>
      <c r="D22" s="7">
        <v>-25</v>
      </c>
      <c r="E22" s="8">
        <v>-9</v>
      </c>
      <c r="F22" s="8">
        <v>-46</v>
      </c>
      <c r="G22" s="8">
        <v>-27</v>
      </c>
      <c r="H22" s="8">
        <v>-30</v>
      </c>
      <c r="I22" s="8">
        <v>-29</v>
      </c>
      <c r="J22" s="8">
        <v>-55</v>
      </c>
      <c r="K22" s="8">
        <v>-23</v>
      </c>
      <c r="L22" s="8">
        <v>-14</v>
      </c>
      <c r="M22" s="8">
        <v>-26</v>
      </c>
      <c r="N22" s="8">
        <v>-27</v>
      </c>
      <c r="O22" s="8"/>
      <c r="P22" s="8">
        <v>-311</v>
      </c>
      <c r="Q22" s="23" t="str">
        <f>VLOOKUP(B22,[1]제품리스트!$A$2:$J$1000,10,FALSE)</f>
        <v>#045-Paint 1oz Blue Turquoise</v>
      </c>
      <c r="R22" s="17">
        <f t="shared" si="0"/>
        <v>-28.272727272727273</v>
      </c>
      <c r="S22" s="19">
        <f t="shared" si="1"/>
        <v>2.356060606060606</v>
      </c>
      <c r="T22" s="21">
        <f t="shared" si="2"/>
        <v>7.0681818181818183</v>
      </c>
      <c r="U22" s="19" t="e">
        <f>VLOOKUP(B22,[1]재고수량!$A$13:$D$651,3,FALSE)</f>
        <v>#N/A</v>
      </c>
      <c r="V22" s="21" t="e">
        <f t="shared" si="3"/>
        <v>#N/A</v>
      </c>
      <c r="W22">
        <v>10</v>
      </c>
      <c r="X22">
        <f>VLOOKUP(B22,[1]제품리스트!$A$2:$F$1110,5,FALSE)</f>
        <v>16.2</v>
      </c>
      <c r="Y22" s="19">
        <f t="shared" si="4"/>
        <v>162</v>
      </c>
    </row>
    <row r="23" spans="1:25" x14ac:dyDescent="0.3">
      <c r="A23" s="5"/>
      <c r="B23" s="6">
        <v>72001047</v>
      </c>
      <c r="C23" t="s">
        <v>41</v>
      </c>
      <c r="D23" s="7">
        <v>-61</v>
      </c>
      <c r="E23" s="8">
        <v>-59</v>
      </c>
      <c r="F23" s="8">
        <v>-87</v>
      </c>
      <c r="G23" s="8">
        <v>-63</v>
      </c>
      <c r="H23" s="8">
        <v>-70</v>
      </c>
      <c r="I23" s="8">
        <v>-45</v>
      </c>
      <c r="J23" s="8">
        <v>-97</v>
      </c>
      <c r="K23" s="8">
        <v>-65</v>
      </c>
      <c r="L23" s="8">
        <v>-68</v>
      </c>
      <c r="M23" s="8">
        <v>-29</v>
      </c>
      <c r="N23" s="8">
        <v>-45</v>
      </c>
      <c r="O23" s="8"/>
      <c r="P23" s="8">
        <v>-689</v>
      </c>
      <c r="Q23" s="23" t="str">
        <f>VLOOKUP(B23,[1]제품리스트!$A$2:$J$1000,10,FALSE)</f>
        <v>#047-Paint 1oz Purple</v>
      </c>
      <c r="R23" s="17">
        <f t="shared" si="0"/>
        <v>-62.636363636363633</v>
      </c>
      <c r="S23" s="19">
        <f t="shared" si="1"/>
        <v>5.2196969696969697</v>
      </c>
      <c r="T23" s="21">
        <f t="shared" si="2"/>
        <v>15.65909090909091</v>
      </c>
      <c r="U23" s="19" t="e">
        <f>VLOOKUP(B23,[1]재고수량!$A$13:$D$651,3,FALSE)</f>
        <v>#N/A</v>
      </c>
      <c r="V23" s="21" t="e">
        <f t="shared" si="3"/>
        <v>#N/A</v>
      </c>
      <c r="W23">
        <v>20</v>
      </c>
      <c r="X23">
        <f>VLOOKUP(B23,[1]제품리스트!$A$2:$F$1110,5,FALSE)</f>
        <v>16.2</v>
      </c>
      <c r="Y23" s="19">
        <f t="shared" si="4"/>
        <v>324</v>
      </c>
    </row>
    <row r="24" spans="1:25" x14ac:dyDescent="0.3">
      <c r="A24" s="5"/>
      <c r="B24" s="10">
        <v>72001050</v>
      </c>
      <c r="C24" s="11" t="s">
        <v>42</v>
      </c>
      <c r="D24" s="7">
        <v>-171</v>
      </c>
      <c r="E24" s="8">
        <v>-82</v>
      </c>
      <c r="F24" s="8">
        <v>-121</v>
      </c>
      <c r="G24" s="8">
        <v>-107</v>
      </c>
      <c r="H24" s="8">
        <v>-102</v>
      </c>
      <c r="I24" s="8">
        <v>-126</v>
      </c>
      <c r="J24" s="8">
        <v>-218</v>
      </c>
      <c r="K24" s="8">
        <v>-244</v>
      </c>
      <c r="L24" s="8">
        <v>-74</v>
      </c>
      <c r="M24" s="8">
        <v>-102</v>
      </c>
      <c r="N24" s="8">
        <v>-74</v>
      </c>
      <c r="O24" s="8"/>
      <c r="P24" s="8">
        <v>-1421</v>
      </c>
      <c r="Q24" s="23" t="str">
        <f>VLOOKUP(B24,[1]제품리스트!$A$2:$J$1000,10,FALSE)</f>
        <v>#050-Paint 1oz Green</v>
      </c>
      <c r="R24" s="17">
        <f t="shared" si="0"/>
        <v>-129.18181818181819</v>
      </c>
      <c r="S24" s="19">
        <f t="shared" si="1"/>
        <v>10.765151515151516</v>
      </c>
      <c r="T24" s="21">
        <f t="shared" si="2"/>
        <v>32.295454545454547</v>
      </c>
      <c r="U24" s="19" t="e">
        <f>VLOOKUP(B24,[1]재고수량!$A$13:$D$651,3,FALSE)</f>
        <v>#N/A</v>
      </c>
      <c r="V24" s="21" t="e">
        <f t="shared" si="3"/>
        <v>#N/A</v>
      </c>
      <c r="W24">
        <v>40</v>
      </c>
      <c r="X24">
        <f>VLOOKUP(B24,[1]제품리스트!$A$2:$F$1110,5,FALSE)</f>
        <v>16.2</v>
      </c>
      <c r="Y24" s="19">
        <f t="shared" si="4"/>
        <v>648</v>
      </c>
    </row>
    <row r="25" spans="1:25" x14ac:dyDescent="0.3">
      <c r="A25" s="5"/>
      <c r="B25" s="6">
        <v>72001052</v>
      </c>
      <c r="C25" t="s">
        <v>43</v>
      </c>
      <c r="D25" s="7">
        <v>-27</v>
      </c>
      <c r="E25" s="8">
        <v>-44</v>
      </c>
      <c r="F25" s="8">
        <v>-37</v>
      </c>
      <c r="G25" s="8">
        <v>-15</v>
      </c>
      <c r="H25" s="8">
        <v>-38</v>
      </c>
      <c r="I25" s="8">
        <v>-28</v>
      </c>
      <c r="J25" s="8">
        <v>-45</v>
      </c>
      <c r="K25" s="8">
        <v>-20</v>
      </c>
      <c r="L25" s="8">
        <v>-29</v>
      </c>
      <c r="M25" s="8">
        <v>-24</v>
      </c>
      <c r="N25" s="8">
        <v>-31</v>
      </c>
      <c r="O25" s="8"/>
      <c r="P25" s="8">
        <v>-338</v>
      </c>
      <c r="Q25" s="23" t="str">
        <f>VLOOKUP(B25,[1]제품리스트!$A$2:$J$1000,10,FALSE)</f>
        <v>#052-Paint 1oz MidniteGreen</v>
      </c>
      <c r="R25" s="17">
        <f t="shared" si="0"/>
        <v>-30.727272727272727</v>
      </c>
      <c r="S25" s="19">
        <f t="shared" si="1"/>
        <v>2.5606060606060606</v>
      </c>
      <c r="T25" s="21">
        <f t="shared" si="2"/>
        <v>7.6818181818181817</v>
      </c>
      <c r="U25" s="19" t="e">
        <f>VLOOKUP(B25,[1]재고수량!$A$13:$D$651,3,FALSE)</f>
        <v>#N/A</v>
      </c>
      <c r="V25" s="21" t="e">
        <f t="shared" si="3"/>
        <v>#N/A</v>
      </c>
      <c r="W25">
        <v>10</v>
      </c>
      <c r="X25">
        <f>VLOOKUP(B25,[1]제품리스트!$A$2:$F$1110,5,FALSE)</f>
        <v>16.2</v>
      </c>
      <c r="Y25" s="19">
        <f t="shared" si="4"/>
        <v>162</v>
      </c>
    </row>
    <row r="26" spans="1:25" x14ac:dyDescent="0.3">
      <c r="A26" s="5"/>
      <c r="B26" s="6">
        <v>72001060</v>
      </c>
      <c r="C26" t="s">
        <v>44</v>
      </c>
      <c r="D26" s="7">
        <v>-37</v>
      </c>
      <c r="E26" s="8">
        <v>-25</v>
      </c>
      <c r="F26" s="8">
        <v>-22</v>
      </c>
      <c r="G26" s="8">
        <v>-14</v>
      </c>
      <c r="H26" s="8">
        <v>-44</v>
      </c>
      <c r="I26" s="8">
        <v>-47</v>
      </c>
      <c r="J26" s="8">
        <v>-48</v>
      </c>
      <c r="K26" s="8">
        <v>-9</v>
      </c>
      <c r="L26" s="8">
        <v>-2</v>
      </c>
      <c r="M26" s="8">
        <v>-49</v>
      </c>
      <c r="N26" s="8">
        <v>-73</v>
      </c>
      <c r="O26" s="8"/>
      <c r="P26" s="8">
        <v>-370</v>
      </c>
      <c r="Q26" s="23" t="str">
        <f>VLOOKUP(B26,[1]제품리스트!$A$2:$J$1000,10,FALSE)</f>
        <v>#060-Paint 1oz Burgundy</v>
      </c>
      <c r="R26" s="17">
        <f t="shared" si="0"/>
        <v>-33.636363636363633</v>
      </c>
      <c r="S26" s="19">
        <f t="shared" si="1"/>
        <v>2.8030303030303028</v>
      </c>
      <c r="T26" s="21">
        <f t="shared" si="2"/>
        <v>8.4090909090909083</v>
      </c>
      <c r="U26" s="19" t="e">
        <f>VLOOKUP(B26,[1]재고수량!$A$13:$D$651,3,FALSE)</f>
        <v>#N/A</v>
      </c>
      <c r="V26" s="21" t="e">
        <f t="shared" si="3"/>
        <v>#N/A</v>
      </c>
      <c r="W26">
        <v>10</v>
      </c>
      <c r="X26">
        <f>VLOOKUP(B26,[1]제품리스트!$A$2:$F$1110,5,FALSE)</f>
        <v>16.2</v>
      </c>
      <c r="Y26" s="19">
        <f t="shared" si="4"/>
        <v>162</v>
      </c>
    </row>
    <row r="27" spans="1:25" x14ac:dyDescent="0.3">
      <c r="A27" s="5"/>
      <c r="B27" s="10">
        <v>72001064</v>
      </c>
      <c r="C27" s="11" t="s">
        <v>45</v>
      </c>
      <c r="D27" s="7">
        <v>-254</v>
      </c>
      <c r="E27" s="8">
        <v>-317</v>
      </c>
      <c r="F27" s="8">
        <v>-281</v>
      </c>
      <c r="G27" s="8">
        <v>-202</v>
      </c>
      <c r="H27" s="8">
        <v>-261</v>
      </c>
      <c r="I27" s="8">
        <v>-195</v>
      </c>
      <c r="J27" s="8">
        <v>-364</v>
      </c>
      <c r="K27" s="8">
        <v>-294</v>
      </c>
      <c r="L27" s="8">
        <v>-290</v>
      </c>
      <c r="M27" s="8">
        <v>-178</v>
      </c>
      <c r="N27" s="8">
        <v>-193</v>
      </c>
      <c r="O27" s="8"/>
      <c r="P27" s="8">
        <v>-2829</v>
      </c>
      <c r="Q27" s="23" t="str">
        <f>VLOOKUP(B27,[1]제품리스트!$A$2:$J$1000,10,FALSE)</f>
        <v>#064-Paint 1oz Red</v>
      </c>
      <c r="R27" s="17">
        <f t="shared" si="0"/>
        <v>-257.18181818181819</v>
      </c>
      <c r="S27" s="19">
        <f t="shared" si="1"/>
        <v>21.431818181818183</v>
      </c>
      <c r="T27" s="21">
        <f t="shared" si="2"/>
        <v>64.295454545454547</v>
      </c>
      <c r="U27" s="19" t="e">
        <f>VLOOKUP(B27,[1]재고수량!$A$13:$D$651,3,FALSE)</f>
        <v>#N/A</v>
      </c>
      <c r="V27" s="21" t="e">
        <f t="shared" si="3"/>
        <v>#N/A</v>
      </c>
      <c r="W27">
        <v>60</v>
      </c>
      <c r="X27">
        <f>VLOOKUP(B27,[1]제품리스트!$A$2:$F$1110,5,FALSE)</f>
        <v>16.2</v>
      </c>
      <c r="Y27" s="19">
        <f t="shared" si="4"/>
        <v>972</v>
      </c>
    </row>
    <row r="28" spans="1:25" x14ac:dyDescent="0.3">
      <c r="A28" s="5"/>
      <c r="B28" s="6">
        <v>72001070</v>
      </c>
      <c r="C28" t="s">
        <v>46</v>
      </c>
      <c r="D28" s="7">
        <v>-45</v>
      </c>
      <c r="E28" s="8">
        <v>-50</v>
      </c>
      <c r="F28" s="8">
        <v>-57</v>
      </c>
      <c r="G28" s="8">
        <v>-77</v>
      </c>
      <c r="H28" s="8">
        <v>-83</v>
      </c>
      <c r="I28" s="8">
        <v>-75</v>
      </c>
      <c r="J28" s="8">
        <v>-83</v>
      </c>
      <c r="K28" s="8">
        <v>-75</v>
      </c>
      <c r="L28" s="8">
        <v>-75</v>
      </c>
      <c r="M28" s="8">
        <v>-66</v>
      </c>
      <c r="N28" s="8">
        <v>-83</v>
      </c>
      <c r="O28" s="8"/>
      <c r="P28" s="8">
        <v>-769</v>
      </c>
      <c r="Q28" s="23" t="str">
        <f>VLOOKUP(B28,[1]제품리스트!$A$2:$J$1000,10,FALSE)</f>
        <v>#070-Paint 1oz Beige</v>
      </c>
      <c r="R28" s="17">
        <f t="shared" si="0"/>
        <v>-69.909090909090907</v>
      </c>
      <c r="S28" s="19">
        <f t="shared" si="1"/>
        <v>5.8257575757575752</v>
      </c>
      <c r="T28" s="21">
        <f t="shared" si="2"/>
        <v>17.477272727272727</v>
      </c>
      <c r="U28" s="19" t="e">
        <f>VLOOKUP(B28,[1]재고수량!$A$13:$D$651,3,FALSE)</f>
        <v>#N/A</v>
      </c>
      <c r="V28" s="21" t="e">
        <f t="shared" si="3"/>
        <v>#N/A</v>
      </c>
      <c r="W28">
        <v>20</v>
      </c>
      <c r="X28">
        <f>VLOOKUP(B28,[1]제품리스트!$A$2:$F$1110,5,FALSE)</f>
        <v>16.2</v>
      </c>
      <c r="Y28" s="19">
        <f t="shared" si="4"/>
        <v>324</v>
      </c>
    </row>
    <row r="29" spans="1:25" x14ac:dyDescent="0.3">
      <c r="A29" s="5"/>
      <c r="B29" s="10">
        <v>72001072</v>
      </c>
      <c r="C29" s="11" t="s">
        <v>47</v>
      </c>
      <c r="D29" s="7">
        <v>-70</v>
      </c>
      <c r="E29" s="8">
        <v>-117</v>
      </c>
      <c r="F29" s="8">
        <v>-57</v>
      </c>
      <c r="G29" s="8">
        <v>-38</v>
      </c>
      <c r="H29" s="8">
        <v>-72</v>
      </c>
      <c r="I29" s="8">
        <v>-81</v>
      </c>
      <c r="J29" s="8">
        <v>-65</v>
      </c>
      <c r="K29" s="8">
        <v>-50</v>
      </c>
      <c r="L29" s="8">
        <v>-67</v>
      </c>
      <c r="M29" s="8">
        <v>-108</v>
      </c>
      <c r="N29" s="8">
        <v>-51</v>
      </c>
      <c r="O29" s="8"/>
      <c r="P29" s="8">
        <v>-776</v>
      </c>
      <c r="Q29" s="23" t="str">
        <f>VLOOKUP(B29,[1]제품리스트!$A$2:$J$1000,10,FALSE)</f>
        <v>#072-Paint 1oz Gold</v>
      </c>
      <c r="R29" s="17">
        <f t="shared" si="0"/>
        <v>-70.545454545454547</v>
      </c>
      <c r="S29" s="19">
        <f t="shared" si="1"/>
        <v>5.8787878787878789</v>
      </c>
      <c r="T29" s="21">
        <f t="shared" si="2"/>
        <v>17.636363636363637</v>
      </c>
      <c r="U29" s="19" t="e">
        <f>VLOOKUP(B29,[1]재고수량!$A$13:$D$651,3,FALSE)</f>
        <v>#N/A</v>
      </c>
      <c r="V29" s="21" t="e">
        <f t="shared" si="3"/>
        <v>#N/A</v>
      </c>
      <c r="W29">
        <v>20</v>
      </c>
      <c r="X29">
        <f>VLOOKUP(B29,[1]제품리스트!$A$2:$F$1110,5,FALSE)</f>
        <v>16.2</v>
      </c>
      <c r="Y29" s="19">
        <f t="shared" si="4"/>
        <v>324</v>
      </c>
    </row>
    <row r="30" spans="1:25" x14ac:dyDescent="0.3">
      <c r="A30" s="5"/>
      <c r="B30" s="6">
        <v>72001075</v>
      </c>
      <c r="C30" t="s">
        <v>48</v>
      </c>
      <c r="D30" s="7">
        <v>-268</v>
      </c>
      <c r="E30" s="8">
        <v>-246</v>
      </c>
      <c r="F30" s="8">
        <v>-309</v>
      </c>
      <c r="G30" s="8">
        <v>-269</v>
      </c>
      <c r="H30" s="8">
        <v>-211</v>
      </c>
      <c r="I30" s="8">
        <v>-266</v>
      </c>
      <c r="J30" s="8">
        <v>-372</v>
      </c>
      <c r="K30" s="8">
        <v>-284</v>
      </c>
      <c r="L30" s="8">
        <v>-211</v>
      </c>
      <c r="M30" s="8">
        <v>-196</v>
      </c>
      <c r="N30" s="8">
        <v>-184</v>
      </c>
      <c r="O30" s="8"/>
      <c r="P30" s="8">
        <v>-2816</v>
      </c>
      <c r="Q30" s="23" t="str">
        <f>VLOOKUP(B30,[1]제품리스트!$A$2:$J$1000,10,FALSE)</f>
        <v>#075-Paint 1oz Yellow</v>
      </c>
      <c r="R30" s="17">
        <f t="shared" si="0"/>
        <v>-256</v>
      </c>
      <c r="S30" s="19">
        <f t="shared" si="1"/>
        <v>21.333333333333332</v>
      </c>
      <c r="T30" s="21">
        <f t="shared" si="2"/>
        <v>64</v>
      </c>
      <c r="U30" s="19" t="e">
        <f>VLOOKUP(B30,[1]재고수량!$A$13:$D$651,3,FALSE)</f>
        <v>#N/A</v>
      </c>
      <c r="V30" s="21" t="e">
        <f t="shared" si="3"/>
        <v>#N/A</v>
      </c>
      <c r="W30">
        <v>60</v>
      </c>
      <c r="X30">
        <f>VLOOKUP(B30,[1]제품리스트!$A$2:$F$1110,5,FALSE)</f>
        <v>16.2</v>
      </c>
      <c r="Y30" s="19">
        <f t="shared" si="4"/>
        <v>972</v>
      </c>
    </row>
    <row r="31" spans="1:25" x14ac:dyDescent="0.3">
      <c r="A31" s="5"/>
      <c r="B31" s="6">
        <v>72001080</v>
      </c>
      <c r="C31" t="s">
        <v>49</v>
      </c>
      <c r="D31" s="7">
        <v>-41</v>
      </c>
      <c r="E31" s="8">
        <v>-54</v>
      </c>
      <c r="F31" s="8">
        <v>-55</v>
      </c>
      <c r="G31" s="8">
        <v>-57</v>
      </c>
      <c r="H31" s="8">
        <v>-80</v>
      </c>
      <c r="I31" s="8">
        <v>-68</v>
      </c>
      <c r="J31" s="8">
        <v>-47</v>
      </c>
      <c r="K31" s="8">
        <v>-55</v>
      </c>
      <c r="L31" s="8">
        <v>-89</v>
      </c>
      <c r="M31" s="8">
        <v>-61</v>
      </c>
      <c r="N31" s="8">
        <v>-42</v>
      </c>
      <c r="O31" s="8"/>
      <c r="P31" s="8">
        <v>-649</v>
      </c>
      <c r="Q31" s="23" t="str">
        <f>VLOOKUP(B31,[1]제품리스트!$A$2:$J$1000,10,FALSE)</f>
        <v>#080-Paint 1oz DarkGrey</v>
      </c>
      <c r="R31" s="17">
        <f t="shared" si="0"/>
        <v>-59</v>
      </c>
      <c r="S31" s="19">
        <f t="shared" si="1"/>
        <v>4.916666666666667</v>
      </c>
      <c r="T31" s="21">
        <f t="shared" si="2"/>
        <v>14.75</v>
      </c>
      <c r="U31" s="19" t="e">
        <f>VLOOKUP(B31,[1]재고수량!$A$13:$D$651,3,FALSE)</f>
        <v>#N/A</v>
      </c>
      <c r="V31" s="21" t="e">
        <f t="shared" si="3"/>
        <v>#N/A</v>
      </c>
      <c r="W31">
        <v>20</v>
      </c>
      <c r="X31">
        <f>VLOOKUP(B31,[1]제품리스트!$A$2:$F$1110,5,FALSE)</f>
        <v>16.2</v>
      </c>
      <c r="Y31" s="19">
        <f t="shared" si="4"/>
        <v>324</v>
      </c>
    </row>
    <row r="32" spans="1:25" x14ac:dyDescent="0.3">
      <c r="A32" s="5"/>
      <c r="B32" s="6">
        <v>72001081</v>
      </c>
      <c r="C32" t="s">
        <v>50</v>
      </c>
      <c r="D32" s="7">
        <v>-64</v>
      </c>
      <c r="E32" s="8">
        <v>-91</v>
      </c>
      <c r="F32" s="8">
        <v>-53</v>
      </c>
      <c r="G32" s="8">
        <v>-32</v>
      </c>
      <c r="H32" s="8">
        <v>-75</v>
      </c>
      <c r="I32" s="8">
        <v>-47</v>
      </c>
      <c r="J32" s="8">
        <v>-82</v>
      </c>
      <c r="K32" s="8">
        <v>-82</v>
      </c>
      <c r="L32" s="8">
        <v>-68</v>
      </c>
      <c r="M32" s="8">
        <v>-58</v>
      </c>
      <c r="N32" s="8">
        <v>-38</v>
      </c>
      <c r="O32" s="8"/>
      <c r="P32" s="8">
        <v>-690</v>
      </c>
      <c r="Q32" s="23" t="str">
        <f>VLOOKUP(B32,[1]제품리스트!$A$2:$J$1000,10,FALSE)</f>
        <v>#081-Paint 1oz Grey</v>
      </c>
      <c r="R32" s="17">
        <f t="shared" si="0"/>
        <v>-62.727272727272727</v>
      </c>
      <c r="S32" s="19">
        <f t="shared" si="1"/>
        <v>5.2272727272727275</v>
      </c>
      <c r="T32" s="21">
        <f t="shared" si="2"/>
        <v>15.681818181818183</v>
      </c>
      <c r="U32" s="19" t="e">
        <f>VLOOKUP(B32,[1]재고수량!$A$13:$D$651,3,FALSE)</f>
        <v>#N/A</v>
      </c>
      <c r="V32" s="21" t="e">
        <f t="shared" si="3"/>
        <v>#N/A</v>
      </c>
      <c r="W32">
        <v>20</v>
      </c>
      <c r="X32">
        <f>VLOOKUP(B32,[1]제품리스트!$A$2:$F$1110,5,FALSE)</f>
        <v>16.2</v>
      </c>
      <c r="Y32" s="19">
        <f t="shared" si="4"/>
        <v>324</v>
      </c>
    </row>
    <row r="33" spans="1:25" x14ac:dyDescent="0.3">
      <c r="A33" s="5"/>
      <c r="B33" s="6">
        <v>72001082</v>
      </c>
      <c r="C33" t="s">
        <v>51</v>
      </c>
      <c r="D33" s="7">
        <v>-54</v>
      </c>
      <c r="E33" s="8">
        <v>-31</v>
      </c>
      <c r="F33" s="8">
        <v>-45</v>
      </c>
      <c r="G33" s="8">
        <v>-34</v>
      </c>
      <c r="H33" s="8">
        <v>-73</v>
      </c>
      <c r="I33" s="8">
        <v>-58</v>
      </c>
      <c r="J33" s="8">
        <v>-80</v>
      </c>
      <c r="K33" s="8">
        <v>-71</v>
      </c>
      <c r="L33" s="8">
        <v>-48</v>
      </c>
      <c r="M33" s="8">
        <v>-50</v>
      </c>
      <c r="N33" s="8">
        <v>-42</v>
      </c>
      <c r="O33" s="8"/>
      <c r="P33" s="8">
        <v>-586</v>
      </c>
      <c r="Q33" s="23" t="str">
        <f>VLOOKUP(B33,[1]제품리스트!$A$2:$J$1000,10,FALSE)</f>
        <v>#082-Paint 1oz LightGrey</v>
      </c>
      <c r="R33" s="17">
        <f t="shared" si="0"/>
        <v>-53.272727272727273</v>
      </c>
      <c r="S33" s="19">
        <f t="shared" si="1"/>
        <v>4.4393939393939394</v>
      </c>
      <c r="T33" s="21">
        <f t="shared" si="2"/>
        <v>13.318181818181818</v>
      </c>
      <c r="U33" s="19" t="e">
        <f>VLOOKUP(B33,[1]재고수량!$A$13:$D$651,3,FALSE)</f>
        <v>#N/A</v>
      </c>
      <c r="V33" s="21" t="e">
        <f t="shared" si="3"/>
        <v>#N/A</v>
      </c>
      <c r="W33">
        <v>15</v>
      </c>
      <c r="X33">
        <f>VLOOKUP(B33,[1]제품리스트!$A$2:$F$1110,5,FALSE)</f>
        <v>16.2</v>
      </c>
      <c r="Y33" s="19">
        <f t="shared" si="4"/>
        <v>243</v>
      </c>
    </row>
    <row r="34" spans="1:25" x14ac:dyDescent="0.3">
      <c r="A34" s="5"/>
      <c r="B34" s="6">
        <v>72001093</v>
      </c>
      <c r="C34" t="s">
        <v>52</v>
      </c>
      <c r="D34" s="7">
        <v>-9</v>
      </c>
      <c r="E34" s="8">
        <v>-15</v>
      </c>
      <c r="F34" s="8">
        <v>-29</v>
      </c>
      <c r="G34" s="8">
        <v>-6</v>
      </c>
      <c r="H34" s="8">
        <v>-23</v>
      </c>
      <c r="I34" s="8">
        <v>-29</v>
      </c>
      <c r="J34" s="8">
        <v>-42</v>
      </c>
      <c r="K34" s="8">
        <v>-4</v>
      </c>
      <c r="L34" s="8">
        <v>-7</v>
      </c>
      <c r="M34" s="8">
        <v>-20</v>
      </c>
      <c r="N34" s="8">
        <v>-15</v>
      </c>
      <c r="O34" s="8"/>
      <c r="P34" s="8">
        <v>-199</v>
      </c>
      <c r="Q34" s="23" t="str">
        <f>VLOOKUP(B34,[1]제품리스트!$A$2:$J$1000,10,FALSE)</f>
        <v>#093-Paint 1oz Brick</v>
      </c>
      <c r="R34" s="17">
        <f t="shared" si="0"/>
        <v>-18.09090909090909</v>
      </c>
      <c r="S34" s="19">
        <f t="shared" si="1"/>
        <v>1.5075757575757576</v>
      </c>
      <c r="T34" s="21">
        <f t="shared" si="2"/>
        <v>4.5227272727272725</v>
      </c>
      <c r="U34" s="19" t="e">
        <f>VLOOKUP(B34,[1]재고수량!$A$13:$D$651,3,FALSE)</f>
        <v>#N/A</v>
      </c>
      <c r="V34" s="21" t="e">
        <f t="shared" si="3"/>
        <v>#N/A</v>
      </c>
      <c r="W34">
        <v>10</v>
      </c>
      <c r="X34">
        <f>VLOOKUP(B34,[1]제품리스트!$A$2:$F$1110,5,FALSE)</f>
        <v>16.2</v>
      </c>
      <c r="Y34" s="19">
        <f t="shared" si="4"/>
        <v>162</v>
      </c>
    </row>
    <row r="35" spans="1:25" hidden="1" x14ac:dyDescent="0.3">
      <c r="A35" s="5"/>
      <c r="B35" s="6">
        <v>72001101</v>
      </c>
      <c r="C35" t="s">
        <v>53</v>
      </c>
      <c r="D35" s="7">
        <v>-466</v>
      </c>
      <c r="E35" s="8">
        <v>-439</v>
      </c>
      <c r="F35" s="8">
        <v>-513</v>
      </c>
      <c r="G35" s="8">
        <v>-648</v>
      </c>
      <c r="H35" s="8">
        <v>-545</v>
      </c>
      <c r="I35" s="8">
        <v>-543</v>
      </c>
      <c r="J35" s="8">
        <v>-507</v>
      </c>
      <c r="K35" s="8">
        <v>-548</v>
      </c>
      <c r="L35" s="8">
        <v>-613</v>
      </c>
      <c r="M35" s="8">
        <v>-637</v>
      </c>
      <c r="N35" s="8">
        <v>-508</v>
      </c>
      <c r="O35" s="8">
        <v>24</v>
      </c>
      <c r="P35" s="8">
        <v>-5943</v>
      </c>
      <c r="Q35" s="23" t="str">
        <f>VLOOKUP(B35,[1]제품리스트!$A$2:$J$1000,10,FALSE)</f>
        <v>#101-Paint 1oz Flat Black</v>
      </c>
      <c r="R35" s="17">
        <f t="shared" si="0"/>
        <v>-540.27272727272725</v>
      </c>
      <c r="S35" s="19">
        <f t="shared" si="1"/>
        <v>45.022727272727273</v>
      </c>
      <c r="T35" s="21">
        <f t="shared" si="2"/>
        <v>135.06818181818181</v>
      </c>
      <c r="U35" s="19" t="e">
        <f>VLOOKUP(B35,[1]재고수량!$A$13:$D$651,3,FALSE)</f>
        <v>#N/A</v>
      </c>
      <c r="V35" s="21" t="e">
        <f t="shared" si="3"/>
        <v>#N/A</v>
      </c>
      <c r="X35">
        <f>VLOOKUP(B35,[1]제품리스트!$A$2:$F$1110,5,FALSE)</f>
        <v>16.2</v>
      </c>
      <c r="Y35" s="19">
        <f t="shared" si="4"/>
        <v>0</v>
      </c>
    </row>
    <row r="36" spans="1:25" hidden="1" x14ac:dyDescent="0.3">
      <c r="A36" s="5"/>
      <c r="B36" s="10">
        <v>72001105</v>
      </c>
      <c r="C36" s="11" t="s">
        <v>54</v>
      </c>
      <c r="D36" s="7">
        <v>-294</v>
      </c>
      <c r="E36" s="8">
        <v>-367</v>
      </c>
      <c r="F36" s="8">
        <v>-501</v>
      </c>
      <c r="G36" s="8">
        <v>-571</v>
      </c>
      <c r="H36" s="8">
        <v>-485</v>
      </c>
      <c r="I36" s="8">
        <v>-614</v>
      </c>
      <c r="J36" s="8">
        <v>-585</v>
      </c>
      <c r="K36" s="8">
        <v>-492</v>
      </c>
      <c r="L36" s="8">
        <v>-360</v>
      </c>
      <c r="M36" s="8">
        <v>-401</v>
      </c>
      <c r="N36" s="8">
        <v>-318</v>
      </c>
      <c r="O36" s="8"/>
      <c r="P36" s="8">
        <v>-4988</v>
      </c>
      <c r="Q36" s="23" t="str">
        <f>VLOOKUP(B36,[1]제품리스트!$A$2:$J$1000,10,FALSE)</f>
        <v>#105-Paint 1oz Flat White</v>
      </c>
      <c r="R36" s="17">
        <f t="shared" si="0"/>
        <v>-453.45454545454544</v>
      </c>
      <c r="S36" s="19">
        <f t="shared" si="1"/>
        <v>37.787878787878789</v>
      </c>
      <c r="T36" s="21">
        <f t="shared" si="2"/>
        <v>113.36363636363637</v>
      </c>
      <c r="U36" s="19" t="e">
        <f>VLOOKUP(B36,[1]재고수량!$A$13:$D$651,3,FALSE)</f>
        <v>#N/A</v>
      </c>
      <c r="V36" s="21" t="e">
        <f t="shared" si="3"/>
        <v>#N/A</v>
      </c>
      <c r="X36">
        <f>VLOOKUP(B36,[1]제품리스트!$A$2:$F$1110,5,FALSE)</f>
        <v>16.2</v>
      </c>
      <c r="Y36" s="19">
        <f t="shared" si="4"/>
        <v>0</v>
      </c>
    </row>
    <row r="37" spans="1:25" x14ac:dyDescent="0.3">
      <c r="A37" s="5"/>
      <c r="B37" s="6">
        <v>72001141</v>
      </c>
      <c r="C37" t="s">
        <v>55</v>
      </c>
      <c r="D37" s="7">
        <v>-15</v>
      </c>
      <c r="E37" s="8">
        <v>-14</v>
      </c>
      <c r="F37" s="8">
        <v>-10</v>
      </c>
      <c r="G37" s="8">
        <v>-4</v>
      </c>
      <c r="H37" s="8">
        <v>-31</v>
      </c>
      <c r="I37" s="8">
        <v>-8</v>
      </c>
      <c r="J37" s="8">
        <v>-10</v>
      </c>
      <c r="K37" s="8">
        <v>-16</v>
      </c>
      <c r="L37" s="8">
        <v>-2</v>
      </c>
      <c r="M37" s="8">
        <v>-14</v>
      </c>
      <c r="N37" s="8">
        <v>-19</v>
      </c>
      <c r="O37" s="8"/>
      <c r="P37" s="8">
        <v>-143</v>
      </c>
      <c r="Q37" s="23" t="str">
        <f>VLOOKUP(B37,[1]제품리스트!$A$2:$J$1000,10,FALSE)</f>
        <v>#141-Paint 1oz Copper</v>
      </c>
      <c r="R37" s="17">
        <f t="shared" si="0"/>
        <v>-13</v>
      </c>
      <c r="S37" s="19">
        <f t="shared" si="1"/>
        <v>1.0833333333333333</v>
      </c>
      <c r="T37" s="21">
        <f t="shared" si="2"/>
        <v>3.25</v>
      </c>
      <c r="U37" s="19" t="e">
        <f>VLOOKUP(B37,[1]재고수량!$A$13:$D$651,3,FALSE)</f>
        <v>#N/A</v>
      </c>
      <c r="V37" s="21" t="e">
        <f t="shared" si="3"/>
        <v>#N/A</v>
      </c>
      <c r="W37">
        <v>5</v>
      </c>
      <c r="X37">
        <f>VLOOKUP(B37,[1]제품리스트!$A$2:$F$1110,5,FALSE)</f>
        <v>16.2</v>
      </c>
      <c r="Y37" s="19">
        <f t="shared" si="4"/>
        <v>81</v>
      </c>
    </row>
    <row r="38" spans="1:25" x14ac:dyDescent="0.3">
      <c r="A38" s="5"/>
      <c r="B38" s="6">
        <v>72001142</v>
      </c>
      <c r="C38" t="s">
        <v>56</v>
      </c>
      <c r="D38" s="7">
        <v>-21</v>
      </c>
      <c r="E38" s="8">
        <v>-33</v>
      </c>
      <c r="F38" s="8">
        <v>-20</v>
      </c>
      <c r="G38" s="8">
        <v>-1</v>
      </c>
      <c r="H38" s="8">
        <v>-41</v>
      </c>
      <c r="I38" s="8">
        <v>-27</v>
      </c>
      <c r="J38" s="8">
        <v>-24</v>
      </c>
      <c r="K38" s="8">
        <v>-14</v>
      </c>
      <c r="L38" s="8">
        <v>-35</v>
      </c>
      <c r="M38" s="8">
        <v>-36</v>
      </c>
      <c r="N38" s="8">
        <v>-21</v>
      </c>
      <c r="O38" s="8"/>
      <c r="P38" s="8">
        <v>-273</v>
      </c>
      <c r="Q38" s="23" t="str">
        <f>VLOOKUP(B38,[1]제품리스트!$A$2:$J$1000,10,FALSE)</f>
        <v>#142-Paint 1oz Bronze</v>
      </c>
      <c r="R38" s="17">
        <f t="shared" si="0"/>
        <v>-24.818181818181817</v>
      </c>
      <c r="S38" s="19">
        <f t="shared" si="1"/>
        <v>2.0681818181818179</v>
      </c>
      <c r="T38" s="21">
        <f t="shared" si="2"/>
        <v>6.2045454545454533</v>
      </c>
      <c r="U38" s="19" t="e">
        <f>VLOOKUP(B38,[1]재고수량!$A$13:$D$651,3,FALSE)</f>
        <v>#N/A</v>
      </c>
      <c r="V38" s="21" t="e">
        <f t="shared" si="3"/>
        <v>#N/A</v>
      </c>
      <c r="W38">
        <v>5</v>
      </c>
      <c r="X38">
        <f>VLOOKUP(B38,[1]제품리스트!$A$2:$F$1110,5,FALSE)</f>
        <v>16.2</v>
      </c>
      <c r="Y38" s="19">
        <f t="shared" si="4"/>
        <v>81</v>
      </c>
    </row>
    <row r="39" spans="1:25" x14ac:dyDescent="0.3">
      <c r="A39" s="5"/>
      <c r="B39" s="6">
        <v>72001143</v>
      </c>
      <c r="C39" t="s">
        <v>57</v>
      </c>
      <c r="D39" s="7">
        <v>-12</v>
      </c>
      <c r="E39" s="8">
        <v>-32</v>
      </c>
      <c r="F39" s="8">
        <v>-16</v>
      </c>
      <c r="G39" s="8">
        <v>-13</v>
      </c>
      <c r="H39" s="8">
        <v>-33</v>
      </c>
      <c r="I39" s="8">
        <v>-26</v>
      </c>
      <c r="J39" s="8">
        <v>-21</v>
      </c>
      <c r="K39" s="8">
        <v>-38</v>
      </c>
      <c r="L39" s="8">
        <v>-21</v>
      </c>
      <c r="M39" s="8">
        <v>-37</v>
      </c>
      <c r="N39" s="8">
        <v>-28</v>
      </c>
      <c r="O39" s="8"/>
      <c r="P39" s="8">
        <v>-277</v>
      </c>
      <c r="Q39" s="23" t="str">
        <f>VLOOKUP(B39,[1]제품리스트!$A$2:$J$1000,10,FALSE)</f>
        <v>#143-Paint 1oz Pewter</v>
      </c>
      <c r="R39" s="17">
        <f t="shared" si="0"/>
        <v>-25.181818181818183</v>
      </c>
      <c r="S39" s="19">
        <f t="shared" si="1"/>
        <v>2.0984848484848486</v>
      </c>
      <c r="T39" s="21">
        <f t="shared" si="2"/>
        <v>6.2954545454545459</v>
      </c>
      <c r="U39" s="19" t="e">
        <f>VLOOKUP(B39,[1]재고수량!$A$13:$D$651,3,FALSE)</f>
        <v>#N/A</v>
      </c>
      <c r="V39" s="21" t="e">
        <f t="shared" si="3"/>
        <v>#N/A</v>
      </c>
      <c r="W39">
        <v>5</v>
      </c>
      <c r="X39">
        <f>VLOOKUP(B39,[1]제품리스트!$A$2:$F$1110,5,FALSE)</f>
        <v>16.2</v>
      </c>
      <c r="Y39" s="19">
        <f t="shared" si="4"/>
        <v>81</v>
      </c>
    </row>
    <row r="40" spans="1:25" x14ac:dyDescent="0.3">
      <c r="A40" s="5"/>
      <c r="B40" s="10">
        <v>72001150</v>
      </c>
      <c r="C40" s="11" t="s">
        <v>58</v>
      </c>
      <c r="D40" s="7">
        <v>-53</v>
      </c>
      <c r="E40" s="8">
        <v>-50</v>
      </c>
      <c r="F40" s="8">
        <v>-73</v>
      </c>
      <c r="G40" s="8">
        <v>-74</v>
      </c>
      <c r="H40" s="8">
        <v>-77</v>
      </c>
      <c r="I40" s="8">
        <v>-74</v>
      </c>
      <c r="J40" s="8">
        <v>-91</v>
      </c>
      <c r="K40" s="8">
        <v>-107</v>
      </c>
      <c r="L40" s="8">
        <v>-42</v>
      </c>
      <c r="M40" s="8">
        <v>-73</v>
      </c>
      <c r="N40" s="8">
        <v>-57</v>
      </c>
      <c r="O40" s="8"/>
      <c r="P40" s="8">
        <v>-771</v>
      </c>
      <c r="Q40" s="23" t="str">
        <f>VLOOKUP(B40,[1]제품리스트!$A$2:$J$1000,10,FALSE)</f>
        <v>#150-Paint 1oz SILVER</v>
      </c>
      <c r="R40" s="17">
        <f t="shared" si="0"/>
        <v>-70.090909090909093</v>
      </c>
      <c r="S40" s="19">
        <f t="shared" si="1"/>
        <v>5.8409090909090908</v>
      </c>
      <c r="T40" s="21">
        <f t="shared" si="2"/>
        <v>17.522727272727273</v>
      </c>
      <c r="U40" s="19" t="e">
        <f>VLOOKUP(B40,[1]재고수량!$A$13:$D$651,3,FALSE)</f>
        <v>#N/A</v>
      </c>
      <c r="V40" s="21" t="e">
        <f t="shared" si="3"/>
        <v>#N/A</v>
      </c>
      <c r="W40">
        <v>20</v>
      </c>
      <c r="X40">
        <f>VLOOKUP(B40,[1]제품리스트!$A$2:$F$1110,5,FALSE)</f>
        <v>16.2</v>
      </c>
      <c r="Y40" s="19">
        <f t="shared" si="4"/>
        <v>324</v>
      </c>
    </row>
    <row r="41" spans="1:25" hidden="1" x14ac:dyDescent="0.3">
      <c r="A41" s="5"/>
      <c r="B41" s="6">
        <v>72001155</v>
      </c>
      <c r="C41" t="s">
        <v>59</v>
      </c>
      <c r="D41" s="7">
        <v>-17</v>
      </c>
      <c r="E41" s="8">
        <v>-16</v>
      </c>
      <c r="F41" s="8">
        <v>-7</v>
      </c>
      <c r="G41" s="8">
        <v>-12</v>
      </c>
      <c r="H41" s="8">
        <v>-21</v>
      </c>
      <c r="I41" s="8">
        <v>-12</v>
      </c>
      <c r="J41" s="8">
        <v>-38</v>
      </c>
      <c r="K41" s="8">
        <v>-11</v>
      </c>
      <c r="L41" s="8">
        <v>-24</v>
      </c>
      <c r="M41" s="8">
        <v>-19</v>
      </c>
      <c r="N41" s="8">
        <v>-15</v>
      </c>
      <c r="O41" s="8"/>
      <c r="P41" s="8">
        <v>-192</v>
      </c>
      <c r="Q41" s="23" t="str">
        <f>VLOOKUP(B41,[1]제품리스트!$A$2:$J$1000,10,FALSE)</f>
        <v>#155-Paint 1oz Bone</v>
      </c>
      <c r="R41" s="17">
        <f t="shared" si="0"/>
        <v>-17.454545454545453</v>
      </c>
      <c r="S41" s="19">
        <f t="shared" si="1"/>
        <v>1.4545454545454544</v>
      </c>
      <c r="T41" s="21">
        <f t="shared" si="2"/>
        <v>4.3636363636363633</v>
      </c>
      <c r="U41" s="19" t="e">
        <f>VLOOKUP(B41,[1]재고수량!$A$13:$D$651,3,FALSE)</f>
        <v>#N/A</v>
      </c>
      <c r="V41" s="21" t="e">
        <f t="shared" si="3"/>
        <v>#N/A</v>
      </c>
      <c r="X41">
        <f>VLOOKUP(B41,[1]제품리스트!$A$2:$F$1110,5,FALSE)</f>
        <v>16.2</v>
      </c>
      <c r="Y41" s="19">
        <f t="shared" si="4"/>
        <v>0</v>
      </c>
    </row>
    <row r="42" spans="1:25" x14ac:dyDescent="0.3">
      <c r="A42" s="5"/>
      <c r="B42" s="6">
        <v>72001156</v>
      </c>
      <c r="C42" t="s">
        <v>60</v>
      </c>
      <c r="D42" s="7">
        <v>-22</v>
      </c>
      <c r="E42" s="8">
        <v>-34</v>
      </c>
      <c r="F42" s="8">
        <v>-29</v>
      </c>
      <c r="G42" s="8">
        <v>-7</v>
      </c>
      <c r="H42" s="8">
        <v>-36</v>
      </c>
      <c r="I42" s="8">
        <v>-49</v>
      </c>
      <c r="J42" s="8">
        <v>-62</v>
      </c>
      <c r="K42" s="8">
        <v>-24</v>
      </c>
      <c r="L42" s="8">
        <v>-30</v>
      </c>
      <c r="M42" s="8">
        <v>-28</v>
      </c>
      <c r="N42" s="8">
        <v>-28</v>
      </c>
      <c r="O42" s="8"/>
      <c r="P42" s="8">
        <v>-349</v>
      </c>
      <c r="Q42" s="23" t="str">
        <f>VLOOKUP(B42,[1]제품리스트!$A$2:$J$1000,10,FALSE)</f>
        <v>#156-Paint 1oz Champagne</v>
      </c>
      <c r="R42" s="17">
        <f t="shared" si="0"/>
        <v>-31.727272727272727</v>
      </c>
      <c r="S42" s="19">
        <f t="shared" si="1"/>
        <v>2.643939393939394</v>
      </c>
      <c r="T42" s="21">
        <f t="shared" si="2"/>
        <v>7.9318181818181817</v>
      </c>
      <c r="U42" s="19" t="e">
        <f>VLOOKUP(B42,[1]재고수량!$A$13:$D$651,3,FALSE)</f>
        <v>#N/A</v>
      </c>
      <c r="V42" s="21" t="e">
        <f t="shared" si="3"/>
        <v>#N/A</v>
      </c>
      <c r="W42">
        <v>10</v>
      </c>
      <c r="X42">
        <f>VLOOKUP(B42,[1]제품리스트!$A$2:$F$1110,5,FALSE)</f>
        <v>16.2</v>
      </c>
      <c r="Y42" s="19">
        <f t="shared" si="4"/>
        <v>162</v>
      </c>
    </row>
    <row r="43" spans="1:25" hidden="1" x14ac:dyDescent="0.3">
      <c r="A43" s="5"/>
      <c r="B43" s="6">
        <v>72001157</v>
      </c>
      <c r="C43" t="s">
        <v>61</v>
      </c>
      <c r="D43" s="7">
        <v>-6</v>
      </c>
      <c r="E43" s="8">
        <v>-14</v>
      </c>
      <c r="F43" s="8">
        <v>-10</v>
      </c>
      <c r="G43" s="8">
        <v>-4</v>
      </c>
      <c r="H43" s="8">
        <v>-32</v>
      </c>
      <c r="I43" s="8">
        <v>-1</v>
      </c>
      <c r="J43" s="8">
        <v>-6</v>
      </c>
      <c r="K43" s="8">
        <v>-32</v>
      </c>
      <c r="L43" s="8">
        <v>-7</v>
      </c>
      <c r="M43" s="8">
        <v>-21</v>
      </c>
      <c r="N43" s="8">
        <v>-19</v>
      </c>
      <c r="O43" s="8"/>
      <c r="P43" s="8">
        <v>-152</v>
      </c>
      <c r="Q43" s="23" t="str">
        <f>VLOOKUP(B43,[1]제품리스트!$A$2:$J$1000,10,FALSE)</f>
        <v>#157-Paint 1oz DarkBone</v>
      </c>
      <c r="R43" s="17">
        <f t="shared" si="0"/>
        <v>-13.818181818181818</v>
      </c>
      <c r="S43" s="19">
        <f t="shared" si="1"/>
        <v>1.1515151515151516</v>
      </c>
      <c r="T43" s="21">
        <f t="shared" si="2"/>
        <v>3.454545454545455</v>
      </c>
      <c r="U43" s="19" t="e">
        <f>VLOOKUP(B43,[1]재고수량!$A$13:$D$651,3,FALSE)</f>
        <v>#N/A</v>
      </c>
      <c r="V43" s="21" t="e">
        <f t="shared" si="3"/>
        <v>#N/A</v>
      </c>
      <c r="X43">
        <f>VLOOKUP(B43,[1]제품리스트!$A$2:$F$1110,5,FALSE)</f>
        <v>16.2</v>
      </c>
      <c r="Y43" s="19">
        <f t="shared" si="4"/>
        <v>0</v>
      </c>
    </row>
    <row r="44" spans="1:25" x14ac:dyDescent="0.3">
      <c r="A44" s="5"/>
      <c r="B44" s="10">
        <v>72001159</v>
      </c>
      <c r="C44" s="11" t="s">
        <v>62</v>
      </c>
      <c r="D44" s="7">
        <v>-22</v>
      </c>
      <c r="E44" s="8">
        <v>-20</v>
      </c>
      <c r="F44" s="8">
        <v>-21</v>
      </c>
      <c r="G44" s="8">
        <v>-24</v>
      </c>
      <c r="H44" s="8">
        <v>-23</v>
      </c>
      <c r="I44" s="8">
        <v>-44</v>
      </c>
      <c r="J44" s="8">
        <v>-12</v>
      </c>
      <c r="K44" s="8">
        <v>-35</v>
      </c>
      <c r="L44" s="8">
        <v>-7</v>
      </c>
      <c r="M44" s="8">
        <v>-26</v>
      </c>
      <c r="N44" s="8">
        <v>-10</v>
      </c>
      <c r="O44" s="8"/>
      <c r="P44" s="8">
        <v>-244</v>
      </c>
      <c r="Q44" s="23" t="str">
        <f>VLOOKUP(B44,[1]제품리스트!$A$2:$J$1000,10,FALSE)</f>
        <v>#159-Paint 1oz Mist</v>
      </c>
      <c r="R44" s="17">
        <f t="shared" si="0"/>
        <v>-22.181818181818183</v>
      </c>
      <c r="S44" s="19">
        <f t="shared" si="1"/>
        <v>1.8484848484848486</v>
      </c>
      <c r="T44" s="21">
        <f t="shared" si="2"/>
        <v>5.5454545454545459</v>
      </c>
      <c r="U44" s="19" t="e">
        <f>VLOOKUP(B44,[1]재고수량!$A$13:$D$651,3,FALSE)</f>
        <v>#N/A</v>
      </c>
      <c r="V44" s="21" t="e">
        <f t="shared" si="3"/>
        <v>#N/A</v>
      </c>
      <c r="W44">
        <v>10</v>
      </c>
      <c r="X44">
        <f>VLOOKUP(B44,[1]제품리스트!$A$2:$F$1110,5,FALSE)</f>
        <v>16.2</v>
      </c>
      <c r="Y44" s="19">
        <f t="shared" si="4"/>
        <v>162</v>
      </c>
    </row>
    <row r="45" spans="1:25" x14ac:dyDescent="0.3">
      <c r="A45" s="5"/>
      <c r="B45" s="10">
        <v>72001160</v>
      </c>
      <c r="C45" s="11" t="s">
        <v>63</v>
      </c>
      <c r="D45" s="7">
        <v>-25</v>
      </c>
      <c r="E45" s="8">
        <v>-47</v>
      </c>
      <c r="F45" s="8">
        <v>-36</v>
      </c>
      <c r="G45" s="8">
        <v>-38</v>
      </c>
      <c r="H45" s="8">
        <v>-47</v>
      </c>
      <c r="I45" s="8">
        <v>-37</v>
      </c>
      <c r="J45" s="8">
        <v>-71</v>
      </c>
      <c r="K45" s="8">
        <v>-32</v>
      </c>
      <c r="L45" s="8">
        <v>-31</v>
      </c>
      <c r="M45" s="8">
        <v>-46</v>
      </c>
      <c r="N45" s="8">
        <v>-32</v>
      </c>
      <c r="O45" s="8"/>
      <c r="P45" s="8">
        <v>-442</v>
      </c>
      <c r="Q45" s="23" t="str">
        <f>VLOOKUP(B45,[1]제품리스트!$A$2:$J$1000,10,FALSE)</f>
        <v>#160-Paint 1oz Vanilla</v>
      </c>
      <c r="R45" s="17">
        <f t="shared" si="0"/>
        <v>-40.18181818181818</v>
      </c>
      <c r="S45" s="19">
        <f t="shared" si="1"/>
        <v>3.3484848484848482</v>
      </c>
      <c r="T45" s="21">
        <f t="shared" si="2"/>
        <v>10.045454545454545</v>
      </c>
      <c r="U45" s="19" t="e">
        <f>VLOOKUP(B45,[1]재고수량!$A$13:$D$651,3,FALSE)</f>
        <v>#N/A</v>
      </c>
      <c r="V45" s="21" t="e">
        <f t="shared" si="3"/>
        <v>#N/A</v>
      </c>
      <c r="W45">
        <v>10</v>
      </c>
      <c r="X45">
        <f>VLOOKUP(B45,[1]제품리스트!$A$2:$F$1110,5,FALSE)</f>
        <v>16.2</v>
      </c>
      <c r="Y45" s="19">
        <f t="shared" si="4"/>
        <v>162</v>
      </c>
    </row>
    <row r="46" spans="1:25" x14ac:dyDescent="0.3">
      <c r="A46" s="5"/>
      <c r="B46" s="6">
        <v>72001161</v>
      </c>
      <c r="C46" t="s">
        <v>64</v>
      </c>
      <c r="D46" s="7">
        <v>-4</v>
      </c>
      <c r="E46" s="8">
        <v>-39</v>
      </c>
      <c r="F46" s="8">
        <v>-13</v>
      </c>
      <c r="G46" s="8">
        <v>-19</v>
      </c>
      <c r="H46" s="8">
        <v>-23</v>
      </c>
      <c r="I46" s="8">
        <v>-55</v>
      </c>
      <c r="J46" s="8">
        <v>-16</v>
      </c>
      <c r="K46" s="8">
        <v>-41</v>
      </c>
      <c r="L46" s="8">
        <v>-26</v>
      </c>
      <c r="M46" s="8">
        <v>-66</v>
      </c>
      <c r="N46" s="8">
        <v>-20</v>
      </c>
      <c r="O46" s="8"/>
      <c r="P46" s="8">
        <v>-322</v>
      </c>
      <c r="Q46" s="23" t="str">
        <f>VLOOKUP(B46,[1]제품리스트!$A$2:$J$1000,10,FALSE)</f>
        <v>#161-Paint 1oz Natural</v>
      </c>
      <c r="R46" s="17">
        <f t="shared" si="0"/>
        <v>-29.272727272727273</v>
      </c>
      <c r="S46" s="19">
        <f t="shared" si="1"/>
        <v>2.4393939393939394</v>
      </c>
      <c r="T46" s="21">
        <f t="shared" si="2"/>
        <v>7.3181818181818183</v>
      </c>
      <c r="U46" s="19" t="e">
        <f>VLOOKUP(B46,[1]재고수량!$A$13:$D$651,3,FALSE)</f>
        <v>#N/A</v>
      </c>
      <c r="V46" s="21" t="e">
        <f t="shared" si="3"/>
        <v>#N/A</v>
      </c>
      <c r="W46">
        <v>10</v>
      </c>
      <c r="X46">
        <f>VLOOKUP(B46,[1]제품리스트!$A$2:$F$1110,5,FALSE)</f>
        <v>16.2</v>
      </c>
      <c r="Y46" s="19">
        <f t="shared" si="4"/>
        <v>162</v>
      </c>
    </row>
    <row r="47" spans="1:25" x14ac:dyDescent="0.3">
      <c r="A47" s="5"/>
      <c r="B47" s="10">
        <v>72001162</v>
      </c>
      <c r="C47" s="11" t="s">
        <v>65</v>
      </c>
      <c r="D47" s="7">
        <v>-63</v>
      </c>
      <c r="E47" s="8">
        <v>-70</v>
      </c>
      <c r="F47" s="8">
        <v>-63</v>
      </c>
      <c r="G47" s="8">
        <v>-80</v>
      </c>
      <c r="H47" s="8">
        <v>-84</v>
      </c>
      <c r="I47" s="8">
        <v>-40</v>
      </c>
      <c r="J47" s="8">
        <v>-124</v>
      </c>
      <c r="K47" s="8">
        <v>-81</v>
      </c>
      <c r="L47" s="8">
        <v>-119</v>
      </c>
      <c r="M47" s="8">
        <v>-75</v>
      </c>
      <c r="N47" s="8">
        <v>-63</v>
      </c>
      <c r="O47" s="8"/>
      <c r="P47" s="8">
        <v>-862</v>
      </c>
      <c r="Q47" s="23" t="str">
        <f>VLOOKUP(B47,[1]제품리스트!$A$2:$J$1000,10,FALSE)</f>
        <v>#162-Paint 1oz Cream</v>
      </c>
      <c r="R47" s="17">
        <f t="shared" si="0"/>
        <v>-78.36363636363636</v>
      </c>
      <c r="S47" s="19">
        <f t="shared" si="1"/>
        <v>6.5303030303030303</v>
      </c>
      <c r="T47" s="21">
        <f t="shared" si="2"/>
        <v>19.59090909090909</v>
      </c>
      <c r="U47" s="19" t="e">
        <f>VLOOKUP(B47,[1]재고수량!$A$13:$D$651,3,FALSE)</f>
        <v>#N/A</v>
      </c>
      <c r="V47" s="21" t="e">
        <f t="shared" si="3"/>
        <v>#N/A</v>
      </c>
      <c r="W47">
        <v>20</v>
      </c>
      <c r="X47">
        <f>VLOOKUP(B47,[1]제품리스트!$A$2:$F$1110,5,FALSE)</f>
        <v>16.2</v>
      </c>
      <c r="Y47" s="19">
        <f t="shared" si="4"/>
        <v>324</v>
      </c>
    </row>
    <row r="48" spans="1:25" hidden="1" x14ac:dyDescent="0.3">
      <c r="A48" s="5"/>
      <c r="B48" s="6">
        <v>72001163</v>
      </c>
      <c r="C48" t="s">
        <v>66</v>
      </c>
      <c r="D48" s="7">
        <v>-7</v>
      </c>
      <c r="E48" s="8">
        <v>-19</v>
      </c>
      <c r="F48" s="8">
        <v>-8</v>
      </c>
      <c r="G48" s="8">
        <v>-11</v>
      </c>
      <c r="H48" s="8">
        <v>-23</v>
      </c>
      <c r="I48" s="8">
        <v>-32</v>
      </c>
      <c r="J48" s="8">
        <v>-27</v>
      </c>
      <c r="K48" s="8">
        <v>-7</v>
      </c>
      <c r="L48" s="8">
        <v>-13</v>
      </c>
      <c r="M48" s="8">
        <v>-28</v>
      </c>
      <c r="N48" s="8">
        <v>-32</v>
      </c>
      <c r="O48" s="8"/>
      <c r="P48" s="8">
        <v>-207</v>
      </c>
      <c r="Q48" s="23" t="str">
        <f>VLOOKUP(B48,[1]제품리스트!$A$2:$J$1000,10,FALSE)</f>
        <v>#163-Paint 1oz CapazioTan</v>
      </c>
      <c r="R48" s="17">
        <f t="shared" si="0"/>
        <v>-18.818181818181817</v>
      </c>
      <c r="S48" s="19">
        <f t="shared" si="1"/>
        <v>1.5681818181818181</v>
      </c>
      <c r="T48" s="21">
        <f t="shared" si="2"/>
        <v>4.7045454545454541</v>
      </c>
      <c r="U48" s="19" t="e">
        <f>VLOOKUP(B48,[1]재고수량!$A$13:$D$651,3,FALSE)</f>
        <v>#N/A</v>
      </c>
      <c r="V48" s="21" t="e">
        <f t="shared" si="3"/>
        <v>#N/A</v>
      </c>
      <c r="X48">
        <f>VLOOKUP(B48,[1]제품리스트!$A$2:$F$1110,5,FALSE)</f>
        <v>16.2</v>
      </c>
      <c r="Y48" s="19">
        <f t="shared" si="4"/>
        <v>0</v>
      </c>
    </row>
    <row r="49" spans="1:25" hidden="1" x14ac:dyDescent="0.3">
      <c r="A49" s="5"/>
      <c r="B49" s="6">
        <v>72001165</v>
      </c>
      <c r="C49" t="s">
        <v>67</v>
      </c>
      <c r="D49" s="7">
        <v>-12</v>
      </c>
      <c r="E49" s="8">
        <v>-40</v>
      </c>
      <c r="F49" s="8">
        <v>-22</v>
      </c>
      <c r="G49" s="8">
        <v>-2</v>
      </c>
      <c r="H49" s="8">
        <v>-26</v>
      </c>
      <c r="I49" s="8">
        <v>-7</v>
      </c>
      <c r="J49" s="8">
        <v>-16</v>
      </c>
      <c r="K49" s="8">
        <v>-19</v>
      </c>
      <c r="L49" s="8">
        <v>-16</v>
      </c>
      <c r="M49" s="8">
        <v>-23</v>
      </c>
      <c r="N49" s="8">
        <v>-30</v>
      </c>
      <c r="O49" s="8"/>
      <c r="P49" s="8">
        <v>-213</v>
      </c>
      <c r="Q49" s="23" t="str">
        <f>VLOOKUP(B49,[1]제품리스트!$A$2:$J$1000,10,FALSE)</f>
        <v>#165-Paint 1oz BeigeTaupe</v>
      </c>
      <c r="R49" s="17">
        <f t="shared" si="0"/>
        <v>-19.363636363636363</v>
      </c>
      <c r="S49" s="19">
        <f t="shared" si="1"/>
        <v>1.6136363636363635</v>
      </c>
      <c r="T49" s="21">
        <f t="shared" si="2"/>
        <v>4.8409090909090908</v>
      </c>
      <c r="U49" s="19" t="e">
        <f>VLOOKUP(B49,[1]재고수량!$A$13:$D$651,3,FALSE)</f>
        <v>#N/A</v>
      </c>
      <c r="V49" s="21" t="e">
        <f t="shared" si="3"/>
        <v>#N/A</v>
      </c>
      <c r="X49">
        <f>VLOOKUP(B49,[1]제품리스트!$A$2:$F$1110,5,FALSE)</f>
        <v>16.2</v>
      </c>
      <c r="Y49" s="19">
        <f t="shared" si="4"/>
        <v>0</v>
      </c>
    </row>
    <row r="50" spans="1:25" hidden="1" x14ac:dyDescent="0.3">
      <c r="A50" s="5"/>
      <c r="B50" s="6">
        <v>72001166</v>
      </c>
      <c r="C50" t="s">
        <v>68</v>
      </c>
      <c r="D50" s="7">
        <v>-3</v>
      </c>
      <c r="E50" s="8">
        <v>-24</v>
      </c>
      <c r="F50" s="8">
        <v>-11</v>
      </c>
      <c r="G50" s="8">
        <v>-13</v>
      </c>
      <c r="H50" s="8">
        <v>-25</v>
      </c>
      <c r="I50" s="8">
        <v>-27</v>
      </c>
      <c r="J50" s="8">
        <v>-22</v>
      </c>
      <c r="K50" s="8">
        <v>-6</v>
      </c>
      <c r="L50" s="8">
        <v>-5</v>
      </c>
      <c r="M50" s="8">
        <v>-34</v>
      </c>
      <c r="N50" s="8">
        <v>-33</v>
      </c>
      <c r="O50" s="8"/>
      <c r="P50" s="8">
        <v>-203</v>
      </c>
      <c r="Q50" s="23" t="str">
        <f>VLOOKUP(B50,[1]제품리스트!$A$2:$J$1000,10,FALSE)</f>
        <v>#166-Paint 1oz GreyTaupe</v>
      </c>
      <c r="R50" s="17">
        <f t="shared" si="0"/>
        <v>-18.454545454545453</v>
      </c>
      <c r="S50" s="19">
        <f t="shared" si="1"/>
        <v>1.5378787878787878</v>
      </c>
      <c r="T50" s="21">
        <f t="shared" si="2"/>
        <v>4.6136363636363633</v>
      </c>
      <c r="U50" s="19" t="e">
        <f>VLOOKUP(B50,[1]재고수량!$A$13:$D$651,3,FALSE)</f>
        <v>#N/A</v>
      </c>
      <c r="V50" s="21" t="e">
        <f t="shared" si="3"/>
        <v>#N/A</v>
      </c>
      <c r="X50">
        <f>VLOOKUP(B50,[1]제품리스트!$A$2:$F$1110,5,FALSE)</f>
        <v>16.2</v>
      </c>
      <c r="Y50" s="19">
        <f t="shared" si="4"/>
        <v>0</v>
      </c>
    </row>
    <row r="51" spans="1:25" hidden="1" x14ac:dyDescent="0.3">
      <c r="A51" s="5"/>
      <c r="B51" s="6">
        <v>72001167</v>
      </c>
      <c r="C51" t="s">
        <v>69</v>
      </c>
      <c r="D51" s="7">
        <v>-10</v>
      </c>
      <c r="E51" s="8">
        <v>-31</v>
      </c>
      <c r="F51" s="8">
        <v>-35</v>
      </c>
      <c r="G51" s="8">
        <v>-15</v>
      </c>
      <c r="H51" s="8">
        <v>-26</v>
      </c>
      <c r="I51" s="8">
        <v>-27</v>
      </c>
      <c r="J51" s="8">
        <v>-21</v>
      </c>
      <c r="K51" s="8">
        <v>-9</v>
      </c>
      <c r="L51" s="8">
        <v>-31</v>
      </c>
      <c r="M51" s="8">
        <v>-36</v>
      </c>
      <c r="N51" s="8">
        <v>-16</v>
      </c>
      <c r="O51" s="8"/>
      <c r="P51" s="8">
        <v>-257</v>
      </c>
      <c r="Q51" s="23" t="str">
        <f>VLOOKUP(B51,[1]제품리스트!$A$2:$J$1000,10,FALSE)</f>
        <v>#167-Paint 1oz Taupe</v>
      </c>
      <c r="R51" s="17">
        <f t="shared" si="0"/>
        <v>-23.363636363636363</v>
      </c>
      <c r="S51" s="19">
        <f t="shared" si="1"/>
        <v>1.946969696969697</v>
      </c>
      <c r="T51" s="21">
        <f t="shared" si="2"/>
        <v>5.8409090909090908</v>
      </c>
      <c r="U51" s="19" t="e">
        <f>VLOOKUP(B51,[1]재고수량!$A$13:$D$651,3,FALSE)</f>
        <v>#N/A</v>
      </c>
      <c r="V51" s="21" t="e">
        <f t="shared" si="3"/>
        <v>#N/A</v>
      </c>
      <c r="X51">
        <f>VLOOKUP(B51,[1]제품리스트!$A$2:$F$1110,5,FALSE)</f>
        <v>16.2</v>
      </c>
      <c r="Y51" s="19">
        <f t="shared" si="4"/>
        <v>0</v>
      </c>
    </row>
    <row r="52" spans="1:25" x14ac:dyDescent="0.3">
      <c r="A52" s="5"/>
      <c r="B52" s="6">
        <v>72001168</v>
      </c>
      <c r="C52" t="s">
        <v>70</v>
      </c>
      <c r="D52" s="7">
        <v>-12</v>
      </c>
      <c r="E52" s="8">
        <v>-33</v>
      </c>
      <c r="F52" s="8">
        <v>-39</v>
      </c>
      <c r="G52" s="8">
        <v>-15</v>
      </c>
      <c r="H52" s="8">
        <v>-39</v>
      </c>
      <c r="I52" s="8">
        <v>-28</v>
      </c>
      <c r="J52" s="8">
        <v>-26</v>
      </c>
      <c r="K52" s="8">
        <v>-12</v>
      </c>
      <c r="L52" s="8">
        <v>-24</v>
      </c>
      <c r="M52" s="8">
        <v>-26</v>
      </c>
      <c r="N52" s="8">
        <v>-17</v>
      </c>
      <c r="O52" s="8"/>
      <c r="P52" s="8">
        <v>-271</v>
      </c>
      <c r="Q52" s="23" t="str">
        <f>VLOOKUP(B52,[1]제품리스트!$A$2:$J$1000,10,FALSE)</f>
        <v>#168-Paint 1oz DarkTaupe</v>
      </c>
      <c r="R52" s="17">
        <f t="shared" si="0"/>
        <v>-24.636363636363637</v>
      </c>
      <c r="S52" s="19">
        <f t="shared" si="1"/>
        <v>2.0530303030303032</v>
      </c>
      <c r="T52" s="21">
        <f t="shared" si="2"/>
        <v>6.1590909090909101</v>
      </c>
      <c r="U52" s="19" t="e">
        <f>VLOOKUP(B52,[1]재고수량!$A$13:$D$651,3,FALSE)</f>
        <v>#N/A</v>
      </c>
      <c r="V52" s="21" t="e">
        <f t="shared" si="3"/>
        <v>#N/A</v>
      </c>
      <c r="W52">
        <v>5</v>
      </c>
      <c r="X52">
        <f>VLOOKUP(B52,[1]제품리스트!$A$2:$F$1110,5,FALSE)</f>
        <v>16.2</v>
      </c>
      <c r="Y52" s="19">
        <f t="shared" si="4"/>
        <v>81</v>
      </c>
    </row>
    <row r="53" spans="1:25" hidden="1" x14ac:dyDescent="0.3">
      <c r="A53" s="5"/>
      <c r="B53" s="6">
        <v>72001169</v>
      </c>
      <c r="C53" t="s">
        <v>71</v>
      </c>
      <c r="D53" s="7">
        <v>-4</v>
      </c>
      <c r="E53" s="8">
        <v>-29</v>
      </c>
      <c r="F53" s="8">
        <v>-15</v>
      </c>
      <c r="G53" s="8">
        <v>-14</v>
      </c>
      <c r="H53" s="8">
        <v>-26</v>
      </c>
      <c r="I53" s="8">
        <v>-18</v>
      </c>
      <c r="J53" s="8">
        <v>-16</v>
      </c>
      <c r="K53" s="8">
        <v>-28</v>
      </c>
      <c r="L53" s="8">
        <v>-27</v>
      </c>
      <c r="M53" s="8">
        <v>-26</v>
      </c>
      <c r="N53" s="8">
        <v>-13</v>
      </c>
      <c r="O53" s="8"/>
      <c r="P53" s="8">
        <v>-216</v>
      </c>
      <c r="Q53" s="23" t="str">
        <f>VLOOKUP(B53,[1]제품리스트!$A$2:$J$1000,10,FALSE)</f>
        <v>#169-Paint 1oz Mauve</v>
      </c>
      <c r="R53" s="17">
        <f t="shared" si="0"/>
        <v>-19.636363636363637</v>
      </c>
      <c r="S53" s="19">
        <f t="shared" si="1"/>
        <v>1.6363636363636365</v>
      </c>
      <c r="T53" s="21">
        <f t="shared" si="2"/>
        <v>4.9090909090909092</v>
      </c>
      <c r="U53" s="19" t="e">
        <f>VLOOKUP(B53,[1]재고수량!$A$13:$D$651,3,FALSE)</f>
        <v>#N/A</v>
      </c>
      <c r="V53" s="21" t="e">
        <f t="shared" si="3"/>
        <v>#N/A</v>
      </c>
      <c r="X53">
        <f>VLOOKUP(B53,[1]제품리스트!$A$2:$F$1110,5,FALSE)</f>
        <v>16.2</v>
      </c>
      <c r="Y53" s="19">
        <f t="shared" si="4"/>
        <v>0</v>
      </c>
    </row>
    <row r="54" spans="1:25" x14ac:dyDescent="0.3">
      <c r="A54" s="5"/>
      <c r="B54" s="10">
        <v>72001170</v>
      </c>
      <c r="C54" s="11" t="s">
        <v>72</v>
      </c>
      <c r="D54" s="7">
        <v>-28</v>
      </c>
      <c r="E54" s="8">
        <v>-62</v>
      </c>
      <c r="F54" s="8">
        <v>-39</v>
      </c>
      <c r="G54" s="8">
        <v>-29</v>
      </c>
      <c r="H54" s="8">
        <v>-61</v>
      </c>
      <c r="I54" s="8">
        <v>-36</v>
      </c>
      <c r="J54" s="8">
        <v>-76</v>
      </c>
      <c r="K54" s="8">
        <v>-23</v>
      </c>
      <c r="L54" s="8">
        <v>-41</v>
      </c>
      <c r="M54" s="8">
        <v>-21</v>
      </c>
      <c r="N54" s="8">
        <v>-33</v>
      </c>
      <c r="O54" s="8"/>
      <c r="P54" s="8">
        <v>-449</v>
      </c>
      <c r="Q54" s="23" t="str">
        <f>VLOOKUP(B54,[1]제품리스트!$A$2:$J$1000,10,FALSE)</f>
        <v>#170-Paint 1oz Avocado</v>
      </c>
      <c r="R54" s="17">
        <f t="shared" si="0"/>
        <v>-40.81818181818182</v>
      </c>
      <c r="S54" s="19">
        <f t="shared" si="1"/>
        <v>3.4015151515151518</v>
      </c>
      <c r="T54" s="21">
        <f t="shared" si="2"/>
        <v>10.204545454545455</v>
      </c>
      <c r="U54" s="19" t="e">
        <f>VLOOKUP(B54,[1]재고수량!$A$13:$D$651,3,FALSE)</f>
        <v>#N/A</v>
      </c>
      <c r="V54" s="21" t="e">
        <f t="shared" si="3"/>
        <v>#N/A</v>
      </c>
      <c r="W54">
        <v>10</v>
      </c>
      <c r="X54">
        <f>VLOOKUP(B54,[1]제품리스트!$A$2:$F$1110,5,FALSE)</f>
        <v>16.2</v>
      </c>
      <c r="Y54" s="19">
        <f t="shared" si="4"/>
        <v>162</v>
      </c>
    </row>
    <row r="55" spans="1:25" x14ac:dyDescent="0.3">
      <c r="A55" s="5"/>
      <c r="B55" s="6">
        <v>72001171</v>
      </c>
      <c r="C55" t="s">
        <v>73</v>
      </c>
      <c r="D55" s="7">
        <v>-34</v>
      </c>
      <c r="E55" s="8">
        <v>-48</v>
      </c>
      <c r="F55" s="8">
        <v>-33</v>
      </c>
      <c r="G55" s="8">
        <v>-20</v>
      </c>
      <c r="H55" s="8">
        <v>-67</v>
      </c>
      <c r="I55" s="8">
        <v>-23</v>
      </c>
      <c r="J55" s="8">
        <v>-48</v>
      </c>
      <c r="K55" s="8">
        <v>-40</v>
      </c>
      <c r="L55" s="8">
        <v>-30</v>
      </c>
      <c r="M55" s="8">
        <v>-53</v>
      </c>
      <c r="N55" s="8">
        <v>-38</v>
      </c>
      <c r="O55" s="8"/>
      <c r="P55" s="8">
        <v>-434</v>
      </c>
      <c r="Q55" s="23" t="str">
        <f>VLOOKUP(B55,[1]제품리스트!$A$2:$J$1000,10,FALSE)</f>
        <v>#171-Paint 1oz DarkGreen</v>
      </c>
      <c r="R55" s="17">
        <f t="shared" si="0"/>
        <v>-39.454545454545453</v>
      </c>
      <c r="S55" s="19">
        <f t="shared" si="1"/>
        <v>3.2878787878787876</v>
      </c>
      <c r="T55" s="21">
        <f t="shared" si="2"/>
        <v>9.8636363636363633</v>
      </c>
      <c r="U55" s="19" t="e">
        <f>VLOOKUP(B55,[1]재고수량!$A$13:$D$651,3,FALSE)</f>
        <v>#N/A</v>
      </c>
      <c r="V55" s="21" t="e">
        <f t="shared" si="3"/>
        <v>#N/A</v>
      </c>
      <c r="W55">
        <v>10</v>
      </c>
      <c r="X55">
        <f>VLOOKUP(B55,[1]제품리스트!$A$2:$F$1110,5,FALSE)</f>
        <v>16.2</v>
      </c>
      <c r="Y55" s="19">
        <f t="shared" si="4"/>
        <v>162</v>
      </c>
    </row>
    <row r="56" spans="1:25" x14ac:dyDescent="0.3">
      <c r="A56" s="5"/>
      <c r="B56" s="6">
        <v>72001172</v>
      </c>
      <c r="C56" t="s">
        <v>74</v>
      </c>
      <c r="D56" s="7">
        <v>-50</v>
      </c>
      <c r="E56" s="8">
        <v>-54</v>
      </c>
      <c r="F56" s="8">
        <v>-54</v>
      </c>
      <c r="G56" s="8">
        <v>-34</v>
      </c>
      <c r="H56" s="8">
        <v>-30</v>
      </c>
      <c r="I56" s="8">
        <v>-80</v>
      </c>
      <c r="J56" s="8">
        <v>-55</v>
      </c>
      <c r="K56" s="8">
        <v>-72</v>
      </c>
      <c r="L56" s="8">
        <v>-54</v>
      </c>
      <c r="M56" s="8">
        <v>-33</v>
      </c>
      <c r="N56" s="8">
        <v>-35</v>
      </c>
      <c r="O56" s="8"/>
      <c r="P56" s="8">
        <v>-551</v>
      </c>
      <c r="Q56" s="23" t="str">
        <f>VLOOKUP(B56,[1]제품리스트!$A$2:$J$1000,10,FALSE)</f>
        <v>#172-Paint 1oz Light Green</v>
      </c>
      <c r="R56" s="17">
        <f t="shared" si="0"/>
        <v>-50.090909090909093</v>
      </c>
      <c r="S56" s="19">
        <f t="shared" si="1"/>
        <v>4.1742424242424248</v>
      </c>
      <c r="T56" s="21">
        <f t="shared" si="2"/>
        <v>12.522727272727273</v>
      </c>
      <c r="U56" s="19" t="e">
        <f>VLOOKUP(B56,[1]재고수량!$A$13:$D$651,3,FALSE)</f>
        <v>#N/A</v>
      </c>
      <c r="V56" s="21" t="e">
        <f t="shared" si="3"/>
        <v>#N/A</v>
      </c>
      <c r="W56">
        <v>10</v>
      </c>
      <c r="X56">
        <f>VLOOKUP(B56,[1]제품리스트!$A$2:$F$1110,5,FALSE)</f>
        <v>16.2</v>
      </c>
      <c r="Y56" s="19">
        <f t="shared" si="4"/>
        <v>162</v>
      </c>
    </row>
    <row r="57" spans="1:25" x14ac:dyDescent="0.3">
      <c r="A57" s="5"/>
      <c r="B57" s="6">
        <v>72001174</v>
      </c>
      <c r="C57" t="s">
        <v>75</v>
      </c>
      <c r="D57" s="7">
        <v>-33</v>
      </c>
      <c r="E57" s="8">
        <v>-50</v>
      </c>
      <c r="F57" s="8">
        <v>-21</v>
      </c>
      <c r="G57" s="8">
        <v>-23</v>
      </c>
      <c r="H57" s="8">
        <v>-56</v>
      </c>
      <c r="I57" s="8">
        <v>-46</v>
      </c>
      <c r="J57" s="8">
        <v>-53</v>
      </c>
      <c r="K57" s="8">
        <v>-40</v>
      </c>
      <c r="L57" s="8">
        <v>-35</v>
      </c>
      <c r="M57" s="8">
        <v>-21</v>
      </c>
      <c r="N57" s="8">
        <v>-25</v>
      </c>
      <c r="O57" s="8"/>
      <c r="P57" s="8">
        <v>-403</v>
      </c>
      <c r="Q57" s="23" t="str">
        <f>VLOOKUP(B57,[1]제품리스트!$A$2:$J$1000,10,FALSE)</f>
        <v>#174-Paint 1oz GiftBoxBlue</v>
      </c>
      <c r="R57" s="17">
        <f t="shared" si="0"/>
        <v>-36.636363636363633</v>
      </c>
      <c r="S57" s="19">
        <f t="shared" si="1"/>
        <v>3.0530303030303028</v>
      </c>
      <c r="T57" s="21">
        <f t="shared" si="2"/>
        <v>9.1590909090909083</v>
      </c>
      <c r="U57" s="19" t="e">
        <f>VLOOKUP(B57,[1]재고수량!$A$13:$D$651,3,FALSE)</f>
        <v>#N/A</v>
      </c>
      <c r="V57" s="21" t="e">
        <f t="shared" si="3"/>
        <v>#N/A</v>
      </c>
      <c r="W57">
        <v>10</v>
      </c>
      <c r="X57">
        <f>VLOOKUP(B57,[1]제품리스트!$A$2:$F$1110,5,FALSE)</f>
        <v>16.2</v>
      </c>
      <c r="Y57" s="19">
        <f t="shared" si="4"/>
        <v>162</v>
      </c>
    </row>
    <row r="58" spans="1:25" x14ac:dyDescent="0.3">
      <c r="A58" s="5"/>
      <c r="B58" s="6">
        <v>72001175</v>
      </c>
      <c r="C58" t="s">
        <v>76</v>
      </c>
      <c r="D58" s="7">
        <v>-39</v>
      </c>
      <c r="E58" s="8">
        <v>-58</v>
      </c>
      <c r="F58" s="8">
        <v>-57</v>
      </c>
      <c r="G58" s="8">
        <v>-52</v>
      </c>
      <c r="H58" s="8">
        <v>-57</v>
      </c>
      <c r="I58" s="8">
        <v>-54</v>
      </c>
      <c r="J58" s="8">
        <v>-72</v>
      </c>
      <c r="K58" s="8">
        <v>-86</v>
      </c>
      <c r="L58" s="8">
        <v>-42</v>
      </c>
      <c r="M58" s="8">
        <v>-59</v>
      </c>
      <c r="N58" s="8">
        <v>-37</v>
      </c>
      <c r="O58" s="8"/>
      <c r="P58" s="8">
        <v>-613</v>
      </c>
      <c r="Q58" s="23" t="str">
        <f>VLOOKUP(B58,[1]제품리스트!$A$2:$J$1000,10,FALSE)</f>
        <v>#175-Paint 1oz Lylac</v>
      </c>
      <c r="R58" s="17">
        <f t="shared" si="0"/>
        <v>-55.727272727272727</v>
      </c>
      <c r="S58" s="19">
        <f t="shared" si="1"/>
        <v>4.6439393939393936</v>
      </c>
      <c r="T58" s="21">
        <f t="shared" si="2"/>
        <v>13.93181818181818</v>
      </c>
      <c r="U58" s="19" t="e">
        <f>VLOOKUP(B58,[1]재고수량!$A$13:$D$651,3,FALSE)</f>
        <v>#N/A</v>
      </c>
      <c r="V58" s="21" t="e">
        <f t="shared" si="3"/>
        <v>#N/A</v>
      </c>
      <c r="W58">
        <v>20</v>
      </c>
      <c r="X58">
        <f>VLOOKUP(B58,[1]제품리스트!$A$2:$F$1110,5,FALSE)</f>
        <v>16.2</v>
      </c>
      <c r="Y58" s="19">
        <f t="shared" si="4"/>
        <v>324</v>
      </c>
    </row>
    <row r="59" spans="1:25" x14ac:dyDescent="0.3">
      <c r="A59" s="5"/>
      <c r="B59" s="6">
        <v>72001176</v>
      </c>
      <c r="C59" t="s">
        <v>77</v>
      </c>
      <c r="D59" s="7">
        <v>-36</v>
      </c>
      <c r="E59" s="8">
        <v>-61</v>
      </c>
      <c r="F59" s="8">
        <v>-44</v>
      </c>
      <c r="G59" s="8">
        <v>-42</v>
      </c>
      <c r="H59" s="8">
        <v>-62</v>
      </c>
      <c r="I59" s="8">
        <v>-51</v>
      </c>
      <c r="J59" s="8">
        <v>-75</v>
      </c>
      <c r="K59" s="8">
        <v>-81</v>
      </c>
      <c r="L59" s="8">
        <v>-63</v>
      </c>
      <c r="M59" s="8">
        <v>-35</v>
      </c>
      <c r="N59" s="8">
        <v>-36</v>
      </c>
      <c r="O59" s="8"/>
      <c r="P59" s="8">
        <v>-586</v>
      </c>
      <c r="Q59" s="23" t="str">
        <f>VLOOKUP(B59,[1]제품리스트!$A$2:$J$1000,10,FALSE)</f>
        <v>#176-Paint 1oz PaleBlue</v>
      </c>
      <c r="R59" s="17">
        <f t="shared" si="0"/>
        <v>-53.272727272727273</v>
      </c>
      <c r="S59" s="19">
        <f t="shared" si="1"/>
        <v>4.4393939393939394</v>
      </c>
      <c r="T59" s="21">
        <f t="shared" si="2"/>
        <v>13.318181818181818</v>
      </c>
      <c r="U59" s="19" t="e">
        <f>VLOOKUP(B59,[1]재고수량!$A$13:$D$651,3,FALSE)</f>
        <v>#N/A</v>
      </c>
      <c r="V59" s="21" t="e">
        <f t="shared" si="3"/>
        <v>#N/A</v>
      </c>
      <c r="W59">
        <v>15</v>
      </c>
      <c r="X59">
        <f>VLOOKUP(B59,[1]제품리스트!$A$2:$F$1110,5,FALSE)</f>
        <v>16.2</v>
      </c>
      <c r="Y59" s="19">
        <f t="shared" si="4"/>
        <v>243</v>
      </c>
    </row>
    <row r="60" spans="1:25" x14ac:dyDescent="0.3">
      <c r="A60" s="5"/>
      <c r="B60" s="6">
        <v>72001177</v>
      </c>
      <c r="C60" t="s">
        <v>78</v>
      </c>
      <c r="D60" s="7">
        <v>-43</v>
      </c>
      <c r="E60" s="8">
        <v>-67</v>
      </c>
      <c r="F60" s="8">
        <v>-47</v>
      </c>
      <c r="G60" s="8">
        <v>-26</v>
      </c>
      <c r="H60" s="8">
        <v>-57</v>
      </c>
      <c r="I60" s="8">
        <v>-40</v>
      </c>
      <c r="J60" s="8">
        <v>-51</v>
      </c>
      <c r="K60" s="8">
        <v>-73</v>
      </c>
      <c r="L60" s="8">
        <v>-21</v>
      </c>
      <c r="M60" s="8">
        <v>-34</v>
      </c>
      <c r="N60" s="8">
        <v>-48</v>
      </c>
      <c r="O60" s="8"/>
      <c r="P60" s="8">
        <v>-507</v>
      </c>
      <c r="Q60" s="23" t="str">
        <f>VLOOKUP(B60,[1]제품리스트!$A$2:$J$1000,10,FALSE)</f>
        <v>#177-Paint 1oz Sapphire</v>
      </c>
      <c r="R60" s="17">
        <f t="shared" si="0"/>
        <v>-46.090909090909093</v>
      </c>
      <c r="S60" s="19">
        <f t="shared" si="1"/>
        <v>3.8409090909090913</v>
      </c>
      <c r="T60" s="21">
        <f t="shared" si="2"/>
        <v>11.522727272727273</v>
      </c>
      <c r="U60" s="19" t="e">
        <f>VLOOKUP(B60,[1]재고수량!$A$13:$D$651,3,FALSE)</f>
        <v>#N/A</v>
      </c>
      <c r="V60" s="21" t="e">
        <f t="shared" si="3"/>
        <v>#N/A</v>
      </c>
      <c r="W60">
        <v>15</v>
      </c>
      <c r="X60">
        <f>VLOOKUP(B60,[1]제품리스트!$A$2:$F$1110,5,FALSE)</f>
        <v>16.2</v>
      </c>
      <c r="Y60" s="19">
        <f t="shared" si="4"/>
        <v>243</v>
      </c>
    </row>
    <row r="61" spans="1:25" x14ac:dyDescent="0.3">
      <c r="A61" s="5"/>
      <c r="B61" s="6">
        <v>72001178</v>
      </c>
      <c r="C61" t="s">
        <v>79</v>
      </c>
      <c r="D61" s="7">
        <v>-59</v>
      </c>
      <c r="E61" s="8">
        <v>-84</v>
      </c>
      <c r="F61" s="8">
        <v>-47</v>
      </c>
      <c r="G61" s="8">
        <v>-62</v>
      </c>
      <c r="H61" s="8">
        <v>-23</v>
      </c>
      <c r="I61" s="8">
        <v>-56</v>
      </c>
      <c r="J61" s="8">
        <v>-123</v>
      </c>
      <c r="K61" s="8">
        <v>-123</v>
      </c>
      <c r="L61" s="8">
        <v>-58</v>
      </c>
      <c r="M61" s="8">
        <v>-46</v>
      </c>
      <c r="N61" s="8">
        <v>-45</v>
      </c>
      <c r="O61" s="8"/>
      <c r="P61" s="8">
        <v>-726</v>
      </c>
      <c r="Q61" s="23" t="str">
        <f>VLOOKUP(B61,[1]제품리스트!$A$2:$J$1000,10,FALSE)</f>
        <v>#178-Paint 1oz Violet</v>
      </c>
      <c r="R61" s="17">
        <f t="shared" si="0"/>
        <v>-66</v>
      </c>
      <c r="S61" s="19">
        <f t="shared" si="1"/>
        <v>5.5</v>
      </c>
      <c r="T61" s="21">
        <f t="shared" si="2"/>
        <v>16.5</v>
      </c>
      <c r="U61" s="19" t="e">
        <f>VLOOKUP(B61,[1]재고수량!$A$13:$D$651,3,FALSE)</f>
        <v>#N/A</v>
      </c>
      <c r="V61" s="21" t="e">
        <f t="shared" si="3"/>
        <v>#N/A</v>
      </c>
      <c r="W61">
        <v>20</v>
      </c>
      <c r="X61">
        <f>VLOOKUP(B61,[1]제품리스트!$A$2:$F$1110,5,FALSE)</f>
        <v>16.2</v>
      </c>
      <c r="Y61" s="19">
        <f t="shared" si="4"/>
        <v>324</v>
      </c>
    </row>
    <row r="62" spans="1:25" x14ac:dyDescent="0.3">
      <c r="A62" s="5"/>
      <c r="B62" s="6">
        <v>72001179</v>
      </c>
      <c r="C62" t="s">
        <v>80</v>
      </c>
      <c r="D62" s="7">
        <v>-30</v>
      </c>
      <c r="E62" s="8">
        <v>-57</v>
      </c>
      <c r="F62" s="8">
        <v>-31</v>
      </c>
      <c r="G62" s="8">
        <v>-24</v>
      </c>
      <c r="H62" s="8">
        <v>-44</v>
      </c>
      <c r="I62" s="8">
        <v>-35</v>
      </c>
      <c r="J62" s="8">
        <v>-51</v>
      </c>
      <c r="K62" s="8">
        <v>-22</v>
      </c>
      <c r="L62" s="8">
        <v>-54</v>
      </c>
      <c r="M62" s="8">
        <v>-34</v>
      </c>
      <c r="N62" s="8">
        <v>-15</v>
      </c>
      <c r="O62" s="8"/>
      <c r="P62" s="8">
        <v>-397</v>
      </c>
      <c r="Q62" s="23" t="str">
        <f>VLOOKUP(B62,[1]제품리스트!$A$2:$J$1000,10,FALSE)</f>
        <v>#179-Paint 1oz DarkBlue</v>
      </c>
      <c r="R62" s="17">
        <f t="shared" si="0"/>
        <v>-36.090909090909093</v>
      </c>
      <c r="S62" s="19">
        <f t="shared" si="1"/>
        <v>3.0075757575757578</v>
      </c>
      <c r="T62" s="21">
        <f t="shared" si="2"/>
        <v>9.0227272727272734</v>
      </c>
      <c r="U62" s="19" t="e">
        <f>VLOOKUP(B62,[1]재고수량!$A$13:$D$651,3,FALSE)</f>
        <v>#N/A</v>
      </c>
      <c r="V62" s="21" t="e">
        <f t="shared" si="3"/>
        <v>#N/A</v>
      </c>
      <c r="W62">
        <v>10</v>
      </c>
      <c r="X62">
        <f>VLOOKUP(B62,[1]제품리스트!$A$2:$F$1110,5,FALSE)</f>
        <v>16.2</v>
      </c>
      <c r="Y62" s="19">
        <f t="shared" si="4"/>
        <v>162</v>
      </c>
    </row>
    <row r="63" spans="1:25" x14ac:dyDescent="0.3">
      <c r="A63" s="5"/>
      <c r="B63" s="6">
        <v>72001180</v>
      </c>
      <c r="C63" t="s">
        <v>81</v>
      </c>
      <c r="D63" s="7">
        <v>-5</v>
      </c>
      <c r="E63" s="8">
        <v>-17</v>
      </c>
      <c r="F63" s="8">
        <v>-9</v>
      </c>
      <c r="G63" s="8">
        <v>-9</v>
      </c>
      <c r="H63" s="8">
        <v>-23</v>
      </c>
      <c r="I63" s="8">
        <v>-20</v>
      </c>
      <c r="J63" s="8">
        <v>-22</v>
      </c>
      <c r="K63" s="8">
        <v>-10</v>
      </c>
      <c r="L63" s="8">
        <v>-23</v>
      </c>
      <c r="M63" s="8">
        <v>-25</v>
      </c>
      <c r="N63" s="8">
        <v>-17</v>
      </c>
      <c r="O63" s="8"/>
      <c r="P63" s="8">
        <v>-180</v>
      </c>
      <c r="Q63" s="23" t="str">
        <f>VLOOKUP(B63,[1]제품리스트!$A$2:$J$1000,10,FALSE)</f>
        <v>#180-Paint 1oz Cognac</v>
      </c>
      <c r="R63" s="17">
        <f t="shared" si="0"/>
        <v>-16.363636363636363</v>
      </c>
      <c r="S63" s="19">
        <f t="shared" si="1"/>
        <v>1.3636363636363635</v>
      </c>
      <c r="T63" s="21">
        <f t="shared" si="2"/>
        <v>4.0909090909090908</v>
      </c>
      <c r="U63" s="19" t="e">
        <f>VLOOKUP(B63,[1]재고수량!$A$13:$D$651,3,FALSE)</f>
        <v>#N/A</v>
      </c>
      <c r="V63" s="21" t="e">
        <f t="shared" si="3"/>
        <v>#N/A</v>
      </c>
      <c r="W63">
        <v>5</v>
      </c>
      <c r="X63">
        <f>VLOOKUP(B63,[1]제품리스트!$A$2:$F$1110,5,FALSE)</f>
        <v>16.2</v>
      </c>
      <c r="Y63" s="19">
        <f t="shared" si="4"/>
        <v>81</v>
      </c>
    </row>
    <row r="64" spans="1:25" x14ac:dyDescent="0.3">
      <c r="A64" s="5"/>
      <c r="B64" s="10">
        <v>72001181</v>
      </c>
      <c r="C64" s="11" t="s">
        <v>82</v>
      </c>
      <c r="D64" s="7">
        <v>-15</v>
      </c>
      <c r="E64" s="8">
        <v>-62</v>
      </c>
      <c r="F64" s="8">
        <v>-19</v>
      </c>
      <c r="G64" s="8">
        <v>-23</v>
      </c>
      <c r="H64" s="8">
        <v>-52</v>
      </c>
      <c r="I64" s="8">
        <v>-42</v>
      </c>
      <c r="J64" s="8">
        <v>-34</v>
      </c>
      <c r="K64" s="8">
        <v>0</v>
      </c>
      <c r="L64" s="8">
        <v>-47</v>
      </c>
      <c r="M64" s="8">
        <v>-49</v>
      </c>
      <c r="N64" s="8">
        <v>-34</v>
      </c>
      <c r="O64" s="8"/>
      <c r="P64" s="8">
        <v>-377</v>
      </c>
      <c r="Q64" s="23" t="str">
        <f>VLOOKUP(B64,[1]제품리스트!$A$2:$J$1000,10,FALSE)</f>
        <v>#181-Paint 1oz RichBrown</v>
      </c>
      <c r="R64" s="17">
        <f t="shared" si="0"/>
        <v>-34.272727272727273</v>
      </c>
      <c r="S64" s="19">
        <f t="shared" si="1"/>
        <v>2.856060606060606</v>
      </c>
      <c r="T64" s="21">
        <f t="shared" si="2"/>
        <v>8.5681818181818183</v>
      </c>
      <c r="U64" s="19" t="e">
        <f>VLOOKUP(B64,[1]재고수량!$A$13:$D$651,3,FALSE)</f>
        <v>#N/A</v>
      </c>
      <c r="V64" s="21" t="e">
        <f t="shared" si="3"/>
        <v>#N/A</v>
      </c>
      <c r="W64">
        <v>10</v>
      </c>
      <c r="X64">
        <f>VLOOKUP(B64,[1]제품리스트!$A$2:$F$1110,5,FALSE)</f>
        <v>16.2</v>
      </c>
      <c r="Y64" s="19">
        <f t="shared" si="4"/>
        <v>162</v>
      </c>
    </row>
    <row r="65" spans="1:25" x14ac:dyDescent="0.3">
      <c r="A65" s="5"/>
      <c r="B65" s="6">
        <v>72001182</v>
      </c>
      <c r="C65" t="s">
        <v>83</v>
      </c>
      <c r="D65" s="7">
        <v>-13</v>
      </c>
      <c r="E65" s="8">
        <v>-33</v>
      </c>
      <c r="F65" s="8">
        <v>-15</v>
      </c>
      <c r="G65" s="8">
        <v>-7</v>
      </c>
      <c r="H65" s="8">
        <v>-18</v>
      </c>
      <c r="I65" s="8">
        <v>-22</v>
      </c>
      <c r="J65" s="8">
        <v>-17</v>
      </c>
      <c r="K65" s="8">
        <v>-14</v>
      </c>
      <c r="L65" s="8">
        <v>-43</v>
      </c>
      <c r="M65" s="8">
        <v>-17</v>
      </c>
      <c r="N65" s="8">
        <v>-26</v>
      </c>
      <c r="O65" s="8"/>
      <c r="P65" s="8">
        <v>-225</v>
      </c>
      <c r="Q65" s="23" t="str">
        <f>VLOOKUP(B65,[1]제품리스트!$A$2:$J$1000,10,FALSE)</f>
        <v>#182-Paint 1oz Sand</v>
      </c>
      <c r="R65" s="17">
        <f t="shared" si="0"/>
        <v>-20.454545454545453</v>
      </c>
      <c r="S65" s="19">
        <f t="shared" si="1"/>
        <v>1.7045454545454544</v>
      </c>
      <c r="T65" s="21">
        <f t="shared" si="2"/>
        <v>5.1136363636363633</v>
      </c>
      <c r="U65" s="19" t="e">
        <f>VLOOKUP(B65,[1]재고수량!$A$13:$D$651,3,FALSE)</f>
        <v>#N/A</v>
      </c>
      <c r="V65" s="21" t="e">
        <f t="shared" si="3"/>
        <v>#N/A</v>
      </c>
      <c r="W65">
        <v>10</v>
      </c>
      <c r="X65">
        <f>VLOOKUP(B65,[1]제품리스트!$A$2:$F$1110,5,FALSE)</f>
        <v>16.2</v>
      </c>
      <c r="Y65" s="19">
        <f t="shared" si="4"/>
        <v>162</v>
      </c>
    </row>
    <row r="66" spans="1:25" x14ac:dyDescent="0.3">
      <c r="A66" s="5"/>
      <c r="B66" s="6">
        <v>72001183</v>
      </c>
      <c r="C66" t="s">
        <v>84</v>
      </c>
      <c r="D66" s="7">
        <v>-10</v>
      </c>
      <c r="E66" s="8">
        <v>-19</v>
      </c>
      <c r="F66" s="8">
        <v>-16</v>
      </c>
      <c r="G66" s="8">
        <v>-1</v>
      </c>
      <c r="H66" s="8">
        <v>-16</v>
      </c>
      <c r="I66" s="8">
        <v>-15</v>
      </c>
      <c r="J66" s="8">
        <v>-6</v>
      </c>
      <c r="K66" s="8">
        <v>41</v>
      </c>
      <c r="L66" s="8">
        <v>-86</v>
      </c>
      <c r="M66" s="8">
        <v>-20</v>
      </c>
      <c r="N66" s="8">
        <v>-16</v>
      </c>
      <c r="O66" s="8"/>
      <c r="P66" s="8">
        <v>-164</v>
      </c>
      <c r="Q66" s="23" t="str">
        <f>VLOOKUP(B66,[1]제품리스트!$A$2:$J$1000,10,FALSE)</f>
        <v>#183-Paint 1oz TerraCottaRed</v>
      </c>
      <c r="R66" s="17">
        <f t="shared" si="0"/>
        <v>-14.909090909090908</v>
      </c>
      <c r="S66" s="19">
        <f t="shared" si="1"/>
        <v>1.2424242424242424</v>
      </c>
      <c r="T66" s="21">
        <f t="shared" si="2"/>
        <v>3.7272727272727275</v>
      </c>
      <c r="U66" s="19" t="e">
        <f>VLOOKUP(B66,[1]재고수량!$A$13:$D$651,3,FALSE)</f>
        <v>#N/A</v>
      </c>
      <c r="V66" s="21" t="e">
        <f t="shared" si="3"/>
        <v>#N/A</v>
      </c>
      <c r="W66">
        <v>5</v>
      </c>
      <c r="X66">
        <f>VLOOKUP(B66,[1]제품리스트!$A$2:$F$1110,5,FALSE)</f>
        <v>16.2</v>
      </c>
      <c r="Y66" s="19">
        <f t="shared" si="4"/>
        <v>81</v>
      </c>
    </row>
    <row r="67" spans="1:25" x14ac:dyDescent="0.3">
      <c r="A67" s="5"/>
      <c r="B67" s="6">
        <v>72001184</v>
      </c>
      <c r="C67" t="s">
        <v>85</v>
      </c>
      <c r="D67" s="7">
        <v>-15</v>
      </c>
      <c r="E67" s="8">
        <v>-47</v>
      </c>
      <c r="F67" s="8">
        <v>-26</v>
      </c>
      <c r="G67" s="8">
        <v>-15</v>
      </c>
      <c r="H67" s="8">
        <v>-30</v>
      </c>
      <c r="I67" s="8">
        <v>-49</v>
      </c>
      <c r="J67" s="8">
        <v>-34</v>
      </c>
      <c r="K67" s="8">
        <v>-13</v>
      </c>
      <c r="L67" s="8">
        <v>-22</v>
      </c>
      <c r="M67" s="8">
        <v>-24</v>
      </c>
      <c r="N67" s="8">
        <v>-35</v>
      </c>
      <c r="O67" s="8"/>
      <c r="P67" s="8">
        <v>-310</v>
      </c>
      <c r="Q67" s="23" t="str">
        <f>VLOOKUP(B67,[1]제품리스트!$A$2:$J$1000,10,FALSE)</f>
        <v>#184-Paint 1oz AutumnRed</v>
      </c>
      <c r="R67" s="17">
        <f t="shared" si="0"/>
        <v>-28.181818181818183</v>
      </c>
      <c r="S67" s="19">
        <f t="shared" si="1"/>
        <v>2.3484848484848486</v>
      </c>
      <c r="T67" s="21">
        <f t="shared" si="2"/>
        <v>7.0454545454545459</v>
      </c>
      <c r="U67" s="19" t="e">
        <f>VLOOKUP(B67,[1]재고수량!$A$13:$D$651,3,FALSE)</f>
        <v>#N/A</v>
      </c>
      <c r="V67" s="21" t="e">
        <f t="shared" si="3"/>
        <v>#N/A</v>
      </c>
      <c r="W67">
        <v>10</v>
      </c>
      <c r="X67">
        <f>VLOOKUP(B67,[1]제품리스트!$A$2:$F$1110,5,FALSE)</f>
        <v>16.2</v>
      </c>
      <c r="Y67" s="19">
        <f t="shared" si="4"/>
        <v>162</v>
      </c>
    </row>
    <row r="68" spans="1:25" x14ac:dyDescent="0.3">
      <c r="A68" s="5"/>
      <c r="B68" s="6">
        <v>72001185</v>
      </c>
      <c r="C68" t="s">
        <v>86</v>
      </c>
      <c r="D68" s="7">
        <v>-106</v>
      </c>
      <c r="E68" s="8">
        <v>-97</v>
      </c>
      <c r="F68" s="8">
        <v>-169</v>
      </c>
      <c r="G68" s="8">
        <v>-77</v>
      </c>
      <c r="H68" s="8">
        <v>-107</v>
      </c>
      <c r="I68" s="8">
        <v>-85</v>
      </c>
      <c r="J68" s="8">
        <v>-199</v>
      </c>
      <c r="K68" s="8">
        <v>-103</v>
      </c>
      <c r="L68" s="8">
        <v>-85</v>
      </c>
      <c r="M68" s="8">
        <v>-129</v>
      </c>
      <c r="N68" s="8">
        <v>-82</v>
      </c>
      <c r="O68" s="8"/>
      <c r="P68" s="8">
        <v>-1239</v>
      </c>
      <c r="Q68" s="23" t="str">
        <f>VLOOKUP(B68,[1]제품리스트!$A$2:$J$1000,10,FALSE)</f>
        <v>#185-Paint 1oz FireRed</v>
      </c>
      <c r="R68" s="17">
        <f t="shared" si="0"/>
        <v>-112.63636363636364</v>
      </c>
      <c r="S68" s="19">
        <f t="shared" si="1"/>
        <v>9.3863636363636367</v>
      </c>
      <c r="T68" s="21">
        <f t="shared" si="2"/>
        <v>28.15909090909091</v>
      </c>
      <c r="U68" s="19" t="e">
        <f>VLOOKUP(B68,[1]재고수량!$A$13:$D$651,3,FALSE)</f>
        <v>#N/A</v>
      </c>
      <c r="V68" s="21" t="e">
        <f t="shared" si="3"/>
        <v>#N/A</v>
      </c>
      <c r="W68">
        <v>40</v>
      </c>
      <c r="X68">
        <f>VLOOKUP(B68,[1]제품리스트!$A$2:$F$1110,5,FALSE)</f>
        <v>16.2</v>
      </c>
      <c r="Y68" s="19">
        <f t="shared" si="4"/>
        <v>648</v>
      </c>
    </row>
    <row r="69" spans="1:25" x14ac:dyDescent="0.3">
      <c r="A69" s="5"/>
      <c r="B69" s="6">
        <v>72001186</v>
      </c>
      <c r="C69" t="s">
        <v>87</v>
      </c>
      <c r="D69" s="7">
        <v>-45</v>
      </c>
      <c r="E69" s="8">
        <v>-69</v>
      </c>
      <c r="F69" s="8">
        <v>-71</v>
      </c>
      <c r="G69" s="8">
        <v>-44</v>
      </c>
      <c r="H69" s="8">
        <v>-76</v>
      </c>
      <c r="I69" s="8">
        <v>-78</v>
      </c>
      <c r="J69" s="8">
        <v>-106</v>
      </c>
      <c r="K69" s="8">
        <v>-64</v>
      </c>
      <c r="L69" s="8">
        <v>-71</v>
      </c>
      <c r="M69" s="8">
        <v>-77</v>
      </c>
      <c r="N69" s="8">
        <v>-33</v>
      </c>
      <c r="O69" s="8"/>
      <c r="P69" s="8">
        <v>-734</v>
      </c>
      <c r="Q69" s="23" t="str">
        <f>VLOOKUP(B69,[1]제품리스트!$A$2:$J$1000,10,FALSE)</f>
        <v>#186-Paint 1oz HotPink</v>
      </c>
      <c r="R69" s="17">
        <f t="shared" si="0"/>
        <v>-66.727272727272734</v>
      </c>
      <c r="S69" s="19">
        <f t="shared" si="1"/>
        <v>5.5606060606060614</v>
      </c>
      <c r="T69" s="21">
        <f t="shared" si="2"/>
        <v>16.681818181818183</v>
      </c>
      <c r="U69" s="19" t="e">
        <f>VLOOKUP(B69,[1]재고수량!$A$13:$D$651,3,FALSE)</f>
        <v>#N/A</v>
      </c>
      <c r="V69" s="21" t="e">
        <f t="shared" si="3"/>
        <v>#N/A</v>
      </c>
      <c r="W69">
        <v>20</v>
      </c>
      <c r="X69">
        <f>VLOOKUP(B69,[1]제품리스트!$A$2:$F$1110,5,FALSE)</f>
        <v>16.2</v>
      </c>
      <c r="Y69" s="19">
        <f t="shared" si="4"/>
        <v>324</v>
      </c>
    </row>
    <row r="70" spans="1:25" x14ac:dyDescent="0.3">
      <c r="A70" s="5"/>
      <c r="B70" s="6">
        <v>72001187</v>
      </c>
      <c r="C70" t="s">
        <v>88</v>
      </c>
      <c r="D70" s="7">
        <v>-45</v>
      </c>
      <c r="E70" s="8">
        <v>-49</v>
      </c>
      <c r="F70" s="8">
        <v>-30</v>
      </c>
      <c r="G70" s="8">
        <v>-22</v>
      </c>
      <c r="H70" s="8">
        <v>-38</v>
      </c>
      <c r="I70" s="8">
        <v>-71</v>
      </c>
      <c r="J70" s="8">
        <v>-72</v>
      </c>
      <c r="K70" s="8">
        <v>-14</v>
      </c>
      <c r="L70" s="8">
        <v>-59</v>
      </c>
      <c r="M70" s="8">
        <v>-26</v>
      </c>
      <c r="N70" s="8">
        <v>-26</v>
      </c>
      <c r="O70" s="8"/>
      <c r="P70" s="8">
        <v>-452</v>
      </c>
      <c r="Q70" s="23" t="str">
        <f>VLOOKUP(B70,[1]제품리스트!$A$2:$J$1000,10,FALSE)</f>
        <v>#187-Paint 1oz Magenta</v>
      </c>
      <c r="R70" s="17">
        <f t="shared" si="0"/>
        <v>-41.090909090909093</v>
      </c>
      <c r="S70" s="19">
        <f t="shared" si="1"/>
        <v>3.4242424242424243</v>
      </c>
      <c r="T70" s="21">
        <f t="shared" si="2"/>
        <v>10.272727272727273</v>
      </c>
      <c r="U70" s="19" t="e">
        <f>VLOOKUP(B70,[1]재고수량!$A$13:$D$651,3,FALSE)</f>
        <v>#N/A</v>
      </c>
      <c r="V70" s="21" t="e">
        <f t="shared" si="3"/>
        <v>#N/A</v>
      </c>
      <c r="W70">
        <v>10</v>
      </c>
      <c r="X70">
        <f>VLOOKUP(B70,[1]제품리스트!$A$2:$F$1110,5,FALSE)</f>
        <v>16.2</v>
      </c>
      <c r="Y70" s="19">
        <f t="shared" si="4"/>
        <v>162</v>
      </c>
    </row>
    <row r="71" spans="1:25" x14ac:dyDescent="0.3">
      <c r="A71" s="5"/>
      <c r="B71" s="6">
        <v>72001188</v>
      </c>
      <c r="C71" t="s">
        <v>89</v>
      </c>
      <c r="D71" s="7">
        <v>-35</v>
      </c>
      <c r="E71" s="8">
        <v>-33</v>
      </c>
      <c r="F71" s="8">
        <v>-38</v>
      </c>
      <c r="G71" s="8">
        <v>-25</v>
      </c>
      <c r="H71" s="8">
        <v>-51</v>
      </c>
      <c r="I71" s="8">
        <v>-64</v>
      </c>
      <c r="J71" s="8">
        <v>-48</v>
      </c>
      <c r="K71" s="8">
        <v>-3</v>
      </c>
      <c r="L71" s="8">
        <v>-59</v>
      </c>
      <c r="M71" s="8">
        <v>-73</v>
      </c>
      <c r="N71" s="8">
        <v>-35</v>
      </c>
      <c r="O71" s="8"/>
      <c r="P71" s="8">
        <v>-464</v>
      </c>
      <c r="Q71" s="23" t="str">
        <f>VLOOKUP(B71,[1]제품리스트!$A$2:$J$1000,10,FALSE)</f>
        <v>#188-Paint 1oz Pink</v>
      </c>
      <c r="R71" s="17">
        <f t="shared" si="0"/>
        <v>-42.18181818181818</v>
      </c>
      <c r="S71" s="19">
        <f t="shared" si="1"/>
        <v>3.5151515151515151</v>
      </c>
      <c r="T71" s="21">
        <f t="shared" si="2"/>
        <v>10.545454545454545</v>
      </c>
      <c r="U71" s="19" t="e">
        <f>VLOOKUP(B71,[1]재고수량!$A$13:$D$651,3,FALSE)</f>
        <v>#N/A</v>
      </c>
      <c r="V71" s="21" t="e">
        <f t="shared" si="3"/>
        <v>#N/A</v>
      </c>
      <c r="W71">
        <v>15</v>
      </c>
      <c r="X71">
        <f>VLOOKUP(B71,[1]제품리스트!$A$2:$F$1110,5,FALSE)</f>
        <v>16.2</v>
      </c>
      <c r="Y71" s="19">
        <f t="shared" si="4"/>
        <v>243</v>
      </c>
    </row>
    <row r="72" spans="1:25" x14ac:dyDescent="0.3">
      <c r="A72" s="5"/>
      <c r="B72" s="6">
        <v>72001189</v>
      </c>
      <c r="C72" t="s">
        <v>90</v>
      </c>
      <c r="D72" s="7">
        <v>-30</v>
      </c>
      <c r="E72" s="8">
        <v>-54</v>
      </c>
      <c r="F72" s="8">
        <v>-115</v>
      </c>
      <c r="G72" s="8">
        <v>-25</v>
      </c>
      <c r="H72" s="8">
        <v>-58</v>
      </c>
      <c r="I72" s="8">
        <v>-55</v>
      </c>
      <c r="J72" s="8">
        <v>-75</v>
      </c>
      <c r="K72" s="8">
        <v>-90</v>
      </c>
      <c r="L72" s="8">
        <v>-58</v>
      </c>
      <c r="M72" s="8">
        <v>-13</v>
      </c>
      <c r="N72" s="8">
        <v>-67</v>
      </c>
      <c r="O72" s="8"/>
      <c r="P72" s="8">
        <v>-640</v>
      </c>
      <c r="Q72" s="23" t="str">
        <f>VLOOKUP(B72,[1]제품리스트!$A$2:$J$1000,10,FALSE)</f>
        <v>#189-Paint 1oz Petal Pink</v>
      </c>
      <c r="R72" s="17">
        <f t="shared" ref="R72:R135" si="5">P72/11</f>
        <v>-58.18181818181818</v>
      </c>
      <c r="S72" s="19">
        <f t="shared" ref="S72:S135" si="6">R72/-12</f>
        <v>4.8484848484848486</v>
      </c>
      <c r="T72" s="21">
        <f t="shared" ref="T72:T135" si="7">S72*3</f>
        <v>14.545454545454547</v>
      </c>
      <c r="U72" s="19" t="e">
        <f>VLOOKUP(B72,[1]재고수량!$A$13:$D$651,3,FALSE)</f>
        <v>#N/A</v>
      </c>
      <c r="V72" s="21" t="e">
        <f t="shared" ref="V72:V135" si="8">U72/12</f>
        <v>#N/A</v>
      </c>
      <c r="W72">
        <v>15</v>
      </c>
      <c r="X72">
        <f>VLOOKUP(B72,[1]제품리스트!$A$2:$F$1110,5,FALSE)</f>
        <v>16.2</v>
      </c>
      <c r="Y72" s="19">
        <f t="shared" ref="Y72:Y135" si="9">W72*X72</f>
        <v>243</v>
      </c>
    </row>
    <row r="73" spans="1:25" x14ac:dyDescent="0.3">
      <c r="A73" s="5"/>
      <c r="B73" s="6">
        <v>72001190</v>
      </c>
      <c r="C73" t="s">
        <v>91</v>
      </c>
      <c r="D73" s="7">
        <v>-48</v>
      </c>
      <c r="E73" s="8">
        <v>-68</v>
      </c>
      <c r="F73" s="8">
        <v>-66</v>
      </c>
      <c r="G73" s="8">
        <v>-36</v>
      </c>
      <c r="H73" s="8">
        <v>-55</v>
      </c>
      <c r="I73" s="8">
        <v>-33</v>
      </c>
      <c r="J73" s="8">
        <v>-84</v>
      </c>
      <c r="K73" s="8">
        <v>-48</v>
      </c>
      <c r="L73" s="8">
        <v>-66</v>
      </c>
      <c r="M73" s="8">
        <v>-23</v>
      </c>
      <c r="N73" s="8">
        <v>-77</v>
      </c>
      <c r="O73" s="8"/>
      <c r="P73" s="8">
        <v>-604</v>
      </c>
      <c r="Q73" s="23" t="str">
        <f>VLOOKUP(B73,[1]제품리스트!$A$2:$J$1000,10,FALSE)</f>
        <v>#190-Paint 1oz ScaletRed</v>
      </c>
      <c r="R73" s="17">
        <f t="shared" si="5"/>
        <v>-54.909090909090907</v>
      </c>
      <c r="S73" s="19">
        <f t="shared" si="6"/>
        <v>4.5757575757575752</v>
      </c>
      <c r="T73" s="21">
        <f t="shared" si="7"/>
        <v>13.727272727272727</v>
      </c>
      <c r="U73" s="19" t="e">
        <f>VLOOKUP(B73,[1]재고수량!$A$13:$D$651,3,FALSE)</f>
        <v>#N/A</v>
      </c>
      <c r="V73" s="21" t="e">
        <f t="shared" si="8"/>
        <v>#N/A</v>
      </c>
      <c r="W73">
        <v>15</v>
      </c>
      <c r="X73">
        <f>VLOOKUP(B73,[1]제품리스트!$A$2:$F$1110,5,FALSE)</f>
        <v>16.2</v>
      </c>
      <c r="Y73" s="19">
        <f t="shared" si="9"/>
        <v>243</v>
      </c>
    </row>
    <row r="74" spans="1:25" x14ac:dyDescent="0.3">
      <c r="A74" s="5"/>
      <c r="B74" s="6">
        <v>72001191</v>
      </c>
      <c r="C74" t="s">
        <v>92</v>
      </c>
      <c r="D74" s="7">
        <v>-8</v>
      </c>
      <c r="E74" s="8">
        <v>-52</v>
      </c>
      <c r="F74" s="8">
        <v>-16</v>
      </c>
      <c r="G74" s="8">
        <v>-7</v>
      </c>
      <c r="H74" s="8">
        <v>-41</v>
      </c>
      <c r="I74" s="8">
        <v>-27</v>
      </c>
      <c r="J74" s="8">
        <v>-18</v>
      </c>
      <c r="K74" s="8">
        <v>-23</v>
      </c>
      <c r="L74" s="8">
        <v>-12</v>
      </c>
      <c r="M74" s="8">
        <v>-34</v>
      </c>
      <c r="N74" s="8">
        <v>-23</v>
      </c>
      <c r="O74" s="8"/>
      <c r="P74" s="8">
        <v>-261</v>
      </c>
      <c r="Q74" s="23" t="str">
        <f>VLOOKUP(B74,[1]제품리스트!$A$2:$J$1000,10,FALSE)</f>
        <v>#191-Paint 1oz Shell Pink</v>
      </c>
      <c r="R74" s="17">
        <f t="shared" si="5"/>
        <v>-23.727272727272727</v>
      </c>
      <c r="S74" s="19">
        <f t="shared" si="6"/>
        <v>1.9772727272727273</v>
      </c>
      <c r="T74" s="21">
        <f t="shared" si="7"/>
        <v>5.9318181818181817</v>
      </c>
      <c r="U74" s="19" t="e">
        <f>VLOOKUP(B74,[1]재고수량!$A$13:$D$651,3,FALSE)</f>
        <v>#N/A</v>
      </c>
      <c r="V74" s="21" t="e">
        <f t="shared" si="8"/>
        <v>#N/A</v>
      </c>
      <c r="W74">
        <v>5</v>
      </c>
      <c r="X74">
        <f>VLOOKUP(B74,[1]제품리스트!$A$2:$F$1110,5,FALSE)</f>
        <v>16.2</v>
      </c>
      <c r="Y74" s="19">
        <f t="shared" si="9"/>
        <v>81</v>
      </c>
    </row>
    <row r="75" spans="1:25" x14ac:dyDescent="0.3">
      <c r="A75" s="5"/>
      <c r="B75" s="6">
        <v>72001194</v>
      </c>
      <c r="C75" t="s">
        <v>93</v>
      </c>
      <c r="D75" s="7">
        <v>-14</v>
      </c>
      <c r="E75" s="8">
        <v>-43</v>
      </c>
      <c r="F75" s="8">
        <v>-26</v>
      </c>
      <c r="G75" s="8">
        <v>-10</v>
      </c>
      <c r="H75" s="8">
        <v>-43</v>
      </c>
      <c r="I75" s="8">
        <v>-27</v>
      </c>
      <c r="J75" s="8">
        <v>-25</v>
      </c>
      <c r="K75" s="8">
        <v>-35</v>
      </c>
      <c r="L75" s="8">
        <v>-23</v>
      </c>
      <c r="M75" s="8">
        <v>-31</v>
      </c>
      <c r="N75" s="8">
        <v>-32</v>
      </c>
      <c r="O75" s="8"/>
      <c r="P75" s="8">
        <v>-309</v>
      </c>
      <c r="Q75" s="23" t="str">
        <f>VLOOKUP(B75,[1]제품리스트!$A$2:$J$1000,10,FALSE)</f>
        <v>#194-Paint 1oz Caramel</v>
      </c>
      <c r="R75" s="17">
        <f t="shared" si="5"/>
        <v>-28.09090909090909</v>
      </c>
      <c r="S75" s="19">
        <f t="shared" si="6"/>
        <v>2.3409090909090908</v>
      </c>
      <c r="T75" s="21">
        <f t="shared" si="7"/>
        <v>7.0227272727272725</v>
      </c>
      <c r="U75" s="19" t="e">
        <f>VLOOKUP(B75,[1]재고수량!$A$13:$D$651,3,FALSE)</f>
        <v>#N/A</v>
      </c>
      <c r="V75" s="21" t="e">
        <f t="shared" si="8"/>
        <v>#N/A</v>
      </c>
      <c r="W75">
        <v>10</v>
      </c>
      <c r="X75">
        <f>VLOOKUP(B75,[1]제품리스트!$A$2:$F$1110,5,FALSE)</f>
        <v>16.2</v>
      </c>
      <c r="Y75" s="19">
        <f t="shared" si="9"/>
        <v>162</v>
      </c>
    </row>
    <row r="76" spans="1:25" x14ac:dyDescent="0.3">
      <c r="A76" s="5"/>
      <c r="B76" s="6">
        <v>72001196</v>
      </c>
      <c r="C76" t="s">
        <v>94</v>
      </c>
      <c r="D76" s="7">
        <v>-16</v>
      </c>
      <c r="E76" s="8">
        <v>-36</v>
      </c>
      <c r="F76" s="8">
        <v>-29</v>
      </c>
      <c r="G76" s="8">
        <v>-26</v>
      </c>
      <c r="H76" s="8">
        <v>-59</v>
      </c>
      <c r="I76" s="8">
        <v>-6</v>
      </c>
      <c r="J76" s="8">
        <v>-26</v>
      </c>
      <c r="K76" s="8">
        <v>-48</v>
      </c>
      <c r="L76" s="8">
        <v>-35</v>
      </c>
      <c r="M76" s="8">
        <v>-52</v>
      </c>
      <c r="N76" s="8">
        <v>-32</v>
      </c>
      <c r="O76" s="8"/>
      <c r="P76" s="8">
        <v>-365</v>
      </c>
      <c r="Q76" s="23" t="str">
        <f>VLOOKUP(B76,[1]제품리스트!$A$2:$J$1000,10,FALSE)</f>
        <v>#196-Paint 1oz Mustard</v>
      </c>
      <c r="R76" s="17">
        <f t="shared" si="5"/>
        <v>-33.18181818181818</v>
      </c>
      <c r="S76" s="19">
        <f t="shared" si="6"/>
        <v>2.7651515151515151</v>
      </c>
      <c r="T76" s="21">
        <f t="shared" si="7"/>
        <v>8.295454545454545</v>
      </c>
      <c r="U76" s="19" t="e">
        <f>VLOOKUP(B76,[1]재고수량!$A$13:$D$651,3,FALSE)</f>
        <v>#N/A</v>
      </c>
      <c r="V76" s="21" t="e">
        <f t="shared" si="8"/>
        <v>#N/A</v>
      </c>
      <c r="W76">
        <v>10</v>
      </c>
      <c r="X76">
        <f>VLOOKUP(B76,[1]제품리스트!$A$2:$F$1110,5,FALSE)</f>
        <v>16.2</v>
      </c>
      <c r="Y76" s="19">
        <f t="shared" si="9"/>
        <v>162</v>
      </c>
    </row>
    <row r="77" spans="1:25" x14ac:dyDescent="0.3">
      <c r="A77" s="5"/>
      <c r="B77" s="6">
        <v>72001197</v>
      </c>
      <c r="C77" t="s">
        <v>95</v>
      </c>
      <c r="D77" s="7">
        <v>-16</v>
      </c>
      <c r="E77" s="8">
        <v>-41</v>
      </c>
      <c r="F77" s="8">
        <v>-27</v>
      </c>
      <c r="G77" s="8">
        <v>-22</v>
      </c>
      <c r="H77" s="8">
        <v>-55</v>
      </c>
      <c r="I77" s="8">
        <v>-19</v>
      </c>
      <c r="J77" s="8">
        <v>-66</v>
      </c>
      <c r="K77" s="8">
        <v>-61</v>
      </c>
      <c r="L77" s="8">
        <v>-28</v>
      </c>
      <c r="M77" s="8">
        <v>-39</v>
      </c>
      <c r="N77" s="8">
        <v>-21</v>
      </c>
      <c r="O77" s="8"/>
      <c r="P77" s="8">
        <v>-395</v>
      </c>
      <c r="Q77" s="23" t="str">
        <f>VLOOKUP(B77,[1]제품리스트!$A$2:$J$1000,10,FALSE)</f>
        <v>#197-Paint 1oz PaleYellow</v>
      </c>
      <c r="R77" s="17">
        <f t="shared" si="5"/>
        <v>-35.909090909090907</v>
      </c>
      <c r="S77" s="19">
        <f t="shared" si="6"/>
        <v>2.9924242424242422</v>
      </c>
      <c r="T77" s="21">
        <f t="shared" si="7"/>
        <v>8.9772727272727266</v>
      </c>
      <c r="U77" s="19" t="e">
        <f>VLOOKUP(B77,[1]재고수량!$A$13:$D$651,3,FALSE)</f>
        <v>#N/A</v>
      </c>
      <c r="V77" s="21" t="e">
        <f t="shared" si="8"/>
        <v>#N/A</v>
      </c>
      <c r="W77">
        <v>5</v>
      </c>
      <c r="X77">
        <f>VLOOKUP(B77,[1]제품리스트!$A$2:$F$1110,5,FALSE)</f>
        <v>16.2</v>
      </c>
      <c r="Y77" s="19">
        <f t="shared" si="9"/>
        <v>81</v>
      </c>
    </row>
    <row r="78" spans="1:25" x14ac:dyDescent="0.3">
      <c r="A78" s="5"/>
      <c r="B78" s="6">
        <v>72001198</v>
      </c>
      <c r="C78" t="s">
        <v>96</v>
      </c>
      <c r="D78" s="7">
        <v>-13</v>
      </c>
      <c r="E78" s="8">
        <v>-30</v>
      </c>
      <c r="F78" s="8">
        <v>-37</v>
      </c>
      <c r="G78" s="8">
        <v>-17</v>
      </c>
      <c r="H78" s="8">
        <v>-12</v>
      </c>
      <c r="I78" s="8">
        <v>-44</v>
      </c>
      <c r="J78" s="8">
        <v>-14</v>
      </c>
      <c r="K78" s="8">
        <v>-38</v>
      </c>
      <c r="L78" s="8">
        <v>-30</v>
      </c>
      <c r="M78" s="8">
        <v>-21</v>
      </c>
      <c r="N78" s="8">
        <v>-22</v>
      </c>
      <c r="O78" s="8"/>
      <c r="P78" s="8">
        <v>-278</v>
      </c>
      <c r="Q78" s="23" t="str">
        <f>VLOOKUP(B78,[1]제품리스트!$A$2:$J$1000,10,FALSE)</f>
        <v>#198-Paint 1ozButtercup</v>
      </c>
      <c r="R78" s="17">
        <f t="shared" si="5"/>
        <v>-25.272727272727273</v>
      </c>
      <c r="S78" s="19">
        <f t="shared" si="6"/>
        <v>2.106060606060606</v>
      </c>
      <c r="T78" s="21">
        <f t="shared" si="7"/>
        <v>6.3181818181818183</v>
      </c>
      <c r="U78" s="19" t="e">
        <f>VLOOKUP(B78,[1]재고수량!$A$13:$D$651,3,FALSE)</f>
        <v>#N/A</v>
      </c>
      <c r="V78" s="21" t="e">
        <f t="shared" si="8"/>
        <v>#N/A</v>
      </c>
      <c r="W78">
        <v>5</v>
      </c>
      <c r="X78">
        <f>VLOOKUP(B78,[1]제품리스트!$A$2:$F$1110,5,FALSE)</f>
        <v>16.2</v>
      </c>
      <c r="Y78" s="19">
        <f t="shared" si="9"/>
        <v>81</v>
      </c>
    </row>
    <row r="79" spans="1:25" x14ac:dyDescent="0.3">
      <c r="A79" s="5"/>
      <c r="B79" s="6">
        <v>72001260</v>
      </c>
      <c r="C79" t="s">
        <v>97</v>
      </c>
      <c r="D79" s="7">
        <v>-30</v>
      </c>
      <c r="E79" s="8">
        <v>-63</v>
      </c>
      <c r="F79" s="8">
        <v>-35</v>
      </c>
      <c r="G79" s="8">
        <v>-17</v>
      </c>
      <c r="H79" s="8">
        <v>-34</v>
      </c>
      <c r="I79" s="8">
        <v>-45</v>
      </c>
      <c r="J79" s="8">
        <v>-60</v>
      </c>
      <c r="K79" s="8">
        <v>-58</v>
      </c>
      <c r="L79" s="8">
        <v>-30</v>
      </c>
      <c r="M79" s="8">
        <v>-15</v>
      </c>
      <c r="N79" s="8">
        <v>-34</v>
      </c>
      <c r="O79" s="8"/>
      <c r="P79" s="8">
        <v>-421</v>
      </c>
      <c r="Q79" s="23" t="str">
        <f>VLOOKUP(B79,[1]제품리스트!$A$2:$J$1000,10,FALSE)</f>
        <v>#260-Paint 1oz Chili Red</v>
      </c>
      <c r="R79" s="17">
        <f t="shared" si="5"/>
        <v>-38.272727272727273</v>
      </c>
      <c r="S79" s="19">
        <f t="shared" si="6"/>
        <v>3.1893939393939394</v>
      </c>
      <c r="T79" s="21">
        <f t="shared" si="7"/>
        <v>9.5681818181818183</v>
      </c>
      <c r="U79" s="19" t="e">
        <f>VLOOKUP(B79,[1]재고수량!$A$13:$D$651,3,FALSE)</f>
        <v>#N/A</v>
      </c>
      <c r="V79" s="21" t="e">
        <f t="shared" si="8"/>
        <v>#N/A</v>
      </c>
      <c r="W79">
        <v>10</v>
      </c>
      <c r="X79">
        <f>VLOOKUP(B79,[1]제품리스트!$A$2:$F$1110,5,FALSE)</f>
        <v>16.2</v>
      </c>
      <c r="Y79" s="19">
        <f t="shared" si="9"/>
        <v>162</v>
      </c>
    </row>
    <row r="80" spans="1:25" hidden="1" x14ac:dyDescent="0.3">
      <c r="A80" s="5"/>
      <c r="B80" s="6">
        <v>72001261</v>
      </c>
      <c r="C80" t="s">
        <v>98</v>
      </c>
      <c r="D80" s="7">
        <v>-11</v>
      </c>
      <c r="E80" s="8">
        <v>-33</v>
      </c>
      <c r="F80" s="8">
        <v>-14</v>
      </c>
      <c r="G80" s="8">
        <v>-18</v>
      </c>
      <c r="H80" s="8">
        <v>-28</v>
      </c>
      <c r="I80" s="8">
        <v>-35</v>
      </c>
      <c r="J80" s="8">
        <v>-40</v>
      </c>
      <c r="K80" s="8">
        <v>-66</v>
      </c>
      <c r="L80" s="8">
        <v>-6</v>
      </c>
      <c r="M80" s="8">
        <v>-39</v>
      </c>
      <c r="N80" s="8">
        <v>-15</v>
      </c>
      <c r="O80" s="8"/>
      <c r="P80" s="8">
        <v>-305</v>
      </c>
      <c r="Q80" s="23" t="str">
        <f>VLOOKUP(B80,[1]제품리스트!$A$2:$J$1000,10,FALSE)</f>
        <v>#261-Paint 1oz South Beach</v>
      </c>
      <c r="R80" s="17">
        <f t="shared" si="5"/>
        <v>-27.727272727272727</v>
      </c>
      <c r="S80" s="19">
        <f t="shared" si="6"/>
        <v>2.3106060606060606</v>
      </c>
      <c r="T80" s="21">
        <f t="shared" si="7"/>
        <v>6.9318181818181817</v>
      </c>
      <c r="U80" s="19" t="e">
        <f>VLOOKUP(B80,[1]재고수량!$A$13:$D$651,3,FALSE)</f>
        <v>#N/A</v>
      </c>
      <c r="V80" s="21" t="e">
        <f t="shared" si="8"/>
        <v>#N/A</v>
      </c>
      <c r="X80">
        <f>VLOOKUP(B80,[1]제품리스트!$A$2:$F$1110,5,FALSE)</f>
        <v>16.2</v>
      </c>
      <c r="Y80" s="19">
        <f t="shared" si="9"/>
        <v>0</v>
      </c>
    </row>
    <row r="81" spans="1:25" hidden="1" x14ac:dyDescent="0.3">
      <c r="A81" s="5"/>
      <c r="B81" s="6">
        <v>72001262</v>
      </c>
      <c r="C81" t="s">
        <v>99</v>
      </c>
      <c r="D81" s="7">
        <v>-11</v>
      </c>
      <c r="E81" s="8">
        <v>-17</v>
      </c>
      <c r="F81" s="8">
        <v>-20</v>
      </c>
      <c r="G81" s="8">
        <v>-24</v>
      </c>
      <c r="H81" s="8">
        <v>-27</v>
      </c>
      <c r="I81" s="8">
        <v>-41</v>
      </c>
      <c r="J81" s="8">
        <v>-23</v>
      </c>
      <c r="K81" s="8">
        <v>-38</v>
      </c>
      <c r="L81" s="8">
        <v>-31</v>
      </c>
      <c r="M81" s="8">
        <v>-38</v>
      </c>
      <c r="N81" s="8">
        <v>-29</v>
      </c>
      <c r="O81" s="8"/>
      <c r="P81" s="8">
        <v>-299</v>
      </c>
      <c r="Q81" s="23" t="str">
        <f>VLOOKUP(B81,[1]제품리스트!$A$2:$J$1000,10,FALSE)</f>
        <v>#262-Paint 1oz Play in the Sand</v>
      </c>
      <c r="R81" s="17">
        <f t="shared" si="5"/>
        <v>-27.181818181818183</v>
      </c>
      <c r="S81" s="19">
        <f t="shared" si="6"/>
        <v>2.2651515151515151</v>
      </c>
      <c r="T81" s="21">
        <f t="shared" si="7"/>
        <v>6.795454545454545</v>
      </c>
      <c r="U81" s="19" t="e">
        <f>VLOOKUP(B81,[1]재고수량!$A$13:$D$651,3,FALSE)</f>
        <v>#N/A</v>
      </c>
      <c r="V81" s="21" t="e">
        <f t="shared" si="8"/>
        <v>#N/A</v>
      </c>
      <c r="X81">
        <f>VLOOKUP(B81,[1]제품리스트!$A$2:$F$1110,5,FALSE)</f>
        <v>16.2</v>
      </c>
      <c r="Y81" s="19">
        <f t="shared" si="9"/>
        <v>0</v>
      </c>
    </row>
    <row r="82" spans="1:25" hidden="1" x14ac:dyDescent="0.3">
      <c r="A82" s="5"/>
      <c r="B82" s="6">
        <v>72001263</v>
      </c>
      <c r="C82" t="s">
        <v>100</v>
      </c>
      <c r="D82" s="7">
        <v>-18</v>
      </c>
      <c r="E82" s="8">
        <v>-48</v>
      </c>
      <c r="F82" s="8">
        <v>-12</v>
      </c>
      <c r="G82" s="8">
        <v>-13</v>
      </c>
      <c r="H82" s="8">
        <v>-41</v>
      </c>
      <c r="I82" s="8">
        <v>-50</v>
      </c>
      <c r="J82" s="8">
        <v>-22</v>
      </c>
      <c r="K82" s="8">
        <v>-49</v>
      </c>
      <c r="L82" s="8">
        <v>-40</v>
      </c>
      <c r="M82" s="8">
        <v>-24</v>
      </c>
      <c r="N82" s="8">
        <v>-25</v>
      </c>
      <c r="O82" s="8"/>
      <c r="P82" s="8">
        <v>-342</v>
      </c>
      <c r="Q82" s="23" t="str">
        <f>VLOOKUP(B82,[1]제품리스트!$A$2:$J$1000,10,FALSE)</f>
        <v>#263-Paint 1oz Grinch Green</v>
      </c>
      <c r="R82" s="17">
        <f t="shared" si="5"/>
        <v>-31.09090909090909</v>
      </c>
      <c r="S82" s="19">
        <f t="shared" si="6"/>
        <v>2.5909090909090908</v>
      </c>
      <c r="T82" s="21">
        <f t="shared" si="7"/>
        <v>7.7727272727272725</v>
      </c>
      <c r="U82" s="19" t="e">
        <f>VLOOKUP(B82,[1]재고수량!$A$13:$D$651,3,FALSE)</f>
        <v>#N/A</v>
      </c>
      <c r="V82" s="21" t="e">
        <f t="shared" si="8"/>
        <v>#N/A</v>
      </c>
      <c r="X82">
        <f>VLOOKUP(B82,[1]제품리스트!$A$2:$F$1110,5,FALSE)</f>
        <v>16.2</v>
      </c>
      <c r="Y82" s="19">
        <f t="shared" si="9"/>
        <v>0</v>
      </c>
    </row>
    <row r="83" spans="1:25" hidden="1" x14ac:dyDescent="0.3">
      <c r="A83" s="5"/>
      <c r="B83" s="6">
        <v>72001264</v>
      </c>
      <c r="C83" t="s">
        <v>101</v>
      </c>
      <c r="D83" s="7">
        <v>-5</v>
      </c>
      <c r="E83" s="8">
        <v>-21</v>
      </c>
      <c r="F83" s="8">
        <v>-3</v>
      </c>
      <c r="G83" s="8">
        <v>-7</v>
      </c>
      <c r="H83" s="8">
        <v>-24</v>
      </c>
      <c r="I83" s="8">
        <v>-31</v>
      </c>
      <c r="J83" s="8">
        <v>-2</v>
      </c>
      <c r="K83" s="8">
        <v>-5</v>
      </c>
      <c r="L83" s="8">
        <v>-5</v>
      </c>
      <c r="M83" s="8">
        <v>-21</v>
      </c>
      <c r="N83" s="8">
        <v>-17</v>
      </c>
      <c r="O83" s="8"/>
      <c r="P83" s="8">
        <v>-141</v>
      </c>
      <c r="Q83" s="23" t="str">
        <f>VLOOKUP(B83,[1]제품리스트!$A$2:$J$1000,10,FALSE)</f>
        <v>#264-Paint 1oz Putty</v>
      </c>
      <c r="R83" s="17">
        <f t="shared" si="5"/>
        <v>-12.818181818181818</v>
      </c>
      <c r="S83" s="19">
        <f t="shared" si="6"/>
        <v>1.0681818181818181</v>
      </c>
      <c r="T83" s="21">
        <f t="shared" si="7"/>
        <v>3.2045454545454541</v>
      </c>
      <c r="U83" s="19" t="e">
        <f>VLOOKUP(B83,[1]재고수량!$A$13:$D$651,3,FALSE)</f>
        <v>#N/A</v>
      </c>
      <c r="V83" s="21" t="e">
        <f t="shared" si="8"/>
        <v>#N/A</v>
      </c>
      <c r="X83">
        <f>VLOOKUP(B83,[1]제품리스트!$A$2:$F$1110,5,FALSE)</f>
        <v>16.2</v>
      </c>
      <c r="Y83" s="19">
        <f t="shared" si="9"/>
        <v>0</v>
      </c>
    </row>
    <row r="84" spans="1:25" x14ac:dyDescent="0.3">
      <c r="A84" s="5"/>
      <c r="B84" s="6">
        <v>72001265</v>
      </c>
      <c r="C84" t="s">
        <v>102</v>
      </c>
      <c r="D84" s="7">
        <v>-33</v>
      </c>
      <c r="E84" s="8">
        <v>-37</v>
      </c>
      <c r="F84" s="8">
        <v>-30</v>
      </c>
      <c r="G84" s="8">
        <v>-36</v>
      </c>
      <c r="H84" s="8">
        <v>-41</v>
      </c>
      <c r="I84" s="8">
        <v>-51</v>
      </c>
      <c r="J84" s="8">
        <v>-56</v>
      </c>
      <c r="K84" s="8">
        <v>-27</v>
      </c>
      <c r="L84" s="8">
        <v>-49</v>
      </c>
      <c r="M84" s="8">
        <v>-24</v>
      </c>
      <c r="N84" s="8">
        <v>-29</v>
      </c>
      <c r="O84" s="8"/>
      <c r="P84" s="8">
        <v>-413</v>
      </c>
      <c r="Q84" s="23" t="str">
        <f>VLOOKUP(B84,[1]제품리스트!$A$2:$J$1000,10,FALSE)</f>
        <v>#265-Paint 1oz Tangerine</v>
      </c>
      <c r="R84" s="17">
        <f t="shared" si="5"/>
        <v>-37.545454545454547</v>
      </c>
      <c r="S84" s="19">
        <f t="shared" si="6"/>
        <v>3.1287878787878789</v>
      </c>
      <c r="T84" s="21">
        <f t="shared" si="7"/>
        <v>9.3863636363636367</v>
      </c>
      <c r="U84" s="19" t="e">
        <f>VLOOKUP(B84,[1]재고수량!$A$13:$D$651,3,FALSE)</f>
        <v>#N/A</v>
      </c>
      <c r="V84" s="21" t="e">
        <f t="shared" si="8"/>
        <v>#N/A</v>
      </c>
      <c r="W84">
        <v>10</v>
      </c>
      <c r="X84">
        <f>VLOOKUP(B84,[1]제품리스트!$A$2:$F$1110,5,FALSE)</f>
        <v>16.2</v>
      </c>
      <c r="Y84" s="19">
        <f t="shared" si="9"/>
        <v>162</v>
      </c>
    </row>
    <row r="85" spans="1:25" x14ac:dyDescent="0.3">
      <c r="A85" s="5"/>
      <c r="B85" s="6">
        <v>72001266</v>
      </c>
      <c r="C85" t="s">
        <v>103</v>
      </c>
      <c r="D85" s="7">
        <v>-16</v>
      </c>
      <c r="E85" s="8">
        <v>-45</v>
      </c>
      <c r="F85" s="8">
        <v>-35</v>
      </c>
      <c r="G85" s="8">
        <v>-24</v>
      </c>
      <c r="H85" s="8">
        <v>-38</v>
      </c>
      <c r="I85" s="8">
        <v>-26</v>
      </c>
      <c r="J85" s="8">
        <v>-57</v>
      </c>
      <c r="K85" s="8">
        <v>-35</v>
      </c>
      <c r="L85" s="8">
        <v>-15</v>
      </c>
      <c r="M85" s="8">
        <v>-32</v>
      </c>
      <c r="N85" s="8">
        <v>-15</v>
      </c>
      <c r="O85" s="8"/>
      <c r="P85" s="8">
        <v>-338</v>
      </c>
      <c r="Q85" s="23" t="str">
        <f>VLOOKUP(B85,[1]제품리스트!$A$2:$J$1000,10,FALSE)</f>
        <v>#266-Paint 1oz Georgia Peach</v>
      </c>
      <c r="R85" s="17">
        <f t="shared" si="5"/>
        <v>-30.727272727272727</v>
      </c>
      <c r="S85" s="19">
        <f t="shared" si="6"/>
        <v>2.5606060606060606</v>
      </c>
      <c r="T85" s="21">
        <f t="shared" si="7"/>
        <v>7.6818181818181817</v>
      </c>
      <c r="U85" s="19" t="e">
        <f>VLOOKUP(B85,[1]재고수량!$A$13:$D$651,3,FALSE)</f>
        <v>#N/A</v>
      </c>
      <c r="V85" s="21" t="e">
        <f t="shared" si="8"/>
        <v>#N/A</v>
      </c>
      <c r="W85">
        <v>10</v>
      </c>
      <c r="X85">
        <f>VLOOKUP(B85,[1]제품리스트!$A$2:$F$1110,5,FALSE)</f>
        <v>16.2</v>
      </c>
      <c r="Y85" s="19">
        <f t="shared" si="9"/>
        <v>162</v>
      </c>
    </row>
    <row r="86" spans="1:25" x14ac:dyDescent="0.3">
      <c r="A86" s="5"/>
      <c r="B86" s="6">
        <v>72001267</v>
      </c>
      <c r="C86" t="s">
        <v>104</v>
      </c>
      <c r="D86" s="7">
        <v>-25</v>
      </c>
      <c r="E86" s="8">
        <v>-33</v>
      </c>
      <c r="F86" s="8">
        <v>-16</v>
      </c>
      <c r="G86" s="8">
        <v>-8</v>
      </c>
      <c r="H86" s="8">
        <v>-35</v>
      </c>
      <c r="I86" s="8">
        <v>-35</v>
      </c>
      <c r="J86" s="8">
        <v>-29</v>
      </c>
      <c r="K86" s="8">
        <v>-14</v>
      </c>
      <c r="L86" s="8">
        <v>-43</v>
      </c>
      <c r="M86" s="8">
        <v>-32</v>
      </c>
      <c r="N86" s="8">
        <v>-17</v>
      </c>
      <c r="O86" s="8"/>
      <c r="P86" s="8">
        <v>-287</v>
      </c>
      <c r="Q86" s="23" t="str">
        <f>VLOOKUP(B86,[1]제품리스트!$A$2:$J$1000,10,FALSE)</f>
        <v>#267-Paint 1oz Salmon</v>
      </c>
      <c r="R86" s="17">
        <f t="shared" si="5"/>
        <v>-26.09090909090909</v>
      </c>
      <c r="S86" s="19">
        <f t="shared" si="6"/>
        <v>2.1742424242424243</v>
      </c>
      <c r="T86" s="21">
        <f t="shared" si="7"/>
        <v>6.5227272727272734</v>
      </c>
      <c r="U86" s="19" t="e">
        <f>VLOOKUP(B86,[1]재고수량!$A$13:$D$651,3,FALSE)</f>
        <v>#N/A</v>
      </c>
      <c r="V86" s="21" t="e">
        <f t="shared" si="8"/>
        <v>#N/A</v>
      </c>
      <c r="W86">
        <v>10</v>
      </c>
      <c r="X86">
        <f>VLOOKUP(B86,[1]제품리스트!$A$2:$F$1110,5,FALSE)</f>
        <v>16.2</v>
      </c>
      <c r="Y86" s="19">
        <f t="shared" si="9"/>
        <v>162</v>
      </c>
    </row>
    <row r="87" spans="1:25" x14ac:dyDescent="0.3">
      <c r="A87" s="5"/>
      <c r="B87" s="6">
        <v>72001268</v>
      </c>
      <c r="C87" t="s">
        <v>105</v>
      </c>
      <c r="D87" s="7">
        <v>-9</v>
      </c>
      <c r="E87" s="8">
        <v>-12</v>
      </c>
      <c r="F87" s="8">
        <v>-33</v>
      </c>
      <c r="G87" s="8">
        <v>-1</v>
      </c>
      <c r="H87" s="8">
        <v>-36</v>
      </c>
      <c r="I87" s="8">
        <v>-25</v>
      </c>
      <c r="J87" s="8">
        <v>-34</v>
      </c>
      <c r="K87" s="8">
        <v>-12</v>
      </c>
      <c r="L87" s="8">
        <v>-22</v>
      </c>
      <c r="M87" s="8">
        <v>-26</v>
      </c>
      <c r="N87" s="8">
        <v>-21</v>
      </c>
      <c r="O87" s="8"/>
      <c r="P87" s="8">
        <v>-231</v>
      </c>
      <c r="Q87" s="23" t="str">
        <f>VLOOKUP(B87,[1]제품리스트!$A$2:$J$1000,10,FALSE)</f>
        <v>#268-Paint 1oz Rasberry</v>
      </c>
      <c r="R87" s="17">
        <f t="shared" si="5"/>
        <v>-21</v>
      </c>
      <c r="S87" s="19">
        <f t="shared" si="6"/>
        <v>1.75</v>
      </c>
      <c r="T87" s="21">
        <f t="shared" si="7"/>
        <v>5.25</v>
      </c>
      <c r="U87" s="19" t="e">
        <f>VLOOKUP(B87,[1]재고수량!$A$13:$D$651,3,FALSE)</f>
        <v>#N/A</v>
      </c>
      <c r="V87" s="21" t="e">
        <f t="shared" si="8"/>
        <v>#N/A</v>
      </c>
      <c r="W87">
        <v>5</v>
      </c>
      <c r="X87">
        <f>VLOOKUP(B87,[1]제품리스트!$A$2:$F$1110,5,FALSE)</f>
        <v>16.2</v>
      </c>
      <c r="Y87" s="19">
        <f t="shared" si="9"/>
        <v>81</v>
      </c>
    </row>
    <row r="88" spans="1:25" x14ac:dyDescent="0.3">
      <c r="A88" s="5"/>
      <c r="B88" s="6">
        <v>72001269</v>
      </c>
      <c r="C88" t="s">
        <v>106</v>
      </c>
      <c r="D88" s="7">
        <v>-20</v>
      </c>
      <c r="E88" s="8">
        <v>-28</v>
      </c>
      <c r="F88" s="8">
        <v>-22</v>
      </c>
      <c r="G88" s="8">
        <v>-27</v>
      </c>
      <c r="H88" s="8">
        <v>-40</v>
      </c>
      <c r="I88" s="8">
        <v>-43</v>
      </c>
      <c r="J88" s="8">
        <v>-24</v>
      </c>
      <c r="K88" s="8">
        <v>-33</v>
      </c>
      <c r="L88" s="8">
        <v>-26</v>
      </c>
      <c r="M88" s="8">
        <v>-38</v>
      </c>
      <c r="N88" s="8">
        <v>-24</v>
      </c>
      <c r="O88" s="8"/>
      <c r="P88" s="8">
        <v>-325</v>
      </c>
      <c r="Q88" s="23" t="str">
        <f>VLOOKUP(B88,[1]제품리스트!$A$2:$J$1000,10,FALSE)</f>
        <v>#269-Paint 1oz Mint</v>
      </c>
      <c r="R88" s="17">
        <f t="shared" si="5"/>
        <v>-29.545454545454547</v>
      </c>
      <c r="S88" s="19">
        <f t="shared" si="6"/>
        <v>2.4621212121212124</v>
      </c>
      <c r="T88" s="21">
        <f t="shared" si="7"/>
        <v>7.3863636363636367</v>
      </c>
      <c r="U88" s="19" t="e">
        <f>VLOOKUP(B88,[1]재고수량!$A$13:$D$651,3,FALSE)</f>
        <v>#N/A</v>
      </c>
      <c r="V88" s="21" t="e">
        <f t="shared" si="8"/>
        <v>#N/A</v>
      </c>
      <c r="W88">
        <v>10</v>
      </c>
      <c r="X88">
        <f>VLOOKUP(B88,[1]제품리스트!$A$2:$F$1110,5,FALSE)</f>
        <v>16.2</v>
      </c>
      <c r="Y88" s="19">
        <f t="shared" si="9"/>
        <v>162</v>
      </c>
    </row>
    <row r="89" spans="1:25" x14ac:dyDescent="0.3">
      <c r="A89" s="5"/>
      <c r="B89" s="6">
        <v>72001270</v>
      </c>
      <c r="C89" t="s">
        <v>107</v>
      </c>
      <c r="D89" s="7">
        <v>-14</v>
      </c>
      <c r="E89" s="8">
        <v>-14</v>
      </c>
      <c r="F89" s="8">
        <v>-24</v>
      </c>
      <c r="G89" s="8">
        <v>1</v>
      </c>
      <c r="H89" s="8">
        <v>-28</v>
      </c>
      <c r="I89" s="8">
        <v>-24</v>
      </c>
      <c r="J89" s="8">
        <v>-19</v>
      </c>
      <c r="K89" s="8">
        <v>-47</v>
      </c>
      <c r="L89" s="8">
        <v>-7</v>
      </c>
      <c r="M89" s="8">
        <v>-25</v>
      </c>
      <c r="N89" s="8">
        <v>-18</v>
      </c>
      <c r="O89" s="8"/>
      <c r="P89" s="8">
        <v>-219</v>
      </c>
      <c r="Q89" s="23" t="str">
        <f>VLOOKUP(B89,[1]제품리스트!$A$2:$J$1000,10,FALSE)</f>
        <v>#270-Paint 1oz Vachetta</v>
      </c>
      <c r="R89" s="17">
        <f t="shared" si="5"/>
        <v>-19.90909090909091</v>
      </c>
      <c r="S89" s="19">
        <f t="shared" si="6"/>
        <v>1.6590909090909092</v>
      </c>
      <c r="T89" s="21">
        <f t="shared" si="7"/>
        <v>4.9772727272727275</v>
      </c>
      <c r="U89" s="19" t="e">
        <f>VLOOKUP(B89,[1]재고수량!$A$13:$D$651,3,FALSE)</f>
        <v>#N/A</v>
      </c>
      <c r="V89" s="21" t="e">
        <f t="shared" si="8"/>
        <v>#N/A</v>
      </c>
      <c r="W89">
        <v>10</v>
      </c>
      <c r="X89">
        <f>VLOOKUP(B89,[1]제품리스트!$A$2:$F$1110,5,FALSE)</f>
        <v>16.2</v>
      </c>
      <c r="Y89" s="19">
        <f t="shared" si="9"/>
        <v>162</v>
      </c>
    </row>
    <row r="90" spans="1:25" x14ac:dyDescent="0.3">
      <c r="A90" s="5"/>
      <c r="B90" s="6">
        <v>72001272</v>
      </c>
      <c r="C90" t="s">
        <v>108</v>
      </c>
      <c r="D90" s="7">
        <v>-24</v>
      </c>
      <c r="E90" s="8">
        <v>-19</v>
      </c>
      <c r="F90" s="8">
        <v>-22</v>
      </c>
      <c r="G90" s="8">
        <v>-14</v>
      </c>
      <c r="H90" s="8">
        <v>-42</v>
      </c>
      <c r="I90" s="8">
        <v>-28</v>
      </c>
      <c r="J90" s="8">
        <v>-44</v>
      </c>
      <c r="K90" s="8">
        <v>-64</v>
      </c>
      <c r="L90" s="8">
        <v>-28</v>
      </c>
      <c r="M90" s="8">
        <v>-43</v>
      </c>
      <c r="N90" s="8">
        <v>-28</v>
      </c>
      <c r="O90" s="8"/>
      <c r="P90" s="8">
        <v>-356</v>
      </c>
      <c r="Q90" s="23" t="str">
        <f>VLOOKUP(B90,[1]제품리스트!$A$2:$J$1000,10,FALSE)</f>
        <v>#272-Paint 1oz Olive</v>
      </c>
      <c r="R90" s="17">
        <f t="shared" si="5"/>
        <v>-32.363636363636367</v>
      </c>
      <c r="S90" s="19">
        <f t="shared" si="6"/>
        <v>2.6969696969696972</v>
      </c>
      <c r="T90" s="21">
        <f t="shared" si="7"/>
        <v>8.0909090909090917</v>
      </c>
      <c r="U90" s="19" t="e">
        <f>VLOOKUP(B90,[1]재고수량!$A$13:$D$651,3,FALSE)</f>
        <v>#N/A</v>
      </c>
      <c r="V90" s="21" t="e">
        <f t="shared" si="8"/>
        <v>#N/A</v>
      </c>
      <c r="W90">
        <v>10</v>
      </c>
      <c r="X90">
        <f>VLOOKUP(B90,[1]제품리스트!$A$2:$F$1110,5,FALSE)</f>
        <v>16.2</v>
      </c>
      <c r="Y90" s="19">
        <f t="shared" si="9"/>
        <v>162</v>
      </c>
    </row>
    <row r="91" spans="1:25" x14ac:dyDescent="0.3">
      <c r="A91" s="5"/>
      <c r="B91" s="6">
        <v>72001273</v>
      </c>
      <c r="C91" t="s">
        <v>109</v>
      </c>
      <c r="D91" s="7"/>
      <c r="E91" s="8">
        <v>-38</v>
      </c>
      <c r="F91" s="8">
        <v>-8</v>
      </c>
      <c r="G91" s="8">
        <v>-5</v>
      </c>
      <c r="H91" s="8">
        <v>-20</v>
      </c>
      <c r="I91" s="8">
        <v>-16</v>
      </c>
      <c r="J91" s="8">
        <v>-22</v>
      </c>
      <c r="K91" s="8">
        <v>-22</v>
      </c>
      <c r="L91" s="8">
        <v>-33</v>
      </c>
      <c r="M91" s="8">
        <v>-42</v>
      </c>
      <c r="N91" s="8">
        <v>-15</v>
      </c>
      <c r="O91" s="8"/>
      <c r="P91" s="8">
        <v>-221</v>
      </c>
      <c r="Q91" s="23" t="str">
        <f>VLOOKUP(B91,[1]제품리스트!$A$2:$J$1000,10,FALSE)</f>
        <v>#273-Paint 1oz Bowler Brown</v>
      </c>
      <c r="R91" s="17">
        <f t="shared" si="5"/>
        <v>-20.09090909090909</v>
      </c>
      <c r="S91" s="19">
        <f t="shared" si="6"/>
        <v>1.6742424242424241</v>
      </c>
      <c r="T91" s="21">
        <f t="shared" si="7"/>
        <v>5.0227272727272725</v>
      </c>
      <c r="U91" s="19" t="e">
        <f>VLOOKUP(B91,[1]재고수량!$A$13:$D$651,3,FALSE)</f>
        <v>#N/A</v>
      </c>
      <c r="V91" s="21" t="e">
        <f t="shared" si="8"/>
        <v>#N/A</v>
      </c>
      <c r="W91">
        <v>10</v>
      </c>
      <c r="X91">
        <f>VLOOKUP(B91,[1]제품리스트!$A$2:$F$1110,5,FALSE)</f>
        <v>16.2</v>
      </c>
      <c r="Y91" s="19">
        <f t="shared" si="9"/>
        <v>162</v>
      </c>
    </row>
    <row r="92" spans="1:25" x14ac:dyDescent="0.3">
      <c r="A92" s="5"/>
      <c r="B92" s="6">
        <v>72001274</v>
      </c>
      <c r="C92" t="s">
        <v>110</v>
      </c>
      <c r="D92" s="7"/>
      <c r="E92" s="8">
        <v>-38</v>
      </c>
      <c r="F92" s="8">
        <v>-16</v>
      </c>
      <c r="G92" s="8">
        <v>-24</v>
      </c>
      <c r="H92" s="8">
        <v>-41</v>
      </c>
      <c r="I92" s="8">
        <v>-4</v>
      </c>
      <c r="J92" s="8">
        <v>-44</v>
      </c>
      <c r="K92" s="8">
        <v>-21</v>
      </c>
      <c r="L92" s="8">
        <v>-26</v>
      </c>
      <c r="M92" s="8">
        <v>-38</v>
      </c>
      <c r="N92" s="8">
        <v>-20</v>
      </c>
      <c r="O92" s="8"/>
      <c r="P92" s="8">
        <v>-272</v>
      </c>
      <c r="Q92" s="23" t="str">
        <f>VLOOKUP(B92,[1]제품리스트!$A$2:$J$1000,10,FALSE)</f>
        <v>#274-Paint 1oz Luggage Brown</v>
      </c>
      <c r="R92" s="17">
        <f t="shared" si="5"/>
        <v>-24.727272727272727</v>
      </c>
      <c r="S92" s="19">
        <f t="shared" si="6"/>
        <v>2.0606060606060606</v>
      </c>
      <c r="T92" s="21">
        <f t="shared" si="7"/>
        <v>6.1818181818181817</v>
      </c>
      <c r="U92" s="19" t="e">
        <f>VLOOKUP(B92,[1]재고수량!$A$13:$D$651,3,FALSE)</f>
        <v>#N/A</v>
      </c>
      <c r="V92" s="21" t="e">
        <f t="shared" si="8"/>
        <v>#N/A</v>
      </c>
      <c r="W92">
        <v>10</v>
      </c>
      <c r="X92">
        <f>VLOOKUP(B92,[1]제품리스트!$A$2:$F$1110,5,FALSE)</f>
        <v>16.2</v>
      </c>
      <c r="Y92" s="19">
        <f t="shared" si="9"/>
        <v>162</v>
      </c>
    </row>
    <row r="93" spans="1:25" x14ac:dyDescent="0.3">
      <c r="A93" s="9"/>
      <c r="B93" s="6">
        <v>72001275</v>
      </c>
      <c r="C93" t="s">
        <v>111</v>
      </c>
      <c r="D93" s="7"/>
      <c r="E93" s="8">
        <v>-41</v>
      </c>
      <c r="F93" s="8">
        <v>-12</v>
      </c>
      <c r="G93" s="8">
        <v>-19</v>
      </c>
      <c r="H93" s="8">
        <v>-42</v>
      </c>
      <c r="I93" s="8">
        <v>-21</v>
      </c>
      <c r="J93" s="8">
        <v>-39</v>
      </c>
      <c r="K93" s="8">
        <v>-48</v>
      </c>
      <c r="L93" s="8">
        <v>-8</v>
      </c>
      <c r="M93" s="8">
        <v>-48</v>
      </c>
      <c r="N93" s="8">
        <v>-20</v>
      </c>
      <c r="O93" s="8"/>
      <c r="P93" s="8">
        <v>-298</v>
      </c>
      <c r="Q93" s="23" t="str">
        <f>VLOOKUP(B93,[1]제품리스트!$A$2:$J$1000,10,FALSE)</f>
        <v>#275-Paint 1oz Satchel Tan</v>
      </c>
      <c r="R93" s="17">
        <f t="shared" si="5"/>
        <v>-27.09090909090909</v>
      </c>
      <c r="S93" s="19">
        <f t="shared" si="6"/>
        <v>2.2575757575757573</v>
      </c>
      <c r="T93" s="21">
        <f t="shared" si="7"/>
        <v>6.7727272727272716</v>
      </c>
      <c r="U93" s="19" t="e">
        <f>VLOOKUP(B93,[1]재고수량!$A$13:$D$651,3,FALSE)</f>
        <v>#N/A</v>
      </c>
      <c r="V93" s="21" t="e">
        <f t="shared" si="8"/>
        <v>#N/A</v>
      </c>
      <c r="W93">
        <v>10</v>
      </c>
      <c r="X93">
        <f>VLOOKUP(B93,[1]제품리스트!$A$2:$F$1110,5,FALSE)</f>
        <v>16.2</v>
      </c>
      <c r="Y93" s="19">
        <f t="shared" si="9"/>
        <v>162</v>
      </c>
    </row>
    <row r="94" spans="1:25" hidden="1" x14ac:dyDescent="0.3">
      <c r="A94" s="5" t="s">
        <v>112</v>
      </c>
      <c r="B94" s="6">
        <v>72701310</v>
      </c>
      <c r="C94" t="s">
        <v>113</v>
      </c>
      <c r="D94" s="7">
        <v>-1</v>
      </c>
      <c r="E94" s="8">
        <v>-6</v>
      </c>
      <c r="F94" s="8">
        <v>-21</v>
      </c>
      <c r="G94" s="8">
        <v>-8</v>
      </c>
      <c r="H94" s="8">
        <v>-15</v>
      </c>
      <c r="I94" s="8">
        <v>-2</v>
      </c>
      <c r="J94" s="8">
        <v>-9</v>
      </c>
      <c r="K94" s="8">
        <v>-12</v>
      </c>
      <c r="L94" s="8">
        <v>-18</v>
      </c>
      <c r="M94" s="8">
        <v>-26</v>
      </c>
      <c r="N94" s="8">
        <v>-14</v>
      </c>
      <c r="O94" s="8"/>
      <c r="P94" s="8">
        <v>-132</v>
      </c>
      <c r="Q94" s="23" t="str">
        <f>VLOOKUP(B94,[1]제품리스트!$A$2:$J$1000,10,FALSE)</f>
        <v>#310-Collector Edition-aqua</v>
      </c>
      <c r="R94" s="17">
        <f t="shared" si="5"/>
        <v>-12</v>
      </c>
      <c r="S94" s="19">
        <f t="shared" si="6"/>
        <v>1</v>
      </c>
      <c r="T94" s="21">
        <f t="shared" si="7"/>
        <v>3</v>
      </c>
      <c r="U94" s="19" t="e">
        <f>VLOOKUP(B94,[1]재고수량!$A$13:$D$651,3,FALSE)</f>
        <v>#N/A</v>
      </c>
      <c r="V94" s="21" t="e">
        <f t="shared" si="8"/>
        <v>#N/A</v>
      </c>
      <c r="X94">
        <f>VLOOKUP(B94,[1]제품리스트!$A$2:$F$1110,5,FALSE)</f>
        <v>20.399999999999999</v>
      </c>
      <c r="Y94" s="19">
        <f t="shared" si="9"/>
        <v>0</v>
      </c>
    </row>
    <row r="95" spans="1:25" hidden="1" x14ac:dyDescent="0.3">
      <c r="A95" s="5"/>
      <c r="B95" s="6">
        <v>72701312</v>
      </c>
      <c r="C95" t="s">
        <v>114</v>
      </c>
      <c r="D95" s="7">
        <v>-30</v>
      </c>
      <c r="E95" s="8">
        <v>-12</v>
      </c>
      <c r="F95" s="8">
        <v>-19</v>
      </c>
      <c r="G95" s="8">
        <v>-9</v>
      </c>
      <c r="H95" s="8">
        <v>-15</v>
      </c>
      <c r="I95" s="8">
        <v>-9</v>
      </c>
      <c r="J95" s="8">
        <v>-21</v>
      </c>
      <c r="K95" s="8">
        <v>-16</v>
      </c>
      <c r="L95" s="8">
        <v>-17</v>
      </c>
      <c r="M95" s="8">
        <v>-10</v>
      </c>
      <c r="N95" s="8">
        <v>-13</v>
      </c>
      <c r="O95" s="8"/>
      <c r="P95" s="8">
        <v>-171</v>
      </c>
      <c r="Q95" s="23" t="str">
        <f>VLOOKUP(B95,[1]제품리스트!$A$2:$J$1000,10,FALSE)</f>
        <v>#312-Collector Edition-Blaze</v>
      </c>
      <c r="R95" s="17">
        <f t="shared" si="5"/>
        <v>-15.545454545454545</v>
      </c>
      <c r="S95" s="19">
        <f t="shared" si="6"/>
        <v>1.2954545454545454</v>
      </c>
      <c r="T95" s="21">
        <f t="shared" si="7"/>
        <v>3.8863636363636362</v>
      </c>
      <c r="U95" s="19" t="e">
        <f>VLOOKUP(B95,[1]재고수량!$A$13:$D$651,3,FALSE)</f>
        <v>#N/A</v>
      </c>
      <c r="V95" s="21" t="e">
        <f t="shared" si="8"/>
        <v>#N/A</v>
      </c>
      <c r="X95">
        <f>VLOOKUP(B95,[1]제품리스트!$A$2:$F$1110,5,FALSE)</f>
        <v>20.399999999999999</v>
      </c>
      <c r="Y95" s="19">
        <f t="shared" si="9"/>
        <v>0</v>
      </c>
    </row>
    <row r="96" spans="1:25" hidden="1" x14ac:dyDescent="0.3">
      <c r="A96" s="5"/>
      <c r="B96" s="6">
        <v>72701313</v>
      </c>
      <c r="C96" t="s">
        <v>115</v>
      </c>
      <c r="D96" s="7">
        <v>-15</v>
      </c>
      <c r="E96" s="8">
        <v>-1</v>
      </c>
      <c r="F96" s="8">
        <v>-11</v>
      </c>
      <c r="G96" s="8">
        <v>-3</v>
      </c>
      <c r="H96" s="8">
        <v>-2</v>
      </c>
      <c r="I96" s="8">
        <v>0</v>
      </c>
      <c r="J96" s="8">
        <v>-3</v>
      </c>
      <c r="K96" s="8"/>
      <c r="L96" s="8">
        <v>-1</v>
      </c>
      <c r="M96" s="8"/>
      <c r="N96" s="8">
        <v>0</v>
      </c>
      <c r="O96" s="8"/>
      <c r="P96" s="8">
        <v>-36</v>
      </c>
      <c r="Q96" s="23" t="str">
        <f>VLOOKUP(B96,[1]제품리스트!$A$2:$J$1000,10,FALSE)</f>
        <v>#313-Collector Edition-Concord</v>
      </c>
      <c r="R96" s="17">
        <f t="shared" si="5"/>
        <v>-3.2727272727272729</v>
      </c>
      <c r="S96" s="19">
        <f t="shared" si="6"/>
        <v>0.27272727272727276</v>
      </c>
      <c r="T96" s="21">
        <f t="shared" si="7"/>
        <v>0.81818181818181834</v>
      </c>
      <c r="U96" s="19" t="e">
        <f>VLOOKUP(B96,[1]재고수량!$A$13:$D$651,3,FALSE)</f>
        <v>#N/A</v>
      </c>
      <c r="V96" s="21" t="e">
        <f t="shared" si="8"/>
        <v>#N/A</v>
      </c>
      <c r="X96">
        <f>VLOOKUP(B96,[1]제품리스트!$A$2:$F$1110,5,FALSE)</f>
        <v>20.399999999999999</v>
      </c>
      <c r="Y96" s="19">
        <f t="shared" si="9"/>
        <v>0</v>
      </c>
    </row>
    <row r="97" spans="1:25" hidden="1" x14ac:dyDescent="0.3">
      <c r="A97" s="5"/>
      <c r="B97" s="6">
        <v>72701314</v>
      </c>
      <c r="C97" t="s">
        <v>116</v>
      </c>
      <c r="D97" s="7">
        <v>-14</v>
      </c>
      <c r="E97" s="8">
        <v>0</v>
      </c>
      <c r="F97" s="8">
        <v>-13</v>
      </c>
      <c r="G97" s="8">
        <v>-18</v>
      </c>
      <c r="H97" s="8">
        <v>-24</v>
      </c>
      <c r="I97" s="8">
        <v>-2</v>
      </c>
      <c r="J97" s="8">
        <v>-19</v>
      </c>
      <c r="K97" s="8">
        <v>-13</v>
      </c>
      <c r="L97" s="8">
        <v>-17</v>
      </c>
      <c r="M97" s="8">
        <v>-12</v>
      </c>
      <c r="N97" s="8">
        <v>-12</v>
      </c>
      <c r="O97" s="8"/>
      <c r="P97" s="8">
        <v>-144</v>
      </c>
      <c r="Q97" s="23" t="str">
        <f>VLOOKUP(B97,[1]제품리스트!$A$2:$J$1000,10,FALSE)</f>
        <v>#314-Collector Edition  White Cement</v>
      </c>
      <c r="R97" s="17">
        <f t="shared" si="5"/>
        <v>-13.090909090909092</v>
      </c>
      <c r="S97" s="19">
        <f t="shared" si="6"/>
        <v>1.0909090909090911</v>
      </c>
      <c r="T97" s="21">
        <f t="shared" si="7"/>
        <v>3.2727272727272734</v>
      </c>
      <c r="U97" s="19" t="e">
        <f>VLOOKUP(B97,[1]재고수량!$A$13:$D$651,3,FALSE)</f>
        <v>#N/A</v>
      </c>
      <c r="V97" s="21" t="e">
        <f t="shared" si="8"/>
        <v>#N/A</v>
      </c>
      <c r="X97">
        <f>VLOOKUP(B97,[1]제품리스트!$A$2:$F$1110,5,FALSE)</f>
        <v>20.399999999999999</v>
      </c>
      <c r="Y97" s="19">
        <f t="shared" si="9"/>
        <v>0</v>
      </c>
    </row>
    <row r="98" spans="1:25" hidden="1" x14ac:dyDescent="0.3">
      <c r="A98" s="5"/>
      <c r="B98" s="6">
        <v>72701315</v>
      </c>
      <c r="C98" t="s">
        <v>117</v>
      </c>
      <c r="D98" s="7">
        <v>-23</v>
      </c>
      <c r="E98" s="8">
        <v>-18</v>
      </c>
      <c r="F98" s="8">
        <v>-33</v>
      </c>
      <c r="G98" s="8">
        <v>-22</v>
      </c>
      <c r="H98" s="8">
        <v>-17</v>
      </c>
      <c r="I98" s="8">
        <v>-17</v>
      </c>
      <c r="J98" s="8">
        <v>-27</v>
      </c>
      <c r="K98" s="8">
        <v>-21</v>
      </c>
      <c r="L98" s="8">
        <v>-10</v>
      </c>
      <c r="M98" s="8">
        <v>-15</v>
      </c>
      <c r="N98" s="8">
        <v>-7</v>
      </c>
      <c r="O98" s="8"/>
      <c r="P98" s="8">
        <v>-210</v>
      </c>
      <c r="Q98" s="23" t="str">
        <f>VLOOKUP(B98,[1]제품리스트!$A$2:$J$1000,10,FALSE)</f>
        <v>#315-Collector Edition  Volt</v>
      </c>
      <c r="R98" s="17">
        <f t="shared" si="5"/>
        <v>-19.09090909090909</v>
      </c>
      <c r="S98" s="19">
        <f t="shared" si="6"/>
        <v>1.5909090909090908</v>
      </c>
      <c r="T98" s="21">
        <f t="shared" si="7"/>
        <v>4.7727272727272725</v>
      </c>
      <c r="U98" s="19" t="e">
        <f>VLOOKUP(B98,[1]재고수량!$A$13:$D$651,3,FALSE)</f>
        <v>#N/A</v>
      </c>
      <c r="V98" s="21" t="e">
        <f t="shared" si="8"/>
        <v>#N/A</v>
      </c>
      <c r="X98">
        <f>VLOOKUP(B98,[1]제품리스트!$A$2:$F$1110,5,FALSE)</f>
        <v>20.399999999999999</v>
      </c>
      <c r="Y98" s="19">
        <f t="shared" si="9"/>
        <v>0</v>
      </c>
    </row>
    <row r="99" spans="1:25" hidden="1" x14ac:dyDescent="0.3">
      <c r="A99" s="5"/>
      <c r="B99" s="6">
        <v>72701317</v>
      </c>
      <c r="C99" t="s">
        <v>118</v>
      </c>
      <c r="D99" s="7">
        <v>-4</v>
      </c>
      <c r="E99" s="8">
        <v>-3</v>
      </c>
      <c r="F99" s="8">
        <v>-22</v>
      </c>
      <c r="G99" s="8">
        <v>-19</v>
      </c>
      <c r="H99" s="8">
        <v>-12</v>
      </c>
      <c r="I99" s="8">
        <v>-8</v>
      </c>
      <c r="J99" s="8">
        <v>-4</v>
      </c>
      <c r="K99" s="8">
        <v>-12</v>
      </c>
      <c r="L99" s="8">
        <v>-8</v>
      </c>
      <c r="M99" s="8">
        <v>-31</v>
      </c>
      <c r="N99" s="8">
        <v>-13</v>
      </c>
      <c r="O99" s="8"/>
      <c r="P99" s="8">
        <v>-136</v>
      </c>
      <c r="Q99" s="23" t="str">
        <f>VLOOKUP(B99,[1]제품리스트!$A$2:$J$1000,10,FALSE)</f>
        <v>#317-Collector Edition-Emerald</v>
      </c>
      <c r="R99" s="17">
        <f t="shared" si="5"/>
        <v>-12.363636363636363</v>
      </c>
      <c r="S99" s="19">
        <f t="shared" si="6"/>
        <v>1.0303030303030303</v>
      </c>
      <c r="T99" s="21">
        <f t="shared" si="7"/>
        <v>3.0909090909090908</v>
      </c>
      <c r="U99" s="19" t="e">
        <f>VLOOKUP(B99,[1]재고수량!$A$13:$D$651,3,FALSE)</f>
        <v>#N/A</v>
      </c>
      <c r="V99" s="21" t="e">
        <f t="shared" si="8"/>
        <v>#N/A</v>
      </c>
      <c r="X99">
        <f>VLOOKUP(B99,[1]제품리스트!$A$2:$F$1110,5,FALSE)</f>
        <v>20.399999999999999</v>
      </c>
      <c r="Y99" s="19">
        <f t="shared" si="9"/>
        <v>0</v>
      </c>
    </row>
    <row r="100" spans="1:25" hidden="1" x14ac:dyDescent="0.3">
      <c r="A100" s="5"/>
      <c r="B100" s="6">
        <v>72701319</v>
      </c>
      <c r="C100" t="s">
        <v>119</v>
      </c>
      <c r="D100" s="7">
        <v>-26</v>
      </c>
      <c r="E100" s="8">
        <v>-15</v>
      </c>
      <c r="F100" s="8">
        <v>-8</v>
      </c>
      <c r="G100" s="8">
        <v>-13</v>
      </c>
      <c r="H100" s="8">
        <v>-11</v>
      </c>
      <c r="I100" s="8">
        <v>-9</v>
      </c>
      <c r="J100" s="8">
        <v>-28</v>
      </c>
      <c r="K100" s="8">
        <v>-8</v>
      </c>
      <c r="L100" s="8">
        <v>-9</v>
      </c>
      <c r="M100" s="8">
        <v>-22</v>
      </c>
      <c r="N100" s="8">
        <v>-10</v>
      </c>
      <c r="O100" s="8"/>
      <c r="P100" s="8">
        <v>-159</v>
      </c>
      <c r="Q100" s="23" t="str">
        <f>VLOOKUP(B100,[1]제품리스트!$A$2:$J$1000,10,FALSE)</f>
        <v>#319-Collector Edition-Infrared</v>
      </c>
      <c r="R100" s="17">
        <f t="shared" si="5"/>
        <v>-14.454545454545455</v>
      </c>
      <c r="S100" s="19">
        <f t="shared" si="6"/>
        <v>1.2045454545454546</v>
      </c>
      <c r="T100" s="21">
        <f t="shared" si="7"/>
        <v>3.6136363636363638</v>
      </c>
      <c r="U100" s="19" t="e">
        <f>VLOOKUP(B100,[1]재고수량!$A$13:$D$651,3,FALSE)</f>
        <v>#N/A</v>
      </c>
      <c r="V100" s="21" t="e">
        <f t="shared" si="8"/>
        <v>#N/A</v>
      </c>
      <c r="X100">
        <f>VLOOKUP(B100,[1]제품리스트!$A$2:$F$1110,5,FALSE)</f>
        <v>20.399999999999999</v>
      </c>
      <c r="Y100" s="19">
        <f t="shared" si="9"/>
        <v>0</v>
      </c>
    </row>
    <row r="101" spans="1:25" hidden="1" x14ac:dyDescent="0.3">
      <c r="A101" s="5"/>
      <c r="B101" s="6">
        <v>72701321</v>
      </c>
      <c r="C101" t="s">
        <v>120</v>
      </c>
      <c r="D101" s="7">
        <v>-22</v>
      </c>
      <c r="E101" s="8">
        <v>-29</v>
      </c>
      <c r="F101" s="8">
        <v>-17</v>
      </c>
      <c r="G101" s="8">
        <v>-8</v>
      </c>
      <c r="H101" s="8">
        <v>-36</v>
      </c>
      <c r="I101" s="8">
        <v>-13</v>
      </c>
      <c r="J101" s="8">
        <v>-30</v>
      </c>
      <c r="K101" s="8">
        <v>-24</v>
      </c>
      <c r="L101" s="8">
        <v>-4</v>
      </c>
      <c r="M101" s="8">
        <v>-32</v>
      </c>
      <c r="N101" s="8">
        <v>-9</v>
      </c>
      <c r="O101" s="8"/>
      <c r="P101" s="8">
        <v>-224</v>
      </c>
      <c r="Q101" s="23" t="str">
        <f>VLOOKUP(B101,[1]제품리스트!$A$2:$J$1000,10,FALSE)</f>
        <v>#321-Collector Edition-Maize</v>
      </c>
      <c r="R101" s="17">
        <f t="shared" si="5"/>
        <v>-20.363636363636363</v>
      </c>
      <c r="S101" s="19">
        <f t="shared" si="6"/>
        <v>1.696969696969697</v>
      </c>
      <c r="T101" s="21">
        <f t="shared" si="7"/>
        <v>5.0909090909090908</v>
      </c>
      <c r="U101" s="19" t="e">
        <f>VLOOKUP(B101,[1]재고수량!$A$13:$D$651,3,FALSE)</f>
        <v>#N/A</v>
      </c>
      <c r="V101" s="21" t="e">
        <f t="shared" si="8"/>
        <v>#N/A</v>
      </c>
      <c r="X101">
        <f>VLOOKUP(B101,[1]제품리스트!$A$2:$F$1110,5,FALSE)</f>
        <v>20.399999999999999</v>
      </c>
      <c r="Y101" s="19">
        <f t="shared" si="9"/>
        <v>0</v>
      </c>
    </row>
    <row r="102" spans="1:25" hidden="1" x14ac:dyDescent="0.3">
      <c r="A102" s="5"/>
      <c r="B102" s="6">
        <v>72701323</v>
      </c>
      <c r="C102" t="s">
        <v>121</v>
      </c>
      <c r="D102" s="7">
        <v>-3</v>
      </c>
      <c r="E102" s="8">
        <v>-8</v>
      </c>
      <c r="F102" s="8">
        <v>-15</v>
      </c>
      <c r="G102" s="8">
        <v>-6</v>
      </c>
      <c r="H102" s="8">
        <v>-8</v>
      </c>
      <c r="I102" s="8">
        <v>-15</v>
      </c>
      <c r="J102" s="8">
        <v>-8</v>
      </c>
      <c r="K102" s="8">
        <v>0</v>
      </c>
      <c r="L102" s="8">
        <v>-6</v>
      </c>
      <c r="M102" s="8">
        <v>0</v>
      </c>
      <c r="N102" s="8">
        <v>-34</v>
      </c>
      <c r="O102" s="8"/>
      <c r="P102" s="8">
        <v>-103</v>
      </c>
      <c r="Q102" s="23" t="str">
        <f>VLOOKUP(B102,[1]제품리스트!$A$2:$J$1000,10,FALSE)</f>
        <v>#323-Collector Edition-Mid Navy 8</v>
      </c>
      <c r="R102" s="17">
        <f t="shared" si="5"/>
        <v>-9.3636363636363633</v>
      </c>
      <c r="S102" s="19">
        <f t="shared" si="6"/>
        <v>0.78030303030303028</v>
      </c>
      <c r="T102" s="21">
        <f t="shared" si="7"/>
        <v>2.3409090909090908</v>
      </c>
      <c r="U102" s="19" t="e">
        <f>VLOOKUP(B102,[1]재고수량!$A$13:$D$651,3,FALSE)</f>
        <v>#N/A</v>
      </c>
      <c r="V102" s="21" t="e">
        <f t="shared" si="8"/>
        <v>#N/A</v>
      </c>
      <c r="X102">
        <f>VLOOKUP(B102,[1]제품리스트!$A$2:$F$1110,5,FALSE)</f>
        <v>20.399999999999999</v>
      </c>
      <c r="Y102" s="19">
        <f t="shared" si="9"/>
        <v>0</v>
      </c>
    </row>
    <row r="103" spans="1:25" hidden="1" x14ac:dyDescent="0.3">
      <c r="A103" s="5"/>
      <c r="B103" s="6">
        <v>72701324</v>
      </c>
      <c r="C103" t="s">
        <v>122</v>
      </c>
      <c r="D103" s="7">
        <v>-10</v>
      </c>
      <c r="E103" s="8">
        <v>-3</v>
      </c>
      <c r="F103" s="8">
        <v>-28</v>
      </c>
      <c r="G103" s="8">
        <v>-8</v>
      </c>
      <c r="H103" s="8">
        <v>-18</v>
      </c>
      <c r="I103" s="8">
        <v>-9</v>
      </c>
      <c r="J103" s="8">
        <v>-18</v>
      </c>
      <c r="K103" s="8">
        <v>-4</v>
      </c>
      <c r="L103" s="8">
        <v>-11</v>
      </c>
      <c r="M103" s="8">
        <v>-14</v>
      </c>
      <c r="N103" s="8">
        <v>-3</v>
      </c>
      <c r="O103" s="8"/>
      <c r="P103" s="8">
        <v>-126</v>
      </c>
      <c r="Q103" s="23" t="str">
        <f>VLOOKUP(B103,[1]제품리스트!$A$2:$J$1000,10,FALSE)</f>
        <v>#324-Collector Edition-Millitary Blue</v>
      </c>
      <c r="R103" s="17">
        <f t="shared" si="5"/>
        <v>-11.454545454545455</v>
      </c>
      <c r="S103" s="19">
        <f t="shared" si="6"/>
        <v>0.95454545454545459</v>
      </c>
      <c r="T103" s="21">
        <f t="shared" si="7"/>
        <v>2.8636363636363638</v>
      </c>
      <c r="U103" s="19" t="e">
        <f>VLOOKUP(B103,[1]재고수량!$A$13:$D$651,3,FALSE)</f>
        <v>#N/A</v>
      </c>
      <c r="V103" s="21" t="e">
        <f t="shared" si="8"/>
        <v>#N/A</v>
      </c>
      <c r="X103">
        <f>VLOOKUP(B103,[1]제품리스트!$A$2:$F$1110,5,FALSE)</f>
        <v>20.399999999999999</v>
      </c>
      <c r="Y103" s="19">
        <f t="shared" si="9"/>
        <v>0</v>
      </c>
    </row>
    <row r="104" spans="1:25" hidden="1" x14ac:dyDescent="0.3">
      <c r="A104" s="5"/>
      <c r="B104" s="6">
        <v>72701326</v>
      </c>
      <c r="C104" t="s">
        <v>123</v>
      </c>
      <c r="D104" s="7">
        <v>-18</v>
      </c>
      <c r="E104" s="8">
        <v>-12</v>
      </c>
      <c r="F104" s="8">
        <v>-19</v>
      </c>
      <c r="G104" s="8">
        <v>-10</v>
      </c>
      <c r="H104" s="8">
        <v>-33</v>
      </c>
      <c r="I104" s="8">
        <v>-18</v>
      </c>
      <c r="J104" s="8">
        <v>-10</v>
      </c>
      <c r="K104" s="8">
        <v>-20</v>
      </c>
      <c r="L104" s="8">
        <v>-19</v>
      </c>
      <c r="M104" s="8">
        <v>-22</v>
      </c>
      <c r="N104" s="8">
        <v>-10</v>
      </c>
      <c r="O104" s="8"/>
      <c r="P104" s="8">
        <v>-191</v>
      </c>
      <c r="Q104" s="23" t="str">
        <f>VLOOKUP(B104,[1]제품리스트!$A$2:$J$1000,10,FALSE)</f>
        <v>#326-Collector Edition-Royal5</v>
      </c>
      <c r="R104" s="17">
        <f t="shared" si="5"/>
        <v>-17.363636363636363</v>
      </c>
      <c r="S104" s="19">
        <f t="shared" si="6"/>
        <v>1.446969696969697</v>
      </c>
      <c r="T104" s="21">
        <f t="shared" si="7"/>
        <v>4.3409090909090908</v>
      </c>
      <c r="U104" s="19" t="e">
        <f>VLOOKUP(B104,[1]재고수량!$A$13:$D$651,3,FALSE)</f>
        <v>#N/A</v>
      </c>
      <c r="V104" s="21" t="e">
        <f t="shared" si="8"/>
        <v>#N/A</v>
      </c>
      <c r="X104">
        <f>VLOOKUP(B104,[1]제품리스트!$A$2:$F$1110,5,FALSE)</f>
        <v>20.399999999999999</v>
      </c>
      <c r="Y104" s="19">
        <f t="shared" si="9"/>
        <v>0</v>
      </c>
    </row>
    <row r="105" spans="1:25" hidden="1" x14ac:dyDescent="0.3">
      <c r="A105" s="5"/>
      <c r="B105" s="6">
        <v>72701329</v>
      </c>
      <c r="C105" t="s">
        <v>124</v>
      </c>
      <c r="D105" s="7">
        <v>-2</v>
      </c>
      <c r="E105" s="8">
        <v>-21</v>
      </c>
      <c r="F105" s="8">
        <v>-7</v>
      </c>
      <c r="G105" s="8">
        <v>-7</v>
      </c>
      <c r="H105" s="8">
        <v>-21</v>
      </c>
      <c r="I105" s="8">
        <v>-4</v>
      </c>
      <c r="J105" s="8">
        <v>-18</v>
      </c>
      <c r="K105" s="8">
        <v>-5</v>
      </c>
      <c r="L105" s="8">
        <v>-9</v>
      </c>
      <c r="M105" s="8">
        <v>-14</v>
      </c>
      <c r="N105" s="8">
        <v>-17</v>
      </c>
      <c r="O105" s="8"/>
      <c r="P105" s="8">
        <v>-125</v>
      </c>
      <c r="Q105" s="23" t="str">
        <f>VLOOKUP(B105,[1]제품리스트!$A$2:$J$1000,10,FALSE)</f>
        <v>#329-Collector Edition-Tru Blue</v>
      </c>
      <c r="R105" s="17">
        <f t="shared" si="5"/>
        <v>-11.363636363636363</v>
      </c>
      <c r="S105" s="19">
        <f t="shared" si="6"/>
        <v>0.94696969696969691</v>
      </c>
      <c r="T105" s="21">
        <f t="shared" si="7"/>
        <v>2.8409090909090908</v>
      </c>
      <c r="U105" s="19" t="e">
        <f>VLOOKUP(B105,[1]재고수량!$A$13:$D$651,3,FALSE)</f>
        <v>#N/A</v>
      </c>
      <c r="V105" s="21" t="e">
        <f t="shared" si="8"/>
        <v>#N/A</v>
      </c>
      <c r="X105">
        <f>VLOOKUP(B105,[1]제품리스트!$A$2:$F$1110,5,FALSE)</f>
        <v>20.399999999999999</v>
      </c>
      <c r="Y105" s="19">
        <f t="shared" si="9"/>
        <v>0</v>
      </c>
    </row>
    <row r="106" spans="1:25" hidden="1" x14ac:dyDescent="0.3">
      <c r="A106" s="5"/>
      <c r="B106" s="6">
        <v>72701330</v>
      </c>
      <c r="C106" t="s">
        <v>125</v>
      </c>
      <c r="D106" s="7">
        <v>-28</v>
      </c>
      <c r="E106" s="8">
        <v>-31</v>
      </c>
      <c r="F106" s="8">
        <v>-69</v>
      </c>
      <c r="G106" s="8">
        <v>-34</v>
      </c>
      <c r="H106" s="8">
        <v>-89</v>
      </c>
      <c r="I106" s="8">
        <v>-22</v>
      </c>
      <c r="J106" s="8">
        <v>-59</v>
      </c>
      <c r="K106" s="8">
        <v>-114</v>
      </c>
      <c r="L106" s="8">
        <v>-9</v>
      </c>
      <c r="M106" s="8">
        <v>-50</v>
      </c>
      <c r="N106" s="8">
        <v>-22</v>
      </c>
      <c r="O106" s="8"/>
      <c r="P106" s="8">
        <v>-527</v>
      </c>
      <c r="Q106" s="23" t="str">
        <f>VLOOKUP(B106,[1]제품리스트!$A$2:$J$1000,10,FALSE)</f>
        <v>#330-Collector Edition Varsity</v>
      </c>
      <c r="R106" s="17">
        <f t="shared" si="5"/>
        <v>-47.909090909090907</v>
      </c>
      <c r="S106" s="19">
        <f t="shared" si="6"/>
        <v>3.9924242424242422</v>
      </c>
      <c r="T106" s="21">
        <f t="shared" si="7"/>
        <v>11.977272727272727</v>
      </c>
      <c r="U106" s="19" t="e">
        <f>VLOOKUP(B106,[1]재고수량!$A$13:$D$651,3,FALSE)</f>
        <v>#N/A</v>
      </c>
      <c r="V106" s="21" t="e">
        <f t="shared" si="8"/>
        <v>#N/A</v>
      </c>
      <c r="X106">
        <f>VLOOKUP(B106,[1]제품리스트!$A$2:$F$1110,5,FALSE)</f>
        <v>20.399999999999999</v>
      </c>
      <c r="Y106" s="19">
        <f t="shared" si="9"/>
        <v>0</v>
      </c>
    </row>
    <row r="107" spans="1:25" hidden="1" x14ac:dyDescent="0.3">
      <c r="A107" s="5"/>
      <c r="B107" s="6">
        <v>72701331</v>
      </c>
      <c r="C107" t="s">
        <v>126</v>
      </c>
      <c r="D107" s="7">
        <v>-3</v>
      </c>
      <c r="E107" s="8">
        <v>-11</v>
      </c>
      <c r="F107" s="8">
        <v>-13</v>
      </c>
      <c r="G107" s="8">
        <v>-7</v>
      </c>
      <c r="H107" s="8">
        <v>-20</v>
      </c>
      <c r="I107" s="8">
        <v>-10</v>
      </c>
      <c r="J107" s="8">
        <v>-3</v>
      </c>
      <c r="K107" s="8">
        <v>-12</v>
      </c>
      <c r="L107" s="8">
        <v>-15</v>
      </c>
      <c r="M107" s="8">
        <v>-10</v>
      </c>
      <c r="N107" s="8">
        <v>-5</v>
      </c>
      <c r="O107" s="8"/>
      <c r="P107" s="8">
        <v>-109</v>
      </c>
      <c r="Q107" s="23" t="str">
        <f>VLOOKUP(B107,[1]제품리스트!$A$2:$J$1000,10,FALSE)</f>
        <v>#331-Collector Edition-Miami Vice</v>
      </c>
      <c r="R107" s="17">
        <f t="shared" si="5"/>
        <v>-9.9090909090909083</v>
      </c>
      <c r="S107" s="19">
        <f t="shared" si="6"/>
        <v>0.82575757575757569</v>
      </c>
      <c r="T107" s="21">
        <f t="shared" si="7"/>
        <v>2.4772727272727271</v>
      </c>
      <c r="U107" s="19" t="e">
        <f>VLOOKUP(B107,[1]재고수량!$A$13:$D$651,3,FALSE)</f>
        <v>#N/A</v>
      </c>
      <c r="V107" s="21" t="e">
        <f t="shared" si="8"/>
        <v>#N/A</v>
      </c>
      <c r="X107">
        <f>VLOOKUP(B107,[1]제품리스트!$A$2:$F$1110,5,FALSE)</f>
        <v>20.399999999999999</v>
      </c>
      <c r="Y107" s="19">
        <f t="shared" si="9"/>
        <v>0</v>
      </c>
    </row>
    <row r="108" spans="1:25" hidden="1" x14ac:dyDescent="0.3">
      <c r="A108" s="5"/>
      <c r="B108" s="6">
        <v>72701332</v>
      </c>
      <c r="C108" t="s">
        <v>127</v>
      </c>
      <c r="D108" s="7">
        <v>-20</v>
      </c>
      <c r="E108" s="8">
        <v>-1</v>
      </c>
      <c r="F108" s="8">
        <v>-17</v>
      </c>
      <c r="G108" s="8">
        <v>-6</v>
      </c>
      <c r="H108" s="8">
        <v>-17</v>
      </c>
      <c r="I108" s="8">
        <v>-16</v>
      </c>
      <c r="J108" s="8">
        <v>-17</v>
      </c>
      <c r="K108" s="8">
        <v>-16</v>
      </c>
      <c r="L108" s="8">
        <v>-23</v>
      </c>
      <c r="M108" s="8">
        <v>-24</v>
      </c>
      <c r="N108" s="8">
        <v>-17</v>
      </c>
      <c r="O108" s="8"/>
      <c r="P108" s="8">
        <v>-174</v>
      </c>
      <c r="Q108" s="23" t="str">
        <f>VLOOKUP(B108,[1]제품리스트!$A$2:$J$1000,10,FALSE)</f>
        <v>#332-Collector Edition-Melo2</v>
      </c>
      <c r="R108" s="17">
        <f t="shared" si="5"/>
        <v>-15.818181818181818</v>
      </c>
      <c r="S108" s="19">
        <f t="shared" si="6"/>
        <v>1.3181818181818181</v>
      </c>
      <c r="T108" s="21">
        <f t="shared" si="7"/>
        <v>3.9545454545454541</v>
      </c>
      <c r="U108" s="19" t="e">
        <f>VLOOKUP(B108,[1]재고수량!$A$13:$D$651,3,FALSE)</f>
        <v>#N/A</v>
      </c>
      <c r="V108" s="21" t="e">
        <f t="shared" si="8"/>
        <v>#N/A</v>
      </c>
      <c r="X108">
        <f>VLOOKUP(B108,[1]제품리스트!$A$2:$F$1110,5,FALSE)</f>
        <v>20.399999999999999</v>
      </c>
      <c r="Y108" s="19">
        <f t="shared" si="9"/>
        <v>0</v>
      </c>
    </row>
    <row r="109" spans="1:25" hidden="1" x14ac:dyDescent="0.3">
      <c r="A109" s="5"/>
      <c r="B109" s="6">
        <v>72701333</v>
      </c>
      <c r="C109" t="s">
        <v>128</v>
      </c>
      <c r="D109" s="7">
        <v>-23</v>
      </c>
      <c r="E109" s="8">
        <v>-12</v>
      </c>
      <c r="F109" s="8">
        <v>-25</v>
      </c>
      <c r="G109" s="8">
        <v>-9</v>
      </c>
      <c r="H109" s="8">
        <v>-24</v>
      </c>
      <c r="I109" s="8">
        <v>-22</v>
      </c>
      <c r="J109" s="8">
        <v>-26</v>
      </c>
      <c r="K109" s="8">
        <v>-12</v>
      </c>
      <c r="L109" s="8">
        <v>-14</v>
      </c>
      <c r="M109" s="8">
        <v>-22</v>
      </c>
      <c r="N109" s="8">
        <v>-6</v>
      </c>
      <c r="O109" s="8"/>
      <c r="P109" s="8">
        <v>-195</v>
      </c>
      <c r="Q109" s="23" t="str">
        <f>VLOOKUP(B109,[1]제품리스트!$A$2:$J$1000,10,FALSE)</f>
        <v>#333-Collector Edition-DTRT Yellow</v>
      </c>
      <c r="R109" s="17">
        <f t="shared" si="5"/>
        <v>-17.727272727272727</v>
      </c>
      <c r="S109" s="19">
        <f t="shared" si="6"/>
        <v>1.4772727272727273</v>
      </c>
      <c r="T109" s="21">
        <f t="shared" si="7"/>
        <v>4.4318181818181817</v>
      </c>
      <c r="U109" s="19" t="e">
        <f>VLOOKUP(B109,[1]재고수량!$A$13:$D$651,3,FALSE)</f>
        <v>#N/A</v>
      </c>
      <c r="V109" s="21" t="e">
        <f t="shared" si="8"/>
        <v>#N/A</v>
      </c>
      <c r="X109">
        <f>VLOOKUP(B109,[1]제품리스트!$A$2:$F$1110,5,FALSE)</f>
        <v>20.399999999999999</v>
      </c>
      <c r="Y109" s="19">
        <f t="shared" si="9"/>
        <v>0</v>
      </c>
    </row>
    <row r="110" spans="1:25" hidden="1" x14ac:dyDescent="0.3">
      <c r="A110" s="5"/>
      <c r="B110" s="6">
        <v>72701334</v>
      </c>
      <c r="C110" t="s">
        <v>129</v>
      </c>
      <c r="D110" s="7">
        <v>-1</v>
      </c>
      <c r="E110" s="8">
        <v>-9</v>
      </c>
      <c r="F110" s="8">
        <v>-3</v>
      </c>
      <c r="G110" s="8">
        <v>0</v>
      </c>
      <c r="H110" s="8">
        <v>-2</v>
      </c>
      <c r="I110" s="8">
        <v>-15</v>
      </c>
      <c r="J110" s="8"/>
      <c r="K110" s="8"/>
      <c r="L110" s="8"/>
      <c r="M110" s="8">
        <v>-3</v>
      </c>
      <c r="N110" s="8">
        <v>-3</v>
      </c>
      <c r="O110" s="8"/>
      <c r="P110" s="8">
        <v>-36</v>
      </c>
      <c r="Q110" s="23" t="str">
        <f>VLOOKUP(B110,[1]제품리스트!$A$2:$J$1000,10,FALSE)</f>
        <v>#334-Collector Edition-Play 8 Grey</v>
      </c>
      <c r="R110" s="17">
        <f t="shared" si="5"/>
        <v>-3.2727272727272729</v>
      </c>
      <c r="S110" s="19">
        <f t="shared" si="6"/>
        <v>0.27272727272727276</v>
      </c>
      <c r="T110" s="21">
        <f t="shared" si="7"/>
        <v>0.81818181818181834</v>
      </c>
      <c r="U110" s="19" t="e">
        <f>VLOOKUP(B110,[1]재고수량!$A$13:$D$651,3,FALSE)</f>
        <v>#N/A</v>
      </c>
      <c r="V110" s="21" t="e">
        <f t="shared" si="8"/>
        <v>#N/A</v>
      </c>
      <c r="X110">
        <f>VLOOKUP(B110,[1]제품리스트!$A$2:$F$1110,5,FALSE)</f>
        <v>20.399999999999999</v>
      </c>
      <c r="Y110" s="19">
        <f t="shared" si="9"/>
        <v>0</v>
      </c>
    </row>
    <row r="111" spans="1:25" hidden="1" x14ac:dyDescent="0.3">
      <c r="A111" s="5"/>
      <c r="B111" s="6">
        <v>72701335</v>
      </c>
      <c r="C111" t="s">
        <v>130</v>
      </c>
      <c r="D111" s="7">
        <v>-12</v>
      </c>
      <c r="E111" s="8">
        <v>-9</v>
      </c>
      <c r="F111" s="8">
        <v>-10</v>
      </c>
      <c r="G111" s="8">
        <v>-6</v>
      </c>
      <c r="H111" s="8">
        <v>-23</v>
      </c>
      <c r="I111" s="8">
        <v>-12</v>
      </c>
      <c r="J111" s="8">
        <v>-5</v>
      </c>
      <c r="K111" s="8">
        <v>-6</v>
      </c>
      <c r="L111" s="8">
        <v>-9</v>
      </c>
      <c r="M111" s="8">
        <v>-13</v>
      </c>
      <c r="N111" s="8">
        <v>-10</v>
      </c>
      <c r="O111" s="8"/>
      <c r="P111" s="8">
        <v>-115</v>
      </c>
      <c r="Q111" s="23" t="str">
        <f>VLOOKUP(B111,[1]제품리스트!$A$2:$J$1000,10,FALSE)</f>
        <v>#335-Collector Edition-Yeezy</v>
      </c>
      <c r="R111" s="17">
        <f t="shared" si="5"/>
        <v>-10.454545454545455</v>
      </c>
      <c r="S111" s="19">
        <f t="shared" si="6"/>
        <v>0.87121212121212122</v>
      </c>
      <c r="T111" s="21">
        <f t="shared" si="7"/>
        <v>2.6136363636363638</v>
      </c>
      <c r="U111" s="19" t="e">
        <f>VLOOKUP(B111,[1]재고수량!$A$13:$D$651,3,FALSE)</f>
        <v>#N/A</v>
      </c>
      <c r="V111" s="21" t="e">
        <f t="shared" si="8"/>
        <v>#N/A</v>
      </c>
      <c r="X111">
        <f>VLOOKUP(B111,[1]제품리스트!$A$2:$F$1110,5,FALSE)</f>
        <v>20.399999999999999</v>
      </c>
      <c r="Y111" s="19">
        <f t="shared" si="9"/>
        <v>0</v>
      </c>
    </row>
    <row r="112" spans="1:25" hidden="1" x14ac:dyDescent="0.3">
      <c r="A112" s="5"/>
      <c r="B112" s="6">
        <v>72701336</v>
      </c>
      <c r="C112" t="s">
        <v>131</v>
      </c>
      <c r="D112" s="7">
        <v>0</v>
      </c>
      <c r="E112" s="8">
        <v>0</v>
      </c>
      <c r="F112" s="8">
        <v>-10</v>
      </c>
      <c r="G112" s="8">
        <v>0</v>
      </c>
      <c r="H112" s="8">
        <v>-5</v>
      </c>
      <c r="I112" s="8">
        <v>-6</v>
      </c>
      <c r="J112" s="8">
        <v>-3</v>
      </c>
      <c r="K112" s="8">
        <v>-8</v>
      </c>
      <c r="L112" s="8">
        <v>2</v>
      </c>
      <c r="M112" s="8">
        <v>-3</v>
      </c>
      <c r="N112" s="8">
        <v>-9</v>
      </c>
      <c r="O112" s="8"/>
      <c r="P112" s="8">
        <v>-42</v>
      </c>
      <c r="Q112" s="23" t="str">
        <f>VLOOKUP(B112,[1]제품리스트!$A$2:$J$1000,10,FALSE)</f>
        <v>#336-Collector Edition  Maroon</v>
      </c>
      <c r="R112" s="17">
        <f t="shared" si="5"/>
        <v>-3.8181818181818183</v>
      </c>
      <c r="S112" s="19">
        <f t="shared" si="6"/>
        <v>0.31818181818181818</v>
      </c>
      <c r="T112" s="21">
        <f t="shared" si="7"/>
        <v>0.95454545454545459</v>
      </c>
      <c r="U112" s="19" t="e">
        <f>VLOOKUP(B112,[1]재고수량!$A$13:$D$651,3,FALSE)</f>
        <v>#N/A</v>
      </c>
      <c r="V112" s="21" t="e">
        <f t="shared" si="8"/>
        <v>#N/A</v>
      </c>
      <c r="X112">
        <f>VLOOKUP(B112,[1]제품리스트!$A$2:$F$1110,5,FALSE)</f>
        <v>20.399999999999999</v>
      </c>
      <c r="Y112" s="19">
        <f t="shared" si="9"/>
        <v>0</v>
      </c>
    </row>
    <row r="113" spans="1:25" hidden="1" x14ac:dyDescent="0.3">
      <c r="A113" s="5"/>
      <c r="B113" s="6">
        <v>72701337</v>
      </c>
      <c r="C113" t="s">
        <v>132</v>
      </c>
      <c r="D113" s="7">
        <v>-12</v>
      </c>
      <c r="E113" s="8">
        <v>-20</v>
      </c>
      <c r="F113" s="8">
        <v>-17</v>
      </c>
      <c r="G113" s="8">
        <v>-2</v>
      </c>
      <c r="H113" s="8">
        <v>-6</v>
      </c>
      <c r="I113" s="8">
        <v>-15</v>
      </c>
      <c r="J113" s="8">
        <v>-12</v>
      </c>
      <c r="K113" s="8">
        <v>-13</v>
      </c>
      <c r="L113" s="8">
        <v>-17</v>
      </c>
      <c r="M113" s="8">
        <v>-17</v>
      </c>
      <c r="N113" s="8">
        <v>-15</v>
      </c>
      <c r="O113" s="8"/>
      <c r="P113" s="8">
        <v>-146</v>
      </c>
      <c r="Q113" s="23" t="str">
        <f>VLOOKUP(B113,[1]제품리스트!$A$2:$J$1000,10,FALSE)</f>
        <v>#337-Collector Edition-Grape5</v>
      </c>
      <c r="R113" s="17">
        <f t="shared" si="5"/>
        <v>-13.272727272727273</v>
      </c>
      <c r="S113" s="19">
        <f t="shared" si="6"/>
        <v>1.1060606060606062</v>
      </c>
      <c r="T113" s="21">
        <f t="shared" si="7"/>
        <v>3.3181818181818183</v>
      </c>
      <c r="U113" s="19" t="e">
        <f>VLOOKUP(B113,[1]재고수량!$A$13:$D$651,3,FALSE)</f>
        <v>#N/A</v>
      </c>
      <c r="V113" s="21" t="e">
        <f t="shared" si="8"/>
        <v>#N/A</v>
      </c>
      <c r="X113">
        <f>VLOOKUP(B113,[1]제품리스트!$A$2:$F$1110,5,FALSE)</f>
        <v>20.399999999999999</v>
      </c>
      <c r="Y113" s="19">
        <f t="shared" si="9"/>
        <v>0</v>
      </c>
    </row>
    <row r="114" spans="1:25" hidden="1" x14ac:dyDescent="0.3">
      <c r="A114" s="5"/>
      <c r="B114" s="6">
        <v>72701338</v>
      </c>
      <c r="C114" t="s">
        <v>133</v>
      </c>
      <c r="D114" s="7">
        <v>0</v>
      </c>
      <c r="E114" s="8">
        <v>0</v>
      </c>
      <c r="F114" s="8">
        <v>-3</v>
      </c>
      <c r="G114" s="8">
        <v>0</v>
      </c>
      <c r="H114" s="8">
        <v>-11</v>
      </c>
      <c r="I114" s="8">
        <v>-3</v>
      </c>
      <c r="J114" s="8">
        <v>-7</v>
      </c>
      <c r="K114" s="8">
        <v>0</v>
      </c>
      <c r="L114" s="8">
        <v>0</v>
      </c>
      <c r="M114" s="8"/>
      <c r="N114" s="8">
        <v>0</v>
      </c>
      <c r="O114" s="8"/>
      <c r="P114" s="8">
        <v>-24</v>
      </c>
      <c r="Q114" s="23" t="str">
        <f>VLOOKUP(B114,[1]제품리스트!$A$2:$J$1000,10,FALSE)</f>
        <v>#338-Collector Edition  Squadron</v>
      </c>
      <c r="R114" s="17">
        <f t="shared" si="5"/>
        <v>-2.1818181818181817</v>
      </c>
      <c r="S114" s="19">
        <f t="shared" si="6"/>
        <v>0.1818181818181818</v>
      </c>
      <c r="T114" s="21">
        <f t="shared" si="7"/>
        <v>0.54545454545454541</v>
      </c>
      <c r="U114" s="19" t="e">
        <f>VLOOKUP(B114,[1]재고수량!$A$13:$D$651,3,FALSE)</f>
        <v>#N/A</v>
      </c>
      <c r="V114" s="21" t="e">
        <f t="shared" si="8"/>
        <v>#N/A</v>
      </c>
      <c r="X114">
        <f>VLOOKUP(B114,[1]제품리스트!$A$2:$F$1110,5,FALSE)</f>
        <v>20.399999999999999</v>
      </c>
      <c r="Y114" s="19">
        <f t="shared" si="9"/>
        <v>0</v>
      </c>
    </row>
    <row r="115" spans="1:25" hidden="1" x14ac:dyDescent="0.3">
      <c r="A115" s="5"/>
      <c r="B115" s="6">
        <v>72701339</v>
      </c>
      <c r="C115" t="s">
        <v>134</v>
      </c>
      <c r="D115" s="7">
        <v>-3</v>
      </c>
      <c r="E115" s="8">
        <v>-6</v>
      </c>
      <c r="F115" s="8">
        <v>-12</v>
      </c>
      <c r="G115" s="8">
        <v>-3</v>
      </c>
      <c r="H115" s="8">
        <v>-14</v>
      </c>
      <c r="I115" s="8">
        <v>-10</v>
      </c>
      <c r="J115" s="8">
        <v>-1</v>
      </c>
      <c r="K115" s="8">
        <v>-5</v>
      </c>
      <c r="L115" s="8">
        <v>-4</v>
      </c>
      <c r="M115" s="8">
        <v>-13</v>
      </c>
      <c r="N115" s="8">
        <v>-13</v>
      </c>
      <c r="O115" s="8"/>
      <c r="P115" s="8">
        <v>-84</v>
      </c>
      <c r="Q115" s="23" t="str">
        <f>VLOOKUP(B115,[1]제품리스트!$A$2:$J$1000,10,FALSE)</f>
        <v>#339-Collector Edition  French Blue</v>
      </c>
      <c r="R115" s="17">
        <f t="shared" si="5"/>
        <v>-7.6363636363636367</v>
      </c>
      <c r="S115" s="19">
        <f t="shared" si="6"/>
        <v>0.63636363636363635</v>
      </c>
      <c r="T115" s="21">
        <f t="shared" si="7"/>
        <v>1.9090909090909092</v>
      </c>
      <c r="U115" s="19" t="e">
        <f>VLOOKUP(B115,[1]재고수량!$A$13:$D$651,3,FALSE)</f>
        <v>#N/A</v>
      </c>
      <c r="V115" s="21" t="e">
        <f t="shared" si="8"/>
        <v>#N/A</v>
      </c>
      <c r="X115">
        <f>VLOOKUP(B115,[1]제품리스트!$A$2:$F$1110,5,FALSE)</f>
        <v>20.399999999999999</v>
      </c>
      <c r="Y115" s="19">
        <f t="shared" si="9"/>
        <v>0</v>
      </c>
    </row>
    <row r="116" spans="1:25" hidden="1" x14ac:dyDescent="0.3">
      <c r="A116" s="5"/>
      <c r="B116" s="6">
        <v>72701341</v>
      </c>
      <c r="C116" t="s">
        <v>135</v>
      </c>
      <c r="D116" s="7">
        <v>-9</v>
      </c>
      <c r="E116" s="8">
        <v>-5</v>
      </c>
      <c r="F116" s="8">
        <v>-21</v>
      </c>
      <c r="G116" s="8">
        <v>-3</v>
      </c>
      <c r="H116" s="8">
        <v>-18</v>
      </c>
      <c r="I116" s="8">
        <v>-8</v>
      </c>
      <c r="J116" s="8">
        <v>-17</v>
      </c>
      <c r="K116" s="8">
        <v>-1</v>
      </c>
      <c r="L116" s="8">
        <v>-17</v>
      </c>
      <c r="M116" s="8">
        <v>-15</v>
      </c>
      <c r="N116" s="8">
        <v>-9</v>
      </c>
      <c r="O116" s="8"/>
      <c r="P116" s="8">
        <v>-123</v>
      </c>
      <c r="Q116" s="23" t="str">
        <f>VLOOKUP(B116,[1]제품리스트!$A$2:$J$1000,10,FALSE)</f>
        <v>#341-Collector Edition  gamma Blue</v>
      </c>
      <c r="R116" s="17">
        <f t="shared" si="5"/>
        <v>-11.181818181818182</v>
      </c>
      <c r="S116" s="19">
        <f t="shared" si="6"/>
        <v>0.93181818181818177</v>
      </c>
      <c r="T116" s="21">
        <f t="shared" si="7"/>
        <v>2.7954545454545454</v>
      </c>
      <c r="U116" s="19" t="e">
        <f>VLOOKUP(B116,[1]재고수량!$A$13:$D$651,3,FALSE)</f>
        <v>#N/A</v>
      </c>
      <c r="V116" s="21" t="e">
        <f t="shared" si="8"/>
        <v>#N/A</v>
      </c>
      <c r="X116">
        <f>VLOOKUP(B116,[1]제품리스트!$A$2:$F$1110,5,FALSE)</f>
        <v>20.399999999999999</v>
      </c>
      <c r="Y116" s="19">
        <f t="shared" si="9"/>
        <v>0</v>
      </c>
    </row>
    <row r="117" spans="1:25" hidden="1" x14ac:dyDescent="0.3">
      <c r="A117" s="5"/>
      <c r="B117" s="6">
        <v>72701342</v>
      </c>
      <c r="C117" t="s">
        <v>136</v>
      </c>
      <c r="D117" s="7">
        <v>-4</v>
      </c>
      <c r="E117" s="8">
        <v>-21</v>
      </c>
      <c r="F117" s="8">
        <v>-6</v>
      </c>
      <c r="G117" s="8">
        <v>-7</v>
      </c>
      <c r="H117" s="8">
        <v>-23</v>
      </c>
      <c r="I117" s="8">
        <v>-12</v>
      </c>
      <c r="J117" s="8">
        <v>-6</v>
      </c>
      <c r="K117" s="8">
        <v>-7</v>
      </c>
      <c r="L117" s="8">
        <v>0</v>
      </c>
      <c r="M117" s="8">
        <v>-13</v>
      </c>
      <c r="N117" s="8">
        <v>-11</v>
      </c>
      <c r="O117" s="8"/>
      <c r="P117" s="8">
        <v>-110</v>
      </c>
      <c r="Q117" s="23" t="str">
        <f>VLOOKUP(B117,[1]제품리스트!$A$2:$J$1000,10,FALSE)</f>
        <v>#342-Collector Edition  Joker Green</v>
      </c>
      <c r="R117" s="17">
        <f t="shared" si="5"/>
        <v>-10</v>
      </c>
      <c r="S117" s="19">
        <f t="shared" si="6"/>
        <v>0.83333333333333337</v>
      </c>
      <c r="T117" s="21">
        <f t="shared" si="7"/>
        <v>2.5</v>
      </c>
      <c r="U117" s="19" t="e">
        <f>VLOOKUP(B117,[1]재고수량!$A$13:$D$651,3,FALSE)</f>
        <v>#N/A</v>
      </c>
      <c r="V117" s="21" t="e">
        <f t="shared" si="8"/>
        <v>#N/A</v>
      </c>
      <c r="X117">
        <f>VLOOKUP(B117,[1]제품리스트!$A$2:$F$1110,5,FALSE)</f>
        <v>20.399999999999999</v>
      </c>
      <c r="Y117" s="19">
        <f t="shared" si="9"/>
        <v>0</v>
      </c>
    </row>
    <row r="118" spans="1:25" hidden="1" x14ac:dyDescent="0.3">
      <c r="A118" s="5"/>
      <c r="B118" s="6">
        <v>72701343</v>
      </c>
      <c r="C118" t="s">
        <v>137</v>
      </c>
      <c r="D118" s="7">
        <v>-24</v>
      </c>
      <c r="E118" s="8">
        <v>-9</v>
      </c>
      <c r="F118" s="8">
        <v>-40</v>
      </c>
      <c r="G118" s="8">
        <v>-2</v>
      </c>
      <c r="H118" s="8">
        <v>-39</v>
      </c>
      <c r="I118" s="8">
        <v>-1</v>
      </c>
      <c r="J118" s="8">
        <v>-37</v>
      </c>
      <c r="K118" s="8">
        <v>-17</v>
      </c>
      <c r="L118" s="8">
        <v>-11</v>
      </c>
      <c r="M118" s="8">
        <v>-36</v>
      </c>
      <c r="N118" s="8">
        <v>-4</v>
      </c>
      <c r="O118" s="8"/>
      <c r="P118" s="8">
        <v>-220</v>
      </c>
      <c r="Q118" s="23" t="str">
        <f>VLOOKUP(B118,[1]제품리스트!$A$2:$J$1000,10,FALSE)</f>
        <v>#343-Collector Edition Tour Yellow</v>
      </c>
      <c r="R118" s="17">
        <f t="shared" si="5"/>
        <v>-20</v>
      </c>
      <c r="S118" s="19">
        <f t="shared" si="6"/>
        <v>1.6666666666666667</v>
      </c>
      <c r="T118" s="21">
        <f t="shared" si="7"/>
        <v>5</v>
      </c>
      <c r="U118" s="19" t="e">
        <f>VLOOKUP(B118,[1]재고수량!$A$13:$D$651,3,FALSE)</f>
        <v>#N/A</v>
      </c>
      <c r="V118" s="21" t="e">
        <f t="shared" si="8"/>
        <v>#N/A</v>
      </c>
      <c r="X118">
        <f>VLOOKUP(B118,[1]제품리스트!$A$2:$F$1110,5,FALSE)</f>
        <v>20.399999999999999</v>
      </c>
      <c r="Y118" s="19">
        <f t="shared" si="9"/>
        <v>0</v>
      </c>
    </row>
    <row r="119" spans="1:25" hidden="1" x14ac:dyDescent="0.3">
      <c r="A119" s="5"/>
      <c r="B119" s="6">
        <v>72701344</v>
      </c>
      <c r="C119" t="s">
        <v>138</v>
      </c>
      <c r="D119" s="7">
        <v>-14</v>
      </c>
      <c r="E119" s="8">
        <v>-17</v>
      </c>
      <c r="F119" s="8">
        <v>-28</v>
      </c>
      <c r="G119" s="8">
        <v>-18</v>
      </c>
      <c r="H119" s="8">
        <v>-29</v>
      </c>
      <c r="I119" s="8">
        <v>-8</v>
      </c>
      <c r="J119" s="8">
        <v>-21</v>
      </c>
      <c r="K119" s="8">
        <v>-30</v>
      </c>
      <c r="L119" s="8">
        <v>-4</v>
      </c>
      <c r="M119" s="8">
        <v>-35</v>
      </c>
      <c r="N119" s="8">
        <v>-10</v>
      </c>
      <c r="O119" s="8"/>
      <c r="P119" s="8">
        <v>-214</v>
      </c>
      <c r="Q119" s="23" t="str">
        <f>VLOOKUP(B119,[1]제품리스트!$A$2:$J$1000,10,FALSE)</f>
        <v>#344-Collector Edition  Thunder Yellow</v>
      </c>
      <c r="R119" s="17">
        <f t="shared" si="5"/>
        <v>-19.454545454545453</v>
      </c>
      <c r="S119" s="19">
        <f t="shared" si="6"/>
        <v>1.6212121212121211</v>
      </c>
      <c r="T119" s="21">
        <f t="shared" si="7"/>
        <v>4.8636363636363633</v>
      </c>
      <c r="U119" s="19" t="e">
        <f>VLOOKUP(B119,[1]재고수량!$A$13:$D$651,3,FALSE)</f>
        <v>#N/A</v>
      </c>
      <c r="V119" s="21" t="e">
        <f t="shared" si="8"/>
        <v>#N/A</v>
      </c>
      <c r="X119">
        <f>VLOOKUP(B119,[1]제품리스트!$A$2:$F$1110,5,FALSE)</f>
        <v>20.399999999999999</v>
      </c>
      <c r="Y119" s="19">
        <f t="shared" si="9"/>
        <v>0</v>
      </c>
    </row>
    <row r="120" spans="1:25" hidden="1" x14ac:dyDescent="0.3">
      <c r="A120" s="5"/>
      <c r="B120" s="6">
        <v>72701345</v>
      </c>
      <c r="C120" t="s">
        <v>139</v>
      </c>
      <c r="D120" s="7">
        <v>-19</v>
      </c>
      <c r="E120" s="8">
        <v>0</v>
      </c>
      <c r="F120" s="8">
        <v>-17</v>
      </c>
      <c r="G120" s="8">
        <v>-31</v>
      </c>
      <c r="H120" s="8">
        <v>-17</v>
      </c>
      <c r="I120" s="8">
        <v>-3</v>
      </c>
      <c r="J120" s="8">
        <v>-20</v>
      </c>
      <c r="K120" s="8">
        <v>-10</v>
      </c>
      <c r="L120" s="8">
        <v>-5</v>
      </c>
      <c r="M120" s="8">
        <v>-12</v>
      </c>
      <c r="N120" s="8">
        <v>-9</v>
      </c>
      <c r="O120" s="8"/>
      <c r="P120" s="8">
        <v>-143</v>
      </c>
      <c r="Q120" s="23" t="str">
        <f>VLOOKUP(B120,[1]제품리스트!$A$2:$J$1000,10,FALSE)</f>
        <v>#345-Collector Edition  InfraRed 2014</v>
      </c>
      <c r="R120" s="17">
        <f t="shared" si="5"/>
        <v>-13</v>
      </c>
      <c r="S120" s="19">
        <f t="shared" si="6"/>
        <v>1.0833333333333333</v>
      </c>
      <c r="T120" s="21">
        <f t="shared" si="7"/>
        <v>3.25</v>
      </c>
      <c r="U120" s="19" t="e">
        <f>VLOOKUP(B120,[1]재고수량!$A$13:$D$651,3,FALSE)</f>
        <v>#N/A</v>
      </c>
      <c r="V120" s="21" t="e">
        <f t="shared" si="8"/>
        <v>#N/A</v>
      </c>
      <c r="X120">
        <f>VLOOKUP(B120,[1]제품리스트!$A$2:$F$1110,5,FALSE)</f>
        <v>20.399999999999999</v>
      </c>
      <c r="Y120" s="19">
        <f t="shared" si="9"/>
        <v>0</v>
      </c>
    </row>
    <row r="121" spans="1:25" hidden="1" x14ac:dyDescent="0.3">
      <c r="A121" s="5"/>
      <c r="B121" s="6">
        <v>72701346</v>
      </c>
      <c r="C121" t="s">
        <v>140</v>
      </c>
      <c r="D121" s="7">
        <v>5</v>
      </c>
      <c r="E121" s="8">
        <v>-39</v>
      </c>
      <c r="F121" s="8">
        <v>-9</v>
      </c>
      <c r="G121" s="8">
        <v>-5</v>
      </c>
      <c r="H121" s="8">
        <v>-29</v>
      </c>
      <c r="I121" s="8">
        <v>-6</v>
      </c>
      <c r="J121" s="8">
        <v>0</v>
      </c>
      <c r="K121" s="8">
        <v>0</v>
      </c>
      <c r="L121" s="8">
        <v>-20</v>
      </c>
      <c r="M121" s="8">
        <v>-24</v>
      </c>
      <c r="N121" s="8">
        <v>-11</v>
      </c>
      <c r="O121" s="8"/>
      <c r="P121" s="8">
        <v>-138</v>
      </c>
      <c r="Q121" s="23">
        <f>VLOOKUP(B121,[1]제품리스트!$A$2:$J$1000,10,FALSE)</f>
        <v>0</v>
      </c>
      <c r="R121" s="17">
        <f t="shared" si="5"/>
        <v>-12.545454545454545</v>
      </c>
      <c r="S121" s="19">
        <f t="shared" si="6"/>
        <v>1.0454545454545454</v>
      </c>
      <c r="T121" s="21">
        <f t="shared" si="7"/>
        <v>3.1363636363636362</v>
      </c>
      <c r="U121" s="19" t="e">
        <f>VLOOKUP(B121,[1]재고수량!$A$13:$D$651,3,FALSE)</f>
        <v>#N/A</v>
      </c>
      <c r="V121" s="21" t="e">
        <f t="shared" si="8"/>
        <v>#N/A</v>
      </c>
      <c r="X121">
        <f>VLOOKUP(B121,[1]제품리스트!$A$2:$F$1110,5,FALSE)</f>
        <v>20.399999999999999</v>
      </c>
      <c r="Y121" s="19">
        <f t="shared" si="9"/>
        <v>0</v>
      </c>
    </row>
    <row r="122" spans="1:25" hidden="1" x14ac:dyDescent="0.3">
      <c r="A122" s="5"/>
      <c r="B122" s="6">
        <v>72701347</v>
      </c>
      <c r="C122" t="s">
        <v>141</v>
      </c>
      <c r="D122" s="7"/>
      <c r="E122" s="8">
        <v>-10</v>
      </c>
      <c r="F122" s="8">
        <v>-3</v>
      </c>
      <c r="G122" s="8">
        <v>-7</v>
      </c>
      <c r="H122" s="8">
        <v>-21</v>
      </c>
      <c r="I122" s="8">
        <v>-18</v>
      </c>
      <c r="J122" s="8">
        <v>0</v>
      </c>
      <c r="K122" s="8">
        <v>0</v>
      </c>
      <c r="L122" s="8">
        <v>-16</v>
      </c>
      <c r="M122" s="8">
        <v>-25</v>
      </c>
      <c r="N122" s="8">
        <v>-5</v>
      </c>
      <c r="O122" s="8"/>
      <c r="P122" s="8">
        <v>-105</v>
      </c>
      <c r="Q122" s="23">
        <f>VLOOKUP(B122,[1]제품리스트!$A$2:$J$1000,10,FALSE)</f>
        <v>0</v>
      </c>
      <c r="R122" s="17">
        <f t="shared" si="5"/>
        <v>-9.545454545454545</v>
      </c>
      <c r="S122" s="19">
        <f t="shared" si="6"/>
        <v>0.79545454545454541</v>
      </c>
      <c r="T122" s="21">
        <f t="shared" si="7"/>
        <v>2.3863636363636362</v>
      </c>
      <c r="U122" s="19" t="e">
        <f>VLOOKUP(B122,[1]재고수량!$A$13:$D$651,3,FALSE)</f>
        <v>#N/A</v>
      </c>
      <c r="V122" s="21" t="e">
        <f t="shared" si="8"/>
        <v>#N/A</v>
      </c>
      <c r="X122">
        <f>VLOOKUP(B122,[1]제품리스트!$A$2:$F$1110,5,FALSE)</f>
        <v>20.399999999999999</v>
      </c>
      <c r="Y122" s="19">
        <f t="shared" si="9"/>
        <v>0</v>
      </c>
    </row>
    <row r="123" spans="1:25" hidden="1" x14ac:dyDescent="0.3">
      <c r="A123" s="9"/>
      <c r="B123" s="6">
        <v>72701348</v>
      </c>
      <c r="C123" t="s">
        <v>142</v>
      </c>
      <c r="D123" s="7"/>
      <c r="E123" s="8">
        <v>-22</v>
      </c>
      <c r="F123" s="8">
        <v>-3</v>
      </c>
      <c r="G123" s="8">
        <v>-3</v>
      </c>
      <c r="H123" s="8">
        <v>-22</v>
      </c>
      <c r="I123" s="8">
        <v>-14</v>
      </c>
      <c r="J123" s="8">
        <v>-2</v>
      </c>
      <c r="K123" s="8">
        <v>-4</v>
      </c>
      <c r="L123" s="8">
        <v>-8</v>
      </c>
      <c r="M123" s="8">
        <v>-17</v>
      </c>
      <c r="N123" s="8">
        <v>-7</v>
      </c>
      <c r="O123" s="8"/>
      <c r="P123" s="8">
        <v>-102</v>
      </c>
      <c r="Q123" s="23">
        <f>VLOOKUP(B123,[1]제품리스트!$A$2:$J$1000,10,FALSE)</f>
        <v>0</v>
      </c>
      <c r="R123" s="17">
        <f t="shared" si="5"/>
        <v>-9.2727272727272734</v>
      </c>
      <c r="S123" s="19">
        <f t="shared" si="6"/>
        <v>0.77272727272727282</v>
      </c>
      <c r="T123" s="21">
        <f t="shared" si="7"/>
        <v>2.3181818181818183</v>
      </c>
      <c r="U123" s="19" t="e">
        <f>VLOOKUP(B123,[1]재고수량!$A$13:$D$651,3,FALSE)</f>
        <v>#N/A</v>
      </c>
      <c r="V123" s="21" t="e">
        <f t="shared" si="8"/>
        <v>#N/A</v>
      </c>
      <c r="X123">
        <f>VLOOKUP(B123,[1]제품리스트!$A$2:$F$1110,5,FALSE)</f>
        <v>20.399999999999999</v>
      </c>
      <c r="Y123" s="19">
        <f t="shared" si="9"/>
        <v>0</v>
      </c>
    </row>
    <row r="124" spans="1:25" hidden="1" x14ac:dyDescent="0.3">
      <c r="A124" s="5" t="s">
        <v>143</v>
      </c>
      <c r="B124" s="6">
        <v>72501120</v>
      </c>
      <c r="C124" t="s">
        <v>144</v>
      </c>
      <c r="D124" s="7">
        <v>-6</v>
      </c>
      <c r="E124" s="8">
        <v>-14</v>
      </c>
      <c r="F124" s="8">
        <v>-14</v>
      </c>
      <c r="G124" s="8">
        <v>-6</v>
      </c>
      <c r="H124" s="8">
        <v>-15</v>
      </c>
      <c r="I124" s="8">
        <v>-15</v>
      </c>
      <c r="J124" s="8">
        <v>-20</v>
      </c>
      <c r="K124" s="8">
        <v>-20</v>
      </c>
      <c r="L124" s="8">
        <v>-11</v>
      </c>
      <c r="M124" s="8">
        <v>-16</v>
      </c>
      <c r="N124" s="8">
        <v>-3</v>
      </c>
      <c r="O124" s="8"/>
      <c r="P124" s="8">
        <v>-140</v>
      </c>
      <c r="Q124" s="23" t="str">
        <f>VLOOKUP(B124,[1]제품리스트!$A$2:$J$1000,10,FALSE)</f>
        <v>#120-Neon Acrylic Leather Paint Rio Red</v>
      </c>
      <c r="R124" s="17">
        <f t="shared" si="5"/>
        <v>-12.727272727272727</v>
      </c>
      <c r="S124" s="19">
        <f t="shared" si="6"/>
        <v>1.0606060606060606</v>
      </c>
      <c r="T124" s="21">
        <f t="shared" si="7"/>
        <v>3.1818181818181817</v>
      </c>
      <c r="U124" s="19" t="e">
        <f>VLOOKUP(B124,[1]재고수량!$A$13:$D$651,3,FALSE)</f>
        <v>#N/A</v>
      </c>
      <c r="V124" s="21" t="e">
        <f t="shared" si="8"/>
        <v>#N/A</v>
      </c>
      <c r="X124">
        <f>VLOOKUP(B124,[1]제품리스트!$A$2:$F$1110,5,FALSE)</f>
        <v>16.8</v>
      </c>
      <c r="Y124" s="19">
        <f t="shared" si="9"/>
        <v>0</v>
      </c>
    </row>
    <row r="125" spans="1:25" hidden="1" x14ac:dyDescent="0.3">
      <c r="A125" s="5"/>
      <c r="B125" s="6">
        <v>72501121</v>
      </c>
      <c r="C125" t="s">
        <v>145</v>
      </c>
      <c r="D125" s="7">
        <v>-6</v>
      </c>
      <c r="E125" s="8">
        <v>-8</v>
      </c>
      <c r="F125" s="8">
        <v>-23</v>
      </c>
      <c r="G125" s="8">
        <v>-26</v>
      </c>
      <c r="H125" s="8">
        <v>-6</v>
      </c>
      <c r="I125" s="8">
        <v>-18</v>
      </c>
      <c r="J125" s="8">
        <v>-30</v>
      </c>
      <c r="K125" s="8">
        <v>-21</v>
      </c>
      <c r="L125" s="8">
        <v>-16</v>
      </c>
      <c r="M125" s="8">
        <v>-13</v>
      </c>
      <c r="N125" s="8">
        <v>-11</v>
      </c>
      <c r="O125" s="8"/>
      <c r="P125" s="8">
        <v>-178</v>
      </c>
      <c r="Q125" s="23" t="str">
        <f>VLOOKUP(B125,[1]제품리스트!$A$2:$J$1000,10,FALSE)</f>
        <v>#121-Neon Acrylic Leather Paint TahitianPink</v>
      </c>
      <c r="R125" s="17">
        <f t="shared" si="5"/>
        <v>-16.181818181818183</v>
      </c>
      <c r="S125" s="19">
        <f t="shared" si="6"/>
        <v>1.3484848484848486</v>
      </c>
      <c r="T125" s="21">
        <f t="shared" si="7"/>
        <v>4.0454545454545459</v>
      </c>
      <c r="U125" s="19" t="e">
        <f>VLOOKUP(B125,[1]재고수량!$A$13:$D$651,3,FALSE)</f>
        <v>#N/A</v>
      </c>
      <c r="V125" s="21" t="e">
        <f t="shared" si="8"/>
        <v>#N/A</v>
      </c>
      <c r="X125">
        <f>VLOOKUP(B125,[1]제품리스트!$A$2:$F$1110,5,FALSE)</f>
        <v>16.8</v>
      </c>
      <c r="Y125" s="19">
        <f t="shared" si="9"/>
        <v>0</v>
      </c>
    </row>
    <row r="126" spans="1:25" hidden="1" x14ac:dyDescent="0.3">
      <c r="A126" s="5"/>
      <c r="B126" s="6">
        <v>72501122</v>
      </c>
      <c r="C126" t="s">
        <v>146</v>
      </c>
      <c r="D126" s="7">
        <v>-4</v>
      </c>
      <c r="E126" s="8">
        <v>-11</v>
      </c>
      <c r="F126" s="8">
        <v>-12</v>
      </c>
      <c r="G126" s="8">
        <v>-21</v>
      </c>
      <c r="H126" s="8">
        <v>-6</v>
      </c>
      <c r="I126" s="8">
        <v>-9</v>
      </c>
      <c r="J126" s="8">
        <v>-19</v>
      </c>
      <c r="K126" s="8">
        <v>-52</v>
      </c>
      <c r="L126" s="8">
        <v>29</v>
      </c>
      <c r="M126" s="8">
        <v>-11</v>
      </c>
      <c r="N126" s="8">
        <v>-18</v>
      </c>
      <c r="O126" s="8"/>
      <c r="P126" s="8">
        <v>-134</v>
      </c>
      <c r="Q126" s="23" t="str">
        <f>VLOOKUP(B126,[1]제품리스트!$A$2:$J$1000,10,FALSE)</f>
        <v>#122-Neon Acrylic Leather Paint JamaicanJoyPink</v>
      </c>
      <c r="R126" s="17">
        <f t="shared" si="5"/>
        <v>-12.181818181818182</v>
      </c>
      <c r="S126" s="19">
        <f t="shared" si="6"/>
        <v>1.0151515151515151</v>
      </c>
      <c r="T126" s="21">
        <f t="shared" si="7"/>
        <v>3.0454545454545454</v>
      </c>
      <c r="U126" s="19" t="e">
        <f>VLOOKUP(B126,[1]재고수량!$A$13:$D$651,3,FALSE)</f>
        <v>#N/A</v>
      </c>
      <c r="V126" s="21" t="e">
        <f t="shared" si="8"/>
        <v>#N/A</v>
      </c>
      <c r="X126">
        <f>VLOOKUP(B126,[1]제품리스트!$A$2:$F$1110,5,FALSE)</f>
        <v>16.8</v>
      </c>
      <c r="Y126" s="19">
        <f t="shared" si="9"/>
        <v>0</v>
      </c>
    </row>
    <row r="127" spans="1:25" hidden="1" x14ac:dyDescent="0.3">
      <c r="A127" s="5"/>
      <c r="B127" s="6">
        <v>72501123</v>
      </c>
      <c r="C127" t="s">
        <v>147</v>
      </c>
      <c r="D127" s="7">
        <v>-6</v>
      </c>
      <c r="E127" s="8">
        <v>-9</v>
      </c>
      <c r="F127" s="8">
        <v>-16</v>
      </c>
      <c r="G127" s="8">
        <v>-19</v>
      </c>
      <c r="H127" s="8">
        <v>-8</v>
      </c>
      <c r="I127" s="8">
        <v>-20</v>
      </c>
      <c r="J127" s="8">
        <v>-36</v>
      </c>
      <c r="K127" s="8">
        <v>-41</v>
      </c>
      <c r="L127" s="8">
        <v>6</v>
      </c>
      <c r="M127" s="8">
        <v>-17</v>
      </c>
      <c r="N127" s="8">
        <v>-14</v>
      </c>
      <c r="O127" s="8"/>
      <c r="P127" s="8">
        <v>-180</v>
      </c>
      <c r="Q127" s="23" t="str">
        <f>VLOOKUP(B127,[1]제품리스트!$A$2:$J$1000,10,FALSE)</f>
        <v>#123-Neon Acrylic Leather Paint ParisianPink</v>
      </c>
      <c r="R127" s="17">
        <f t="shared" si="5"/>
        <v>-16.363636363636363</v>
      </c>
      <c r="S127" s="19">
        <f t="shared" si="6"/>
        <v>1.3636363636363635</v>
      </c>
      <c r="T127" s="21">
        <f t="shared" si="7"/>
        <v>4.0909090909090908</v>
      </c>
      <c r="U127" s="19" t="e">
        <f>VLOOKUP(B127,[1]재고수량!$A$13:$D$651,3,FALSE)</f>
        <v>#N/A</v>
      </c>
      <c r="V127" s="21" t="e">
        <f t="shared" si="8"/>
        <v>#N/A</v>
      </c>
      <c r="X127">
        <f>VLOOKUP(B127,[1]제품리스트!$A$2:$F$1110,5,FALSE)</f>
        <v>16.8</v>
      </c>
      <c r="Y127" s="19">
        <f t="shared" si="9"/>
        <v>0</v>
      </c>
    </row>
    <row r="128" spans="1:25" hidden="1" x14ac:dyDescent="0.3">
      <c r="A128" s="5"/>
      <c r="B128" s="6">
        <v>72501124</v>
      </c>
      <c r="C128" t="s">
        <v>148</v>
      </c>
      <c r="D128" s="7">
        <v>-2</v>
      </c>
      <c r="E128" s="8">
        <v>-16</v>
      </c>
      <c r="F128" s="8">
        <v>-14</v>
      </c>
      <c r="G128" s="8">
        <v>-12</v>
      </c>
      <c r="H128" s="8">
        <v>-18</v>
      </c>
      <c r="I128" s="8">
        <v>-8</v>
      </c>
      <c r="J128" s="8">
        <v>-31</v>
      </c>
      <c r="K128" s="8">
        <v>-64</v>
      </c>
      <c r="L128" s="8">
        <v>13</v>
      </c>
      <c r="M128" s="8">
        <v>-16</v>
      </c>
      <c r="N128" s="8">
        <v>-23</v>
      </c>
      <c r="O128" s="8"/>
      <c r="P128" s="8">
        <v>-191</v>
      </c>
      <c r="Q128" s="23" t="str">
        <f>VLOOKUP(B128,[1]제품리스트!$A$2:$J$1000,10,FALSE)</f>
        <v>#124-Neon Acrylic Leather Paint ParadisePurple</v>
      </c>
      <c r="R128" s="17">
        <f t="shared" si="5"/>
        <v>-17.363636363636363</v>
      </c>
      <c r="S128" s="19">
        <f t="shared" si="6"/>
        <v>1.446969696969697</v>
      </c>
      <c r="T128" s="21">
        <f t="shared" si="7"/>
        <v>4.3409090909090908</v>
      </c>
      <c r="U128" s="19" t="e">
        <f>VLOOKUP(B128,[1]재고수량!$A$13:$D$651,3,FALSE)</f>
        <v>#N/A</v>
      </c>
      <c r="V128" s="21" t="e">
        <f t="shared" si="8"/>
        <v>#N/A</v>
      </c>
      <c r="X128">
        <f>VLOOKUP(B128,[1]제품리스트!$A$2:$F$1110,5,FALSE)</f>
        <v>16.8</v>
      </c>
      <c r="Y128" s="19">
        <f t="shared" si="9"/>
        <v>0</v>
      </c>
    </row>
    <row r="129" spans="1:25" hidden="1" x14ac:dyDescent="0.3">
      <c r="A129" s="5"/>
      <c r="B129" s="6">
        <v>72501125</v>
      </c>
      <c r="C129" t="s">
        <v>149</v>
      </c>
      <c r="D129" s="7">
        <v>-7</v>
      </c>
      <c r="E129" s="8">
        <v>-10</v>
      </c>
      <c r="F129" s="8">
        <v>-13</v>
      </c>
      <c r="G129" s="8">
        <v>-6</v>
      </c>
      <c r="H129" s="8">
        <v>-11</v>
      </c>
      <c r="I129" s="8">
        <v>-7</v>
      </c>
      <c r="J129" s="8">
        <v>-23</v>
      </c>
      <c r="K129" s="8">
        <v>-19</v>
      </c>
      <c r="L129" s="8">
        <v>-14</v>
      </c>
      <c r="M129" s="8">
        <v>-14</v>
      </c>
      <c r="N129" s="8">
        <v>-14</v>
      </c>
      <c r="O129" s="8"/>
      <c r="P129" s="8">
        <v>-138</v>
      </c>
      <c r="Q129" s="23" t="str">
        <f>VLOOKUP(B129,[1]제품리스트!$A$2:$J$1000,10,FALSE)</f>
        <v>#125-Neon Acrylic Leather Paint AmazonGreen</v>
      </c>
      <c r="R129" s="17">
        <f t="shared" si="5"/>
        <v>-12.545454545454545</v>
      </c>
      <c r="S129" s="19">
        <f t="shared" si="6"/>
        <v>1.0454545454545454</v>
      </c>
      <c r="T129" s="21">
        <f t="shared" si="7"/>
        <v>3.1363636363636362</v>
      </c>
      <c r="U129" s="19" t="e">
        <f>VLOOKUP(B129,[1]재고수량!$A$13:$D$651,3,FALSE)</f>
        <v>#N/A</v>
      </c>
      <c r="V129" s="21" t="e">
        <f t="shared" si="8"/>
        <v>#N/A</v>
      </c>
      <c r="X129">
        <f>VLOOKUP(B129,[1]제품리스트!$A$2:$F$1110,5,FALSE)</f>
        <v>16.8</v>
      </c>
      <c r="Y129" s="19">
        <f t="shared" si="9"/>
        <v>0</v>
      </c>
    </row>
    <row r="130" spans="1:25" hidden="1" x14ac:dyDescent="0.3">
      <c r="A130" s="5"/>
      <c r="B130" s="6">
        <v>72501126</v>
      </c>
      <c r="C130" t="s">
        <v>150</v>
      </c>
      <c r="D130" s="7">
        <v>-24</v>
      </c>
      <c r="E130" s="8">
        <v>-23</v>
      </c>
      <c r="F130" s="8">
        <v>-22</v>
      </c>
      <c r="G130" s="8">
        <v>-29</v>
      </c>
      <c r="H130" s="8">
        <v>-6</v>
      </c>
      <c r="I130" s="8">
        <v>-36</v>
      </c>
      <c r="J130" s="8">
        <v>-18</v>
      </c>
      <c r="K130" s="8">
        <v>-35</v>
      </c>
      <c r="L130" s="8">
        <v>-17</v>
      </c>
      <c r="M130" s="8">
        <v>-12</v>
      </c>
      <c r="N130" s="8">
        <v>-6</v>
      </c>
      <c r="O130" s="8"/>
      <c r="P130" s="8">
        <v>-228</v>
      </c>
      <c r="Q130" s="23" t="str">
        <f>VLOOKUP(B130,[1]제품리스트!$A$2:$J$1000,10,FALSE)</f>
        <v>#126-Neon Acrylic Leather Pain PlposicleGreen</v>
      </c>
      <c r="R130" s="17">
        <f t="shared" si="5"/>
        <v>-20.727272727272727</v>
      </c>
      <c r="S130" s="19">
        <f t="shared" si="6"/>
        <v>1.7272727272727273</v>
      </c>
      <c r="T130" s="21">
        <f t="shared" si="7"/>
        <v>5.1818181818181817</v>
      </c>
      <c r="U130" s="19" t="e">
        <f>VLOOKUP(B130,[1]재고수량!$A$13:$D$651,3,FALSE)</f>
        <v>#N/A</v>
      </c>
      <c r="V130" s="21" t="e">
        <f t="shared" si="8"/>
        <v>#N/A</v>
      </c>
      <c r="X130">
        <f>VLOOKUP(B130,[1]제품리스트!$A$2:$F$1110,5,FALSE)</f>
        <v>16.8</v>
      </c>
      <c r="Y130" s="19">
        <f t="shared" si="9"/>
        <v>0</v>
      </c>
    </row>
    <row r="131" spans="1:25" hidden="1" x14ac:dyDescent="0.3">
      <c r="A131" s="5"/>
      <c r="B131" s="6">
        <v>72501127</v>
      </c>
      <c r="C131" t="s">
        <v>151</v>
      </c>
      <c r="D131" s="7">
        <v>-33</v>
      </c>
      <c r="E131" s="8">
        <v>-21</v>
      </c>
      <c r="F131" s="8">
        <v>-44</v>
      </c>
      <c r="G131" s="8">
        <v>-9</v>
      </c>
      <c r="H131" s="8">
        <v>-46</v>
      </c>
      <c r="I131" s="8">
        <v>-37</v>
      </c>
      <c r="J131" s="8">
        <v>-33</v>
      </c>
      <c r="K131" s="8">
        <v>-90</v>
      </c>
      <c r="L131" s="8">
        <v>11</v>
      </c>
      <c r="M131" s="8">
        <v>-47</v>
      </c>
      <c r="N131" s="8">
        <v>-41</v>
      </c>
      <c r="O131" s="8"/>
      <c r="P131" s="8">
        <v>-390</v>
      </c>
      <c r="Q131" s="23" t="str">
        <f>VLOOKUP(B131,[1]제품리스트!$A$2:$J$1000,10,FALSE)</f>
        <v>#127-Neon Acrylic Leather Paint TropicSunYellow</v>
      </c>
      <c r="R131" s="17">
        <f t="shared" si="5"/>
        <v>-35.454545454545453</v>
      </c>
      <c r="S131" s="19">
        <f t="shared" si="6"/>
        <v>2.9545454545454546</v>
      </c>
      <c r="T131" s="21">
        <f t="shared" si="7"/>
        <v>8.8636363636363633</v>
      </c>
      <c r="U131" s="19" t="e">
        <f>VLOOKUP(B131,[1]재고수량!$A$13:$D$651,3,FALSE)</f>
        <v>#N/A</v>
      </c>
      <c r="V131" s="21" t="e">
        <f t="shared" si="8"/>
        <v>#N/A</v>
      </c>
      <c r="X131">
        <f>VLOOKUP(B131,[1]제품리스트!$A$2:$F$1110,5,FALSE)</f>
        <v>16.8</v>
      </c>
      <c r="Y131" s="19">
        <f t="shared" si="9"/>
        <v>0</v>
      </c>
    </row>
    <row r="132" spans="1:25" hidden="1" x14ac:dyDescent="0.3">
      <c r="A132" s="5"/>
      <c r="B132" s="6">
        <v>72501128</v>
      </c>
      <c r="C132" t="s">
        <v>152</v>
      </c>
      <c r="D132" s="7">
        <v>-21</v>
      </c>
      <c r="E132" s="8">
        <v>-4</v>
      </c>
      <c r="F132" s="8">
        <v>-15</v>
      </c>
      <c r="G132" s="8">
        <v>-20</v>
      </c>
      <c r="H132" s="8">
        <v>-12</v>
      </c>
      <c r="I132" s="8">
        <v>-10</v>
      </c>
      <c r="J132" s="8">
        <v>-17</v>
      </c>
      <c r="K132" s="8">
        <v>-24</v>
      </c>
      <c r="L132" s="8">
        <v>-19</v>
      </c>
      <c r="M132" s="8">
        <v>-21</v>
      </c>
      <c r="N132" s="8">
        <v>-10</v>
      </c>
      <c r="O132" s="8"/>
      <c r="P132" s="8">
        <v>-173</v>
      </c>
      <c r="Q132" s="23" t="str">
        <f>VLOOKUP(B132,[1]제품리스트!$A$2:$J$1000,10,FALSE)</f>
        <v>#128-Neon Acrylic Leather Pain SunsetYellow</v>
      </c>
      <c r="R132" s="17">
        <f t="shared" si="5"/>
        <v>-15.727272727272727</v>
      </c>
      <c r="S132" s="19">
        <f t="shared" si="6"/>
        <v>1.3106060606060606</v>
      </c>
      <c r="T132" s="21">
        <f t="shared" si="7"/>
        <v>3.9318181818181817</v>
      </c>
      <c r="U132" s="19" t="e">
        <f>VLOOKUP(B132,[1]재고수량!$A$13:$D$651,3,FALSE)</f>
        <v>#N/A</v>
      </c>
      <c r="V132" s="21" t="e">
        <f t="shared" si="8"/>
        <v>#N/A</v>
      </c>
      <c r="X132">
        <f>VLOOKUP(B132,[1]제품리스트!$A$2:$F$1110,5,FALSE)</f>
        <v>16.8</v>
      </c>
      <c r="Y132" s="19">
        <f t="shared" si="9"/>
        <v>0</v>
      </c>
    </row>
    <row r="133" spans="1:25" hidden="1" x14ac:dyDescent="0.3">
      <c r="A133" s="5"/>
      <c r="B133" s="10">
        <v>72501129</v>
      </c>
      <c r="C133" t="s">
        <v>153</v>
      </c>
      <c r="D133" s="7">
        <v>-2</v>
      </c>
      <c r="E133" s="8">
        <v>-14</v>
      </c>
      <c r="F133" s="8">
        <v>-16</v>
      </c>
      <c r="G133" s="8">
        <v>-8</v>
      </c>
      <c r="H133" s="8">
        <v>-12</v>
      </c>
      <c r="I133" s="8">
        <v>-22</v>
      </c>
      <c r="J133" s="8">
        <v>-26</v>
      </c>
      <c r="K133" s="8">
        <v>-15</v>
      </c>
      <c r="L133" s="8">
        <v>-7</v>
      </c>
      <c r="M133" s="8">
        <v>-11</v>
      </c>
      <c r="N133" s="8">
        <v>-17</v>
      </c>
      <c r="O133" s="8"/>
      <c r="P133" s="8">
        <v>-150</v>
      </c>
      <c r="Q133" s="23" t="str">
        <f>VLOOKUP(B133,[1]제품리스트!$A$2:$J$1000,10,FALSE)</f>
        <v>#129-Neon Acrylic Leather Paint FlamingOrange</v>
      </c>
      <c r="R133" s="17">
        <f t="shared" si="5"/>
        <v>-13.636363636363637</v>
      </c>
      <c r="S133" s="19">
        <f t="shared" si="6"/>
        <v>1.1363636363636365</v>
      </c>
      <c r="T133" s="21">
        <f t="shared" si="7"/>
        <v>3.4090909090909092</v>
      </c>
      <c r="U133" s="19" t="e">
        <f>VLOOKUP(B133,[1]재고수량!$A$13:$D$651,3,FALSE)</f>
        <v>#N/A</v>
      </c>
      <c r="V133" s="21" t="e">
        <f t="shared" si="8"/>
        <v>#N/A</v>
      </c>
      <c r="X133">
        <f>VLOOKUP(B133,[1]제품리스트!$A$2:$F$1110,5,FALSE)</f>
        <v>16.8</v>
      </c>
      <c r="Y133" s="19">
        <f t="shared" si="9"/>
        <v>0</v>
      </c>
    </row>
    <row r="134" spans="1:25" hidden="1" x14ac:dyDescent="0.3">
      <c r="A134" s="5"/>
      <c r="B134" s="6">
        <v>72501130</v>
      </c>
      <c r="C134" t="s">
        <v>154</v>
      </c>
      <c r="D134" s="7">
        <v>-14</v>
      </c>
      <c r="E134" s="8">
        <v>-6</v>
      </c>
      <c r="F134" s="8">
        <v>-15</v>
      </c>
      <c r="G134" s="8">
        <v>-19</v>
      </c>
      <c r="H134" s="8">
        <v>-20</v>
      </c>
      <c r="I134" s="8">
        <v>-9</v>
      </c>
      <c r="J134" s="8">
        <v>-38</v>
      </c>
      <c r="K134" s="8">
        <v>-14</v>
      </c>
      <c r="L134" s="8">
        <v>-15</v>
      </c>
      <c r="M134" s="8">
        <v>-13</v>
      </c>
      <c r="N134" s="8">
        <v>-16</v>
      </c>
      <c r="O134" s="8"/>
      <c r="P134" s="8">
        <v>-179</v>
      </c>
      <c r="Q134" s="23" t="str">
        <f>VLOOKUP(B134,[1]제품리스트!$A$2:$J$1000,10,FALSE)</f>
        <v>#130-Neon Acrylic Leather Paint LavaOrange</v>
      </c>
      <c r="R134" s="17">
        <f t="shared" si="5"/>
        <v>-16.272727272727273</v>
      </c>
      <c r="S134" s="19">
        <f t="shared" si="6"/>
        <v>1.3560606060606062</v>
      </c>
      <c r="T134" s="21">
        <f t="shared" si="7"/>
        <v>4.0681818181818183</v>
      </c>
      <c r="U134" s="19" t="e">
        <f>VLOOKUP(B134,[1]재고수량!$A$13:$D$651,3,FALSE)</f>
        <v>#N/A</v>
      </c>
      <c r="V134" s="21" t="e">
        <f t="shared" si="8"/>
        <v>#N/A</v>
      </c>
      <c r="X134">
        <f>VLOOKUP(B134,[1]제품리스트!$A$2:$F$1110,5,FALSE)</f>
        <v>16.8</v>
      </c>
      <c r="Y134" s="19">
        <f t="shared" si="9"/>
        <v>0</v>
      </c>
    </row>
    <row r="135" spans="1:25" hidden="1" x14ac:dyDescent="0.3">
      <c r="A135" s="9"/>
      <c r="B135" s="6">
        <v>72501131</v>
      </c>
      <c r="C135" t="s">
        <v>155</v>
      </c>
      <c r="D135" s="7">
        <v>-6</v>
      </c>
      <c r="E135" s="8">
        <v>-5</v>
      </c>
      <c r="F135" s="8">
        <v>-30</v>
      </c>
      <c r="G135" s="8">
        <v>-13</v>
      </c>
      <c r="H135" s="8">
        <v>-24</v>
      </c>
      <c r="I135" s="8">
        <v>-23</v>
      </c>
      <c r="J135" s="8">
        <v>-22</v>
      </c>
      <c r="K135" s="8">
        <v>-24</v>
      </c>
      <c r="L135" s="8">
        <v>-19</v>
      </c>
      <c r="M135" s="8">
        <v>-11</v>
      </c>
      <c r="N135" s="8">
        <v>-16</v>
      </c>
      <c r="O135" s="8"/>
      <c r="P135" s="8">
        <v>-193</v>
      </c>
      <c r="Q135" s="23" t="str">
        <f>VLOOKUP(B135,[1]제품리스트!$A$2:$J$1000,10,FALSE)</f>
        <v>#131-Neon Acrylic Leather Paint BahamaBlue</v>
      </c>
      <c r="R135" s="17">
        <f t="shared" si="5"/>
        <v>-17.545454545454547</v>
      </c>
      <c r="S135" s="19">
        <f t="shared" si="6"/>
        <v>1.4621212121212122</v>
      </c>
      <c r="T135" s="21">
        <f t="shared" si="7"/>
        <v>4.3863636363636367</v>
      </c>
      <c r="U135" s="19" t="e">
        <f>VLOOKUP(B135,[1]재고수량!$A$13:$D$651,3,FALSE)</f>
        <v>#N/A</v>
      </c>
      <c r="V135" s="21" t="e">
        <f t="shared" si="8"/>
        <v>#N/A</v>
      </c>
      <c r="X135">
        <f>VLOOKUP(B135,[1]제품리스트!$A$2:$F$1110,5,FALSE)</f>
        <v>16.8</v>
      </c>
      <c r="Y135" s="19">
        <f t="shared" si="9"/>
        <v>0</v>
      </c>
    </row>
    <row r="136" spans="1:25" hidden="1" x14ac:dyDescent="0.3">
      <c r="A136" s="5" t="s">
        <v>156</v>
      </c>
      <c r="B136" s="6">
        <v>73301451</v>
      </c>
      <c r="C136" t="s">
        <v>157</v>
      </c>
      <c r="D136" s="7">
        <v>-22</v>
      </c>
      <c r="E136" s="8">
        <v>-10</v>
      </c>
      <c r="F136" s="8">
        <v>-21</v>
      </c>
      <c r="G136" s="8">
        <v>-5</v>
      </c>
      <c r="H136" s="8">
        <v>-11</v>
      </c>
      <c r="I136" s="8">
        <v>-8</v>
      </c>
      <c r="J136" s="8">
        <v>-7</v>
      </c>
      <c r="K136" s="8">
        <v>-9</v>
      </c>
      <c r="L136" s="8">
        <v>-4</v>
      </c>
      <c r="M136" s="8">
        <v>-16</v>
      </c>
      <c r="N136" s="8">
        <v>-17</v>
      </c>
      <c r="O136" s="8"/>
      <c r="P136" s="8">
        <v>-130</v>
      </c>
      <c r="Q136" s="23" t="str">
        <f>VLOOKUP(B136,[1]제품리스트!$A$2:$J$1000,10,FALSE)</f>
        <v>Pearlescent Paint Riot Red 1 oz.</v>
      </c>
      <c r="R136" s="17">
        <f t="shared" ref="R136:R199" si="10">P136/11</f>
        <v>-11.818181818181818</v>
      </c>
      <c r="S136" s="19">
        <f t="shared" ref="S136:S199" si="11">R136/-12</f>
        <v>0.98484848484848486</v>
      </c>
      <c r="T136" s="21">
        <f t="shared" ref="T136:T199" si="12">S136*3</f>
        <v>2.9545454545454546</v>
      </c>
      <c r="U136" s="19" t="e">
        <f>VLOOKUP(B136,[1]재고수량!$A$13:$D$651,3,FALSE)</f>
        <v>#N/A</v>
      </c>
      <c r="V136" s="21" t="e">
        <f t="shared" ref="V136:V199" si="13">U136/12</f>
        <v>#N/A</v>
      </c>
      <c r="X136">
        <f>VLOOKUP(B136,[1]제품리스트!$A$2:$F$1110,5,FALSE)</f>
        <v>18.600000000000001</v>
      </c>
      <c r="Y136" s="19">
        <f t="shared" ref="Y136:Y199" si="14">W136*X136</f>
        <v>0</v>
      </c>
    </row>
    <row r="137" spans="1:25" hidden="1" x14ac:dyDescent="0.3">
      <c r="A137" s="5"/>
      <c r="B137" s="6">
        <v>73301452</v>
      </c>
      <c r="C137" t="s">
        <v>158</v>
      </c>
      <c r="D137" s="7">
        <v>-28</v>
      </c>
      <c r="E137" s="8">
        <v>-16</v>
      </c>
      <c r="F137" s="8">
        <v>-10</v>
      </c>
      <c r="G137" s="8">
        <v>-6</v>
      </c>
      <c r="H137" s="8">
        <v>-13</v>
      </c>
      <c r="I137" s="8">
        <v>-6</v>
      </c>
      <c r="J137" s="8">
        <v>-13</v>
      </c>
      <c r="K137" s="8">
        <v>-6</v>
      </c>
      <c r="L137" s="8">
        <v>-8</v>
      </c>
      <c r="M137" s="8">
        <v>-12</v>
      </c>
      <c r="N137" s="8">
        <v>-14</v>
      </c>
      <c r="O137" s="8"/>
      <c r="P137" s="8">
        <v>-132</v>
      </c>
      <c r="Q137" s="23" t="str">
        <f>VLOOKUP(B137,[1]제품리스트!$A$2:$J$1000,10,FALSE)</f>
        <v>Pearlescent Paint Pacific Blue 1 oz.</v>
      </c>
      <c r="R137" s="17">
        <f t="shared" si="10"/>
        <v>-12</v>
      </c>
      <c r="S137" s="19">
        <f t="shared" si="11"/>
        <v>1</v>
      </c>
      <c r="T137" s="21">
        <f t="shared" si="12"/>
        <v>3</v>
      </c>
      <c r="U137" s="19" t="e">
        <f>VLOOKUP(B137,[1]재고수량!$A$13:$D$651,3,FALSE)</f>
        <v>#N/A</v>
      </c>
      <c r="V137" s="21" t="e">
        <f t="shared" si="13"/>
        <v>#N/A</v>
      </c>
      <c r="X137">
        <f>VLOOKUP(B137,[1]제품리스트!$A$2:$F$1110,5,FALSE)</f>
        <v>18.600000000000001</v>
      </c>
      <c r="Y137" s="19">
        <f t="shared" si="14"/>
        <v>0</v>
      </c>
    </row>
    <row r="138" spans="1:25" hidden="1" x14ac:dyDescent="0.3">
      <c r="A138" s="5"/>
      <c r="B138" s="6">
        <v>73301453</v>
      </c>
      <c r="C138" t="s">
        <v>159</v>
      </c>
      <c r="D138" s="7">
        <v>-26</v>
      </c>
      <c r="E138" s="8">
        <v>-13</v>
      </c>
      <c r="F138" s="8">
        <v>-21</v>
      </c>
      <c r="G138" s="8">
        <v>-7</v>
      </c>
      <c r="H138" s="8">
        <v>-13</v>
      </c>
      <c r="I138" s="8">
        <v>-11</v>
      </c>
      <c r="J138" s="8">
        <v>-4</v>
      </c>
      <c r="K138" s="8">
        <v>-13</v>
      </c>
      <c r="L138" s="8">
        <v>-19</v>
      </c>
      <c r="M138" s="8">
        <v>-11</v>
      </c>
      <c r="N138" s="8">
        <v>-11</v>
      </c>
      <c r="O138" s="8"/>
      <c r="P138" s="8">
        <v>-149</v>
      </c>
      <c r="Q138" s="23" t="str">
        <f>VLOOKUP(B138,[1]제품리스트!$A$2:$J$1000,10,FALSE)</f>
        <v>Pearlescent Paint Prince Purple 1 oz.</v>
      </c>
      <c r="R138" s="17">
        <f t="shared" si="10"/>
        <v>-13.545454545454545</v>
      </c>
      <c r="S138" s="19">
        <f t="shared" si="11"/>
        <v>1.1287878787878787</v>
      </c>
      <c r="T138" s="21">
        <f t="shared" si="12"/>
        <v>3.3863636363636358</v>
      </c>
      <c r="U138" s="19" t="e">
        <f>VLOOKUP(B138,[1]재고수량!$A$13:$D$651,3,FALSE)</f>
        <v>#N/A</v>
      </c>
      <c r="V138" s="21" t="e">
        <f t="shared" si="13"/>
        <v>#N/A</v>
      </c>
      <c r="X138">
        <f>VLOOKUP(B138,[1]제품리스트!$A$2:$F$1110,5,FALSE)</f>
        <v>18.600000000000001</v>
      </c>
      <c r="Y138" s="19">
        <f t="shared" si="14"/>
        <v>0</v>
      </c>
    </row>
    <row r="139" spans="1:25" hidden="1" x14ac:dyDescent="0.3">
      <c r="A139" s="5"/>
      <c r="B139" s="6">
        <v>73301454</v>
      </c>
      <c r="C139" t="s">
        <v>160</v>
      </c>
      <c r="D139" s="7">
        <v>-34</v>
      </c>
      <c r="E139" s="8">
        <v>-48</v>
      </c>
      <c r="F139" s="8">
        <v>-42</v>
      </c>
      <c r="G139" s="8">
        <v>-32</v>
      </c>
      <c r="H139" s="8">
        <v>-30</v>
      </c>
      <c r="I139" s="8">
        <v>-18</v>
      </c>
      <c r="J139" s="8">
        <v>-54</v>
      </c>
      <c r="K139" s="8">
        <v>-31</v>
      </c>
      <c r="L139" s="8">
        <v>-35</v>
      </c>
      <c r="M139" s="8">
        <v>-31</v>
      </c>
      <c r="N139" s="8">
        <v>-22</v>
      </c>
      <c r="O139" s="8"/>
      <c r="P139" s="8">
        <v>-377</v>
      </c>
      <c r="Q139" s="23" t="str">
        <f>VLOOKUP(B139,[1]제품리스트!$A$2:$J$1000,10,FALSE)</f>
        <v>Pearlescent Paint Sterling Silver 1 oz.</v>
      </c>
      <c r="R139" s="17">
        <f t="shared" si="10"/>
        <v>-34.272727272727273</v>
      </c>
      <c r="S139" s="19">
        <f t="shared" si="11"/>
        <v>2.856060606060606</v>
      </c>
      <c r="T139" s="21">
        <f t="shared" si="12"/>
        <v>8.5681818181818183</v>
      </c>
      <c r="U139" s="19" t="e">
        <f>VLOOKUP(B139,[1]재고수량!$A$13:$D$651,3,FALSE)</f>
        <v>#N/A</v>
      </c>
      <c r="V139" s="21" t="e">
        <f t="shared" si="13"/>
        <v>#N/A</v>
      </c>
      <c r="X139">
        <f>VLOOKUP(B139,[1]제품리스트!$A$2:$F$1110,5,FALSE)</f>
        <v>18.600000000000001</v>
      </c>
      <c r="Y139" s="19">
        <f t="shared" si="14"/>
        <v>0</v>
      </c>
    </row>
    <row r="140" spans="1:25" hidden="1" x14ac:dyDescent="0.3">
      <c r="A140" s="5"/>
      <c r="B140" s="6">
        <v>73301455</v>
      </c>
      <c r="C140" t="s">
        <v>161</v>
      </c>
      <c r="D140" s="7">
        <v>-47</v>
      </c>
      <c r="E140" s="8">
        <v>-51</v>
      </c>
      <c r="F140" s="8">
        <v>-72</v>
      </c>
      <c r="G140" s="8">
        <v>-35</v>
      </c>
      <c r="H140" s="8">
        <v>-56</v>
      </c>
      <c r="I140" s="8">
        <v>-20</v>
      </c>
      <c r="J140" s="8">
        <v>-63</v>
      </c>
      <c r="K140" s="8">
        <v>-52</v>
      </c>
      <c r="L140" s="8">
        <v>-42</v>
      </c>
      <c r="M140" s="8">
        <v>-73</v>
      </c>
      <c r="N140" s="8">
        <v>-48</v>
      </c>
      <c r="O140" s="8"/>
      <c r="P140" s="8">
        <v>-559</v>
      </c>
      <c r="Q140" s="23" t="str">
        <f>VLOOKUP(B140,[1]제품리스트!$A$2:$J$1000,10,FALSE)</f>
        <v>Pearlescent Paint 18K Gold 1 oz.</v>
      </c>
      <c r="R140" s="17">
        <f t="shared" si="10"/>
        <v>-50.81818181818182</v>
      </c>
      <c r="S140" s="19">
        <f t="shared" si="11"/>
        <v>4.2348484848484853</v>
      </c>
      <c r="T140" s="21">
        <f t="shared" si="12"/>
        <v>12.704545454545457</v>
      </c>
      <c r="U140" s="19" t="e">
        <f>VLOOKUP(B140,[1]재고수량!$A$13:$D$651,3,FALSE)</f>
        <v>#N/A</v>
      </c>
      <c r="V140" s="21" t="e">
        <f t="shared" si="13"/>
        <v>#N/A</v>
      </c>
      <c r="X140">
        <f>VLOOKUP(B140,[1]제품리스트!$A$2:$F$1110,5,FALSE)</f>
        <v>18.600000000000001</v>
      </c>
      <c r="Y140" s="19">
        <f t="shared" si="14"/>
        <v>0</v>
      </c>
    </row>
    <row r="141" spans="1:25" hidden="1" x14ac:dyDescent="0.3">
      <c r="A141" s="5"/>
      <c r="B141" s="6">
        <v>73301456</v>
      </c>
      <c r="C141" t="s">
        <v>162</v>
      </c>
      <c r="D141" s="7">
        <v>-1</v>
      </c>
      <c r="E141" s="8">
        <v>-24</v>
      </c>
      <c r="F141" s="8">
        <v>-28</v>
      </c>
      <c r="G141" s="8">
        <v>-13</v>
      </c>
      <c r="H141" s="8">
        <v>-16</v>
      </c>
      <c r="I141" s="8">
        <v>-8</v>
      </c>
      <c r="J141" s="8">
        <v>-15</v>
      </c>
      <c r="K141" s="8">
        <v>-20</v>
      </c>
      <c r="L141" s="8">
        <v>-12</v>
      </c>
      <c r="M141" s="8">
        <v>-8</v>
      </c>
      <c r="N141" s="8">
        <v>-29</v>
      </c>
      <c r="O141" s="8"/>
      <c r="P141" s="8">
        <v>-174</v>
      </c>
      <c r="Q141" s="23" t="str">
        <f>VLOOKUP(B141,[1]제품리스트!$A$2:$J$1000,10,FALSE)</f>
        <v>Pearlescent Paint Rose Gold 1 oz.</v>
      </c>
      <c r="R141" s="17">
        <f t="shared" si="10"/>
        <v>-15.818181818181818</v>
      </c>
      <c r="S141" s="19">
        <f t="shared" si="11"/>
        <v>1.3181818181818181</v>
      </c>
      <c r="T141" s="21">
        <f t="shared" si="12"/>
        <v>3.9545454545454541</v>
      </c>
      <c r="U141" s="19" t="e">
        <f>VLOOKUP(B141,[1]재고수량!$A$13:$D$651,3,FALSE)</f>
        <v>#N/A</v>
      </c>
      <c r="V141" s="21" t="e">
        <f t="shared" si="13"/>
        <v>#N/A</v>
      </c>
      <c r="X141">
        <f>VLOOKUP(B141,[1]제품리스트!$A$2:$F$1110,5,FALSE)</f>
        <v>18.600000000000001</v>
      </c>
      <c r="Y141" s="19">
        <f t="shared" si="14"/>
        <v>0</v>
      </c>
    </row>
    <row r="142" spans="1:25" hidden="1" x14ac:dyDescent="0.3">
      <c r="A142" s="9"/>
      <c r="B142" s="6">
        <v>73301457</v>
      </c>
      <c r="C142" t="s">
        <v>163</v>
      </c>
      <c r="D142" s="7">
        <v>-13</v>
      </c>
      <c r="E142" s="8">
        <v>-13</v>
      </c>
      <c r="F142" s="8">
        <v>-8</v>
      </c>
      <c r="G142" s="8">
        <v>-4</v>
      </c>
      <c r="H142" s="8">
        <v>-6</v>
      </c>
      <c r="I142" s="8">
        <v>-12</v>
      </c>
      <c r="J142" s="8">
        <v>-9</v>
      </c>
      <c r="K142" s="8">
        <v>-4</v>
      </c>
      <c r="L142" s="8">
        <v>-18</v>
      </c>
      <c r="M142" s="8">
        <v>-13</v>
      </c>
      <c r="N142" s="8">
        <v>-16</v>
      </c>
      <c r="O142" s="8"/>
      <c r="P142" s="8">
        <v>-116</v>
      </c>
      <c r="Q142" s="23" t="str">
        <f>VLOOKUP(B142,[1]제품리스트!$A$2:$J$1000,10,FALSE)</f>
        <v>Pearlescent Paint Emerald Green 1 oz.</v>
      </c>
      <c r="R142" s="17">
        <f t="shared" si="10"/>
        <v>-10.545454545454545</v>
      </c>
      <c r="S142" s="19">
        <f t="shared" si="11"/>
        <v>0.87878787878787878</v>
      </c>
      <c r="T142" s="21">
        <f t="shared" si="12"/>
        <v>2.6363636363636362</v>
      </c>
      <c r="U142" s="19" t="e">
        <f>VLOOKUP(B142,[1]재고수량!$A$13:$D$651,3,FALSE)</f>
        <v>#N/A</v>
      </c>
      <c r="V142" s="21" t="e">
        <f t="shared" si="13"/>
        <v>#N/A</v>
      </c>
      <c r="X142">
        <f>VLOOKUP(B142,[1]제품리스트!$A$2:$F$1110,5,FALSE)</f>
        <v>18.600000000000001</v>
      </c>
      <c r="Y142" s="19">
        <f t="shared" si="14"/>
        <v>0</v>
      </c>
    </row>
    <row r="143" spans="1:25" hidden="1" x14ac:dyDescent="0.3">
      <c r="A143" s="5" t="s">
        <v>164</v>
      </c>
      <c r="B143" s="6">
        <v>73001205</v>
      </c>
      <c r="C143" t="s">
        <v>165</v>
      </c>
      <c r="D143" s="7">
        <v>-3</v>
      </c>
      <c r="E143" s="8">
        <v>-7</v>
      </c>
      <c r="F143" s="8">
        <v>-8</v>
      </c>
      <c r="G143" s="8">
        <v>-3</v>
      </c>
      <c r="H143" s="8">
        <v>-8</v>
      </c>
      <c r="I143" s="8">
        <v>-20</v>
      </c>
      <c r="J143" s="8">
        <v>-15</v>
      </c>
      <c r="K143" s="8">
        <v>-15</v>
      </c>
      <c r="L143" s="8">
        <v>-7</v>
      </c>
      <c r="M143" s="8">
        <v>-9</v>
      </c>
      <c r="N143" s="8">
        <v>-10</v>
      </c>
      <c r="O143" s="8"/>
      <c r="P143" s="8">
        <v>-105</v>
      </c>
      <c r="Q143" s="23" t="str">
        <f>VLOOKUP(B143,[1]제품리스트!$A$2:$J$1000,10,FALSE)</f>
        <v>#205-Glitterlites White Sugar</v>
      </c>
      <c r="R143" s="17">
        <f t="shared" si="10"/>
        <v>-9.545454545454545</v>
      </c>
      <c r="S143" s="19">
        <f t="shared" si="11"/>
        <v>0.79545454545454541</v>
      </c>
      <c r="T143" s="21">
        <f t="shared" si="12"/>
        <v>2.3863636363636362</v>
      </c>
      <c r="U143" s="19" t="e">
        <f>VLOOKUP(B143,[1]재고수량!$A$13:$D$651,3,FALSE)</f>
        <v>#N/A</v>
      </c>
      <c r="V143" s="21" t="e">
        <f t="shared" si="13"/>
        <v>#N/A</v>
      </c>
      <c r="X143">
        <f>VLOOKUP(B143,[1]제품리스트!$A$2:$F$1110,5,FALSE)</f>
        <v>24</v>
      </c>
      <c r="Y143" s="19">
        <f t="shared" si="14"/>
        <v>0</v>
      </c>
    </row>
    <row r="144" spans="1:25" hidden="1" x14ac:dyDescent="0.3">
      <c r="A144" s="5"/>
      <c r="B144" s="6">
        <v>73001220</v>
      </c>
      <c r="C144" t="s">
        <v>166</v>
      </c>
      <c r="D144" s="7">
        <v>-23</v>
      </c>
      <c r="E144" s="8">
        <v>-11</v>
      </c>
      <c r="F144" s="8">
        <v>-15</v>
      </c>
      <c r="G144" s="8">
        <v>-10</v>
      </c>
      <c r="H144" s="8">
        <v>-23</v>
      </c>
      <c r="I144" s="8">
        <v>-13</v>
      </c>
      <c r="J144" s="8">
        <v>-38</v>
      </c>
      <c r="K144" s="8">
        <v>-16</v>
      </c>
      <c r="L144" s="8">
        <v>-12</v>
      </c>
      <c r="M144" s="8">
        <v>-16</v>
      </c>
      <c r="N144" s="8">
        <v>-1</v>
      </c>
      <c r="O144" s="8"/>
      <c r="P144" s="8">
        <v>-178</v>
      </c>
      <c r="Q144" s="23" t="str">
        <f>VLOOKUP(B144,[1]제품리스트!$A$2:$J$1000,10,FALSE)</f>
        <v>#220-Glitterlites Sky DesertGold</v>
      </c>
      <c r="R144" s="17">
        <f t="shared" si="10"/>
        <v>-16.181818181818183</v>
      </c>
      <c r="S144" s="19">
        <f t="shared" si="11"/>
        <v>1.3484848484848486</v>
      </c>
      <c r="T144" s="21">
        <f t="shared" si="12"/>
        <v>4.0454545454545459</v>
      </c>
      <c r="U144" s="19" t="e">
        <f>VLOOKUP(B144,[1]재고수량!$A$13:$D$651,3,FALSE)</f>
        <v>#N/A</v>
      </c>
      <c r="V144" s="21" t="e">
        <f t="shared" si="13"/>
        <v>#N/A</v>
      </c>
      <c r="X144">
        <f>VLOOKUP(B144,[1]제품리스트!$A$2:$F$1110,5,FALSE)</f>
        <v>24</v>
      </c>
      <c r="Y144" s="19">
        <f t="shared" si="14"/>
        <v>0</v>
      </c>
    </row>
    <row r="145" spans="1:25" hidden="1" x14ac:dyDescent="0.3">
      <c r="A145" s="5"/>
      <c r="B145" s="6">
        <v>73001221</v>
      </c>
      <c r="C145" t="s">
        <v>167</v>
      </c>
      <c r="D145" s="7">
        <v>0</v>
      </c>
      <c r="E145" s="8">
        <v>-8</v>
      </c>
      <c r="F145" s="8">
        <v>-4</v>
      </c>
      <c r="G145" s="8">
        <v>-3</v>
      </c>
      <c r="H145" s="8">
        <v>-7</v>
      </c>
      <c r="I145" s="8">
        <v>-3</v>
      </c>
      <c r="J145" s="8">
        <v>-11</v>
      </c>
      <c r="K145" s="8">
        <v>-4</v>
      </c>
      <c r="L145" s="8">
        <v>-1</v>
      </c>
      <c r="M145" s="8">
        <v>-11</v>
      </c>
      <c r="N145" s="8">
        <v>-13</v>
      </c>
      <c r="O145" s="8"/>
      <c r="P145" s="8">
        <v>-65</v>
      </c>
      <c r="Q145" s="23" t="str">
        <f>VLOOKUP(B145,[1]제품리스트!$A$2:$J$1000,10,FALSE)</f>
        <v>#221-Glitterlites Penny Copper</v>
      </c>
      <c r="R145" s="17">
        <f t="shared" si="10"/>
        <v>-5.9090909090909092</v>
      </c>
      <c r="S145" s="19">
        <f t="shared" si="11"/>
        <v>0.49242424242424243</v>
      </c>
      <c r="T145" s="21">
        <f t="shared" si="12"/>
        <v>1.4772727272727273</v>
      </c>
      <c r="U145" s="19" t="e">
        <f>VLOOKUP(B145,[1]재고수량!$A$13:$D$651,3,FALSE)</f>
        <v>#N/A</v>
      </c>
      <c r="V145" s="21" t="e">
        <f t="shared" si="13"/>
        <v>#N/A</v>
      </c>
      <c r="X145">
        <f>VLOOKUP(B145,[1]제품리스트!$A$2:$F$1110,5,FALSE)</f>
        <v>24</v>
      </c>
      <c r="Y145" s="19">
        <f t="shared" si="14"/>
        <v>0</v>
      </c>
    </row>
    <row r="146" spans="1:25" hidden="1" x14ac:dyDescent="0.3">
      <c r="A146" s="5"/>
      <c r="B146" s="10">
        <v>73001222</v>
      </c>
      <c r="C146" t="s">
        <v>168</v>
      </c>
      <c r="D146" s="7">
        <v>-17</v>
      </c>
      <c r="E146" s="8">
        <v>-13</v>
      </c>
      <c r="F146" s="8">
        <v>-19</v>
      </c>
      <c r="G146" s="8">
        <v>-13</v>
      </c>
      <c r="H146" s="8">
        <v>-18</v>
      </c>
      <c r="I146" s="8">
        <v>-9</v>
      </c>
      <c r="J146" s="8">
        <v>-19</v>
      </c>
      <c r="K146" s="8">
        <v>-1</v>
      </c>
      <c r="L146" s="8">
        <v>0</v>
      </c>
      <c r="M146" s="8">
        <v>-30</v>
      </c>
      <c r="N146" s="8">
        <v>-4</v>
      </c>
      <c r="O146" s="8"/>
      <c r="P146" s="8">
        <v>-143</v>
      </c>
      <c r="Q146" s="23" t="str">
        <f>VLOOKUP(B146,[1]제품리스트!$A$2:$J$1000,10,FALSE)</f>
        <v>#222-Glitterlites Silver Spark</v>
      </c>
      <c r="R146" s="17">
        <f t="shared" si="10"/>
        <v>-13</v>
      </c>
      <c r="S146" s="19">
        <f t="shared" si="11"/>
        <v>1.0833333333333333</v>
      </c>
      <c r="T146" s="21">
        <f t="shared" si="12"/>
        <v>3.25</v>
      </c>
      <c r="U146" s="19" t="e">
        <f>VLOOKUP(B146,[1]재고수량!$A$13:$D$651,3,FALSE)</f>
        <v>#N/A</v>
      </c>
      <c r="V146" s="21" t="e">
        <f t="shared" si="13"/>
        <v>#N/A</v>
      </c>
      <c r="X146">
        <f>VLOOKUP(B146,[1]제품리스트!$A$2:$F$1110,5,FALSE)</f>
        <v>24</v>
      </c>
      <c r="Y146" s="19">
        <f t="shared" si="14"/>
        <v>0</v>
      </c>
    </row>
    <row r="147" spans="1:25" hidden="1" x14ac:dyDescent="0.3">
      <c r="A147" s="5"/>
      <c r="B147" s="6">
        <v>73001223</v>
      </c>
      <c r="C147" t="s">
        <v>169</v>
      </c>
      <c r="D147" s="7">
        <v>-3</v>
      </c>
      <c r="E147" s="8">
        <v>-3</v>
      </c>
      <c r="F147" s="8">
        <v>-11</v>
      </c>
      <c r="G147" s="8">
        <v>0</v>
      </c>
      <c r="H147" s="8">
        <v>-4</v>
      </c>
      <c r="I147" s="8">
        <v>-3</v>
      </c>
      <c r="J147" s="8">
        <v>-13</v>
      </c>
      <c r="K147" s="8">
        <v>-8</v>
      </c>
      <c r="L147" s="8">
        <v>-4</v>
      </c>
      <c r="M147" s="8">
        <v>-12</v>
      </c>
      <c r="N147" s="8">
        <v>-5</v>
      </c>
      <c r="O147" s="8"/>
      <c r="P147" s="8">
        <v>-66</v>
      </c>
      <c r="Q147" s="23" t="str">
        <f>VLOOKUP(B147,[1]제품리스트!$A$2:$J$1000,10,FALSE)</f>
        <v>#223-Glitterlites Gummetal</v>
      </c>
      <c r="R147" s="17">
        <f t="shared" si="10"/>
        <v>-6</v>
      </c>
      <c r="S147" s="19">
        <f t="shared" si="11"/>
        <v>0.5</v>
      </c>
      <c r="T147" s="21">
        <f t="shared" si="12"/>
        <v>1.5</v>
      </c>
      <c r="U147" s="19" t="e">
        <f>VLOOKUP(B147,[1]재고수량!$A$13:$D$651,3,FALSE)</f>
        <v>#N/A</v>
      </c>
      <c r="V147" s="21" t="e">
        <f t="shared" si="13"/>
        <v>#N/A</v>
      </c>
      <c r="X147">
        <f>VLOOKUP(B147,[1]제품리스트!$A$2:$F$1110,5,FALSE)</f>
        <v>24</v>
      </c>
      <c r="Y147" s="19">
        <f t="shared" si="14"/>
        <v>0</v>
      </c>
    </row>
    <row r="148" spans="1:25" hidden="1" x14ac:dyDescent="0.3">
      <c r="A148" s="5"/>
      <c r="B148" s="6">
        <v>73001224</v>
      </c>
      <c r="C148" t="s">
        <v>170</v>
      </c>
      <c r="D148" s="7">
        <v>-8</v>
      </c>
      <c r="E148" s="8">
        <v>-9</v>
      </c>
      <c r="F148" s="8">
        <v>-5</v>
      </c>
      <c r="G148" s="8">
        <v>-2</v>
      </c>
      <c r="H148" s="8">
        <v>-7</v>
      </c>
      <c r="I148" s="8">
        <v>-5</v>
      </c>
      <c r="J148" s="8">
        <v>-15</v>
      </c>
      <c r="K148" s="8">
        <v>-4</v>
      </c>
      <c r="L148" s="8">
        <v>-2</v>
      </c>
      <c r="M148" s="8">
        <v>-7</v>
      </c>
      <c r="N148" s="8">
        <v>-9</v>
      </c>
      <c r="O148" s="8"/>
      <c r="P148" s="8">
        <v>-73</v>
      </c>
      <c r="Q148" s="23" t="str">
        <f>VLOOKUP(B148,[1]제품리스트!$A$2:$J$1000,10,FALSE)</f>
        <v>#224-Glitterlites Emerald</v>
      </c>
      <c r="R148" s="17">
        <f t="shared" si="10"/>
        <v>-6.6363636363636367</v>
      </c>
      <c r="S148" s="19">
        <f t="shared" si="11"/>
        <v>0.55303030303030309</v>
      </c>
      <c r="T148" s="21">
        <f t="shared" si="12"/>
        <v>1.6590909090909092</v>
      </c>
      <c r="U148" s="19" t="e">
        <f>VLOOKUP(B148,[1]재고수량!$A$13:$D$651,3,FALSE)</f>
        <v>#N/A</v>
      </c>
      <c r="V148" s="21" t="e">
        <f t="shared" si="13"/>
        <v>#N/A</v>
      </c>
      <c r="X148">
        <f>VLOOKUP(B148,[1]제품리스트!$A$2:$F$1110,5,FALSE)</f>
        <v>24</v>
      </c>
      <c r="Y148" s="19">
        <f t="shared" si="14"/>
        <v>0</v>
      </c>
    </row>
    <row r="149" spans="1:25" hidden="1" x14ac:dyDescent="0.3">
      <c r="A149" s="5"/>
      <c r="B149" s="6">
        <v>73001225</v>
      </c>
      <c r="C149" t="s">
        <v>171</v>
      </c>
      <c r="D149" s="7">
        <v>0</v>
      </c>
      <c r="E149" s="8">
        <v>-7</v>
      </c>
      <c r="F149" s="8">
        <v>-2</v>
      </c>
      <c r="G149" s="8">
        <v>-3</v>
      </c>
      <c r="H149" s="8">
        <v>-3</v>
      </c>
      <c r="I149" s="8">
        <v>-4</v>
      </c>
      <c r="J149" s="8">
        <v>-10</v>
      </c>
      <c r="K149" s="8">
        <v>-11</v>
      </c>
      <c r="L149" s="8">
        <v>0</v>
      </c>
      <c r="M149" s="8">
        <v>-7</v>
      </c>
      <c r="N149" s="8">
        <v>-7</v>
      </c>
      <c r="O149" s="8"/>
      <c r="P149" s="8">
        <v>-54</v>
      </c>
      <c r="Q149" s="23" t="str">
        <f>VLOOKUP(B149,[1]제품리스트!$A$2:$J$1000,10,FALSE)</f>
        <v>#225-Glitterlites Limelite</v>
      </c>
      <c r="R149" s="17">
        <f t="shared" si="10"/>
        <v>-4.9090909090909092</v>
      </c>
      <c r="S149" s="19">
        <f t="shared" si="11"/>
        <v>0.40909090909090912</v>
      </c>
      <c r="T149" s="21">
        <f t="shared" si="12"/>
        <v>1.2272727272727273</v>
      </c>
      <c r="U149" s="19" t="e">
        <f>VLOOKUP(B149,[1]재고수량!$A$13:$D$651,3,FALSE)</f>
        <v>#N/A</v>
      </c>
      <c r="V149" s="21" t="e">
        <f t="shared" si="13"/>
        <v>#N/A</v>
      </c>
      <c r="X149">
        <f>VLOOKUP(B149,[1]제품리스트!$A$2:$F$1110,5,FALSE)</f>
        <v>24</v>
      </c>
      <c r="Y149" s="19">
        <f t="shared" si="14"/>
        <v>0</v>
      </c>
    </row>
    <row r="150" spans="1:25" hidden="1" x14ac:dyDescent="0.3">
      <c r="A150" s="5"/>
      <c r="B150" s="6">
        <v>73001226</v>
      </c>
      <c r="C150" t="s">
        <v>172</v>
      </c>
      <c r="D150" s="7"/>
      <c r="E150" s="8">
        <v>-6</v>
      </c>
      <c r="F150" s="8">
        <v>-5</v>
      </c>
      <c r="G150" s="8">
        <v>-8</v>
      </c>
      <c r="H150" s="8">
        <v>-4</v>
      </c>
      <c r="I150" s="8">
        <v>-1</v>
      </c>
      <c r="J150" s="8">
        <v>-21</v>
      </c>
      <c r="K150" s="8">
        <v>-5</v>
      </c>
      <c r="L150" s="8">
        <v>-1</v>
      </c>
      <c r="M150" s="8">
        <v>-8</v>
      </c>
      <c r="N150" s="8">
        <v>-11</v>
      </c>
      <c r="O150" s="8"/>
      <c r="P150" s="8">
        <v>-70</v>
      </c>
      <c r="Q150" s="23" t="str">
        <f>VLOOKUP(B150,[1]제품리스트!$A$2:$J$1000,10,FALSE)</f>
        <v>#226-Glitterlites Sky Blue</v>
      </c>
      <c r="R150" s="17">
        <f t="shared" si="10"/>
        <v>-6.3636363636363633</v>
      </c>
      <c r="S150" s="19">
        <f t="shared" si="11"/>
        <v>0.53030303030303028</v>
      </c>
      <c r="T150" s="21">
        <f t="shared" si="12"/>
        <v>1.5909090909090908</v>
      </c>
      <c r="U150" s="19" t="e">
        <f>VLOOKUP(B150,[1]재고수량!$A$13:$D$651,3,FALSE)</f>
        <v>#N/A</v>
      </c>
      <c r="V150" s="21" t="e">
        <f t="shared" si="13"/>
        <v>#N/A</v>
      </c>
      <c r="X150">
        <f>VLOOKUP(B150,[1]제품리스트!$A$2:$F$1110,5,FALSE)</f>
        <v>24</v>
      </c>
      <c r="Y150" s="19">
        <f t="shared" si="14"/>
        <v>0</v>
      </c>
    </row>
    <row r="151" spans="1:25" hidden="1" x14ac:dyDescent="0.3">
      <c r="A151" s="5"/>
      <c r="B151" s="6">
        <v>73001227</v>
      </c>
      <c r="C151" t="s">
        <v>173</v>
      </c>
      <c r="D151" s="7">
        <v>-6</v>
      </c>
      <c r="E151" s="8">
        <v>-2</v>
      </c>
      <c r="F151" s="8">
        <v>-8</v>
      </c>
      <c r="G151" s="8">
        <v>0</v>
      </c>
      <c r="H151" s="8">
        <v>-8</v>
      </c>
      <c r="I151" s="8">
        <v>-5</v>
      </c>
      <c r="J151" s="8">
        <v>-15</v>
      </c>
      <c r="K151" s="8">
        <v>-6</v>
      </c>
      <c r="L151" s="8">
        <v>-3</v>
      </c>
      <c r="M151" s="8">
        <v>-4</v>
      </c>
      <c r="N151" s="8">
        <v>-8</v>
      </c>
      <c r="O151" s="8"/>
      <c r="P151" s="8">
        <v>-65</v>
      </c>
      <c r="Q151" s="23" t="str">
        <f>VLOOKUP(B151,[1]제품리스트!$A$2:$J$1000,10,FALSE)</f>
        <v>#227-Glitterlites Starlite Blue</v>
      </c>
      <c r="R151" s="17">
        <f t="shared" si="10"/>
        <v>-5.9090909090909092</v>
      </c>
      <c r="S151" s="19">
        <f t="shared" si="11"/>
        <v>0.49242424242424243</v>
      </c>
      <c r="T151" s="21">
        <f t="shared" si="12"/>
        <v>1.4772727272727273</v>
      </c>
      <c r="U151" s="19" t="e">
        <f>VLOOKUP(B151,[1]재고수량!$A$13:$D$651,3,FALSE)</f>
        <v>#N/A</v>
      </c>
      <c r="V151" s="21" t="e">
        <f t="shared" si="13"/>
        <v>#N/A</v>
      </c>
      <c r="X151">
        <f>VLOOKUP(B151,[1]제품리스트!$A$2:$F$1110,5,FALSE)</f>
        <v>24</v>
      </c>
      <c r="Y151" s="19">
        <f t="shared" si="14"/>
        <v>0</v>
      </c>
    </row>
    <row r="152" spans="1:25" hidden="1" x14ac:dyDescent="0.3">
      <c r="A152" s="5"/>
      <c r="B152" s="6">
        <v>73001228</v>
      </c>
      <c r="C152" t="s">
        <v>174</v>
      </c>
      <c r="D152" s="7">
        <v>-3</v>
      </c>
      <c r="E152" s="8">
        <v>-3</v>
      </c>
      <c r="F152" s="8">
        <v>-9</v>
      </c>
      <c r="G152" s="8">
        <v>-3</v>
      </c>
      <c r="H152" s="8">
        <v>-4</v>
      </c>
      <c r="I152" s="8">
        <v>-1</v>
      </c>
      <c r="J152" s="8">
        <v>-17</v>
      </c>
      <c r="K152" s="8">
        <v>-6</v>
      </c>
      <c r="L152" s="8">
        <v>-3</v>
      </c>
      <c r="M152" s="8">
        <v>-9</v>
      </c>
      <c r="N152" s="8">
        <v>-9</v>
      </c>
      <c r="O152" s="8"/>
      <c r="P152" s="8">
        <v>-67</v>
      </c>
      <c r="Q152" s="23" t="str">
        <f>VLOOKUP(B152,[1]제품리스트!$A$2:$J$1000,10,FALSE)</f>
        <v>#228-Glitterlites Lavender Lace</v>
      </c>
      <c r="R152" s="17">
        <f t="shared" si="10"/>
        <v>-6.0909090909090908</v>
      </c>
      <c r="S152" s="19">
        <f t="shared" si="11"/>
        <v>0.50757575757575757</v>
      </c>
      <c r="T152" s="21">
        <f t="shared" si="12"/>
        <v>1.5227272727272727</v>
      </c>
      <c r="U152" s="19" t="e">
        <f>VLOOKUP(B152,[1]재고수량!$A$13:$D$651,3,FALSE)</f>
        <v>#N/A</v>
      </c>
      <c r="V152" s="21" t="e">
        <f t="shared" si="13"/>
        <v>#N/A</v>
      </c>
      <c r="X152">
        <f>VLOOKUP(B152,[1]제품리스트!$A$2:$F$1110,5,FALSE)</f>
        <v>24</v>
      </c>
      <c r="Y152" s="19">
        <f t="shared" si="14"/>
        <v>0</v>
      </c>
    </row>
    <row r="153" spans="1:25" hidden="1" x14ac:dyDescent="0.3">
      <c r="A153" s="5"/>
      <c r="B153" s="6">
        <v>73001229</v>
      </c>
      <c r="C153" t="s">
        <v>175</v>
      </c>
      <c r="D153" s="7">
        <v>-4</v>
      </c>
      <c r="E153" s="8">
        <v>-3</v>
      </c>
      <c r="F153" s="8">
        <v>-8</v>
      </c>
      <c r="G153" s="8">
        <v>-5</v>
      </c>
      <c r="H153" s="8">
        <v>-3</v>
      </c>
      <c r="I153" s="8">
        <v>-3</v>
      </c>
      <c r="J153" s="8">
        <v>-9</v>
      </c>
      <c r="K153" s="8">
        <v>-9</v>
      </c>
      <c r="L153" s="8">
        <v>-3</v>
      </c>
      <c r="M153" s="8">
        <v>-4</v>
      </c>
      <c r="N153" s="8">
        <v>-6</v>
      </c>
      <c r="O153" s="8"/>
      <c r="P153" s="8">
        <v>-57</v>
      </c>
      <c r="Q153" s="23" t="str">
        <f>VLOOKUP(B153,[1]제품리스트!$A$2:$J$1000,10,FALSE)</f>
        <v>#229-Glitterlites Princess Purple</v>
      </c>
      <c r="R153" s="17">
        <f t="shared" si="10"/>
        <v>-5.1818181818181817</v>
      </c>
      <c r="S153" s="19">
        <f t="shared" si="11"/>
        <v>0.43181818181818182</v>
      </c>
      <c r="T153" s="21">
        <f t="shared" si="12"/>
        <v>1.2954545454545454</v>
      </c>
      <c r="U153" s="19" t="e">
        <f>VLOOKUP(B153,[1]재고수량!$A$13:$D$651,3,FALSE)</f>
        <v>#N/A</v>
      </c>
      <c r="V153" s="21" t="e">
        <f t="shared" si="13"/>
        <v>#N/A</v>
      </c>
      <c r="X153">
        <f>VLOOKUP(B153,[1]제품리스트!$A$2:$F$1110,5,FALSE)</f>
        <v>24</v>
      </c>
      <c r="Y153" s="19">
        <f t="shared" si="14"/>
        <v>0</v>
      </c>
    </row>
    <row r="154" spans="1:25" hidden="1" x14ac:dyDescent="0.3">
      <c r="A154" s="5"/>
      <c r="B154" s="6">
        <v>73001230</v>
      </c>
      <c r="C154" t="s">
        <v>176</v>
      </c>
      <c r="D154" s="7">
        <v>-4</v>
      </c>
      <c r="E154" s="8">
        <v>-5</v>
      </c>
      <c r="F154" s="8">
        <v>-23</v>
      </c>
      <c r="G154" s="8">
        <v>-6</v>
      </c>
      <c r="H154" s="8">
        <v>-2</v>
      </c>
      <c r="I154" s="8">
        <v>-3</v>
      </c>
      <c r="J154" s="8">
        <v>-8</v>
      </c>
      <c r="K154" s="8">
        <v>-20</v>
      </c>
      <c r="L154" s="8">
        <v>-4</v>
      </c>
      <c r="M154" s="8">
        <v>-9</v>
      </c>
      <c r="N154" s="8">
        <v>-7</v>
      </c>
      <c r="O154" s="8"/>
      <c r="P154" s="8">
        <v>-91</v>
      </c>
      <c r="Q154" s="23" t="str">
        <f>VLOOKUP(B154,[1]제품리스트!$A$2:$J$1000,10,FALSE)</f>
        <v>#230-Glitterlites  Cany Pink</v>
      </c>
      <c r="R154" s="17">
        <f t="shared" si="10"/>
        <v>-8.2727272727272734</v>
      </c>
      <c r="S154" s="19">
        <f t="shared" si="11"/>
        <v>0.68939393939393945</v>
      </c>
      <c r="T154" s="21">
        <f t="shared" si="12"/>
        <v>2.0681818181818183</v>
      </c>
      <c r="U154" s="19" t="e">
        <f>VLOOKUP(B154,[1]재고수량!$A$13:$D$651,3,FALSE)</f>
        <v>#N/A</v>
      </c>
      <c r="V154" s="21" t="e">
        <f t="shared" si="13"/>
        <v>#N/A</v>
      </c>
      <c r="X154">
        <f>VLOOKUP(B154,[1]제품리스트!$A$2:$F$1110,5,FALSE)</f>
        <v>24</v>
      </c>
      <c r="Y154" s="19">
        <f t="shared" si="14"/>
        <v>0</v>
      </c>
    </row>
    <row r="155" spans="1:25" hidden="1" x14ac:dyDescent="0.3">
      <c r="A155" s="5"/>
      <c r="B155" s="6">
        <v>73001231</v>
      </c>
      <c r="C155" t="s">
        <v>177</v>
      </c>
      <c r="D155" s="7">
        <v>-10</v>
      </c>
      <c r="E155" s="8">
        <v>-9</v>
      </c>
      <c r="F155" s="8">
        <v>-2</v>
      </c>
      <c r="G155" s="8">
        <v>-6</v>
      </c>
      <c r="H155" s="8">
        <v>-5</v>
      </c>
      <c r="I155" s="8">
        <v>-11</v>
      </c>
      <c r="J155" s="8">
        <v>-6</v>
      </c>
      <c r="K155" s="8">
        <v>-16</v>
      </c>
      <c r="L155" s="8">
        <v>0</v>
      </c>
      <c r="M155" s="8">
        <v>-19</v>
      </c>
      <c r="N155" s="8">
        <v>-8</v>
      </c>
      <c r="O155" s="8"/>
      <c r="P155" s="8">
        <v>-92</v>
      </c>
      <c r="Q155" s="23" t="str">
        <f>VLOOKUP(B155,[1]제품리스트!$A$2:$J$1000,10,FALSE)</f>
        <v>#231-Glitterlites Ruby Red</v>
      </c>
      <c r="R155" s="17">
        <f t="shared" si="10"/>
        <v>-8.3636363636363633</v>
      </c>
      <c r="S155" s="19">
        <f t="shared" si="11"/>
        <v>0.69696969696969691</v>
      </c>
      <c r="T155" s="21">
        <f t="shared" si="12"/>
        <v>2.0909090909090908</v>
      </c>
      <c r="U155" s="19" t="e">
        <f>VLOOKUP(B155,[1]재고수량!$A$13:$D$651,3,FALSE)</f>
        <v>#N/A</v>
      </c>
      <c r="V155" s="21" t="e">
        <f t="shared" si="13"/>
        <v>#N/A</v>
      </c>
      <c r="X155">
        <f>VLOOKUP(B155,[1]제품리스트!$A$2:$F$1110,5,FALSE)</f>
        <v>24</v>
      </c>
      <c r="Y155" s="19">
        <f t="shared" si="14"/>
        <v>0</v>
      </c>
    </row>
    <row r="156" spans="1:25" hidden="1" x14ac:dyDescent="0.3">
      <c r="A156" s="5"/>
      <c r="B156" s="6">
        <v>73001233</v>
      </c>
      <c r="C156" t="s">
        <v>178</v>
      </c>
      <c r="D156" s="7">
        <v>0</v>
      </c>
      <c r="E156" s="8">
        <v>0</v>
      </c>
      <c r="F156" s="8">
        <v>-10</v>
      </c>
      <c r="G156" s="8">
        <v>0</v>
      </c>
      <c r="H156" s="8">
        <v>-2</v>
      </c>
      <c r="I156" s="8">
        <v>0</v>
      </c>
      <c r="J156" s="8">
        <v>-6</v>
      </c>
      <c r="K156" s="8">
        <v>-5</v>
      </c>
      <c r="L156" s="8">
        <v>-4</v>
      </c>
      <c r="M156" s="8">
        <v>-7</v>
      </c>
      <c r="N156" s="8">
        <v>-6</v>
      </c>
      <c r="O156" s="8"/>
      <c r="P156" s="8">
        <v>-40</v>
      </c>
      <c r="Q156" s="23" t="str">
        <f>VLOOKUP(B156,[1]제품리스트!$A$2:$J$1000,10,FALSE)</f>
        <v>#233-Glitterlites Razzberry</v>
      </c>
      <c r="R156" s="17">
        <f t="shared" si="10"/>
        <v>-3.6363636363636362</v>
      </c>
      <c r="S156" s="19">
        <f t="shared" si="11"/>
        <v>0.30303030303030304</v>
      </c>
      <c r="T156" s="21">
        <f t="shared" si="12"/>
        <v>0.90909090909090917</v>
      </c>
      <c r="U156" s="19" t="e">
        <f>VLOOKUP(B156,[1]재고수량!$A$13:$D$651,3,FALSE)</f>
        <v>#N/A</v>
      </c>
      <c r="V156" s="21" t="e">
        <f t="shared" si="13"/>
        <v>#N/A</v>
      </c>
      <c r="X156">
        <f>VLOOKUP(B156,[1]제품리스트!$A$2:$F$1110,5,FALSE)</f>
        <v>24</v>
      </c>
      <c r="Y156" s="19">
        <f t="shared" si="14"/>
        <v>0</v>
      </c>
    </row>
    <row r="157" spans="1:25" hidden="1" x14ac:dyDescent="0.3">
      <c r="A157" s="5"/>
      <c r="B157" s="6">
        <v>73001235</v>
      </c>
      <c r="C157" t="s">
        <v>179</v>
      </c>
      <c r="D157" s="7">
        <v>-3</v>
      </c>
      <c r="E157" s="8">
        <v>-4</v>
      </c>
      <c r="F157" s="8">
        <v>-9</v>
      </c>
      <c r="G157" s="8">
        <v>-4</v>
      </c>
      <c r="H157" s="8">
        <v>-8</v>
      </c>
      <c r="I157" s="8">
        <v>-3</v>
      </c>
      <c r="J157" s="8">
        <v>-13</v>
      </c>
      <c r="K157" s="8">
        <v>-4</v>
      </c>
      <c r="L157" s="8">
        <v>-7</v>
      </c>
      <c r="M157" s="8">
        <v>-4</v>
      </c>
      <c r="N157" s="8">
        <v>3</v>
      </c>
      <c r="O157" s="8"/>
      <c r="P157" s="8">
        <v>-56</v>
      </c>
      <c r="Q157" s="23" t="str">
        <f>VLOOKUP(B157,[1]제품리스트!$A$2:$J$1000,10,FALSE)</f>
        <v>#235-Glitterlites Tuxedo Black</v>
      </c>
      <c r="R157" s="17">
        <f t="shared" si="10"/>
        <v>-5.0909090909090908</v>
      </c>
      <c r="S157" s="19">
        <f t="shared" si="11"/>
        <v>0.42424242424242425</v>
      </c>
      <c r="T157" s="21">
        <f t="shared" si="12"/>
        <v>1.2727272727272727</v>
      </c>
      <c r="U157" s="19" t="e">
        <f>VLOOKUP(B157,[1]재고수량!$A$13:$D$651,3,FALSE)</f>
        <v>#N/A</v>
      </c>
      <c r="V157" s="21" t="e">
        <f t="shared" si="13"/>
        <v>#N/A</v>
      </c>
      <c r="X157">
        <f>VLOOKUP(B157,[1]제품리스트!$A$2:$F$1110,5,FALSE)</f>
        <v>24</v>
      </c>
      <c r="Y157" s="19">
        <f t="shared" si="14"/>
        <v>0</v>
      </c>
    </row>
    <row r="158" spans="1:25" hidden="1" x14ac:dyDescent="0.3">
      <c r="A158" s="5"/>
      <c r="B158" s="6">
        <v>73001236</v>
      </c>
      <c r="C158" t="s">
        <v>180</v>
      </c>
      <c r="D158" s="7">
        <v>0</v>
      </c>
      <c r="E158" s="8">
        <v>-3</v>
      </c>
      <c r="F158" s="8">
        <v>-8</v>
      </c>
      <c r="G158" s="8">
        <v>-1</v>
      </c>
      <c r="H158" s="8">
        <v>-5</v>
      </c>
      <c r="I158" s="8">
        <v>-3</v>
      </c>
      <c r="J158" s="8">
        <v>-2</v>
      </c>
      <c r="K158" s="8">
        <v>-8</v>
      </c>
      <c r="L158" s="8">
        <v>0</v>
      </c>
      <c r="M158" s="8">
        <v>-4</v>
      </c>
      <c r="N158" s="8">
        <v>3</v>
      </c>
      <c r="O158" s="8"/>
      <c r="P158" s="8">
        <v>-31</v>
      </c>
      <c r="Q158" s="23" t="str">
        <f>VLOOKUP(B158,[1]제품리스트!$A$2:$J$1000,10,FALSE)</f>
        <v>#236-Glitterlites Orange Orange</v>
      </c>
      <c r="R158" s="17">
        <f t="shared" si="10"/>
        <v>-2.8181818181818183</v>
      </c>
      <c r="S158" s="19">
        <f t="shared" si="11"/>
        <v>0.23484848484848486</v>
      </c>
      <c r="T158" s="21">
        <f t="shared" si="12"/>
        <v>0.70454545454545459</v>
      </c>
      <c r="U158" s="19" t="e">
        <f>VLOOKUP(B158,[1]재고수량!$A$13:$D$651,3,FALSE)</f>
        <v>#N/A</v>
      </c>
      <c r="V158" s="21" t="e">
        <f t="shared" si="13"/>
        <v>#N/A</v>
      </c>
      <c r="X158">
        <f>VLOOKUP(B158,[1]제품리스트!$A$2:$F$1110,5,FALSE)</f>
        <v>24</v>
      </c>
      <c r="Y158" s="19">
        <f t="shared" si="14"/>
        <v>0</v>
      </c>
    </row>
    <row r="159" spans="1:25" hidden="1" x14ac:dyDescent="0.3">
      <c r="A159" s="5"/>
      <c r="B159" s="6">
        <v>73001237</v>
      </c>
      <c r="C159" t="s">
        <v>181</v>
      </c>
      <c r="D159" s="7">
        <v>-5</v>
      </c>
      <c r="E159" s="8">
        <v>-7</v>
      </c>
      <c r="F159" s="8">
        <v>-8</v>
      </c>
      <c r="G159" s="8"/>
      <c r="H159" s="8">
        <v>-3</v>
      </c>
      <c r="I159" s="8"/>
      <c r="J159" s="8">
        <v>-12</v>
      </c>
      <c r="K159" s="8">
        <v>-3</v>
      </c>
      <c r="L159" s="8">
        <v>0</v>
      </c>
      <c r="M159" s="8">
        <v>-10</v>
      </c>
      <c r="N159" s="8">
        <v>-11</v>
      </c>
      <c r="O159" s="8"/>
      <c r="P159" s="8">
        <v>-59</v>
      </c>
      <c r="Q159" s="23" t="str">
        <f>VLOOKUP(B159,[1]제품리스트!$A$2:$J$1000,10,FALSE)</f>
        <v>#237-Glitterlites Ice Ice Blue</v>
      </c>
      <c r="R159" s="17">
        <f t="shared" si="10"/>
        <v>-5.3636363636363633</v>
      </c>
      <c r="S159" s="19">
        <f t="shared" si="11"/>
        <v>0.44696969696969696</v>
      </c>
      <c r="T159" s="21">
        <f t="shared" si="12"/>
        <v>1.3409090909090908</v>
      </c>
      <c r="U159" s="19" t="e">
        <f>VLOOKUP(B159,[1]재고수량!$A$13:$D$651,3,FALSE)</f>
        <v>#N/A</v>
      </c>
      <c r="V159" s="21" t="e">
        <f t="shared" si="13"/>
        <v>#N/A</v>
      </c>
      <c r="X159">
        <f>VLOOKUP(B159,[1]제품리스트!$A$2:$F$1110,5,FALSE)</f>
        <v>24</v>
      </c>
      <c r="Y159" s="19">
        <f t="shared" si="14"/>
        <v>0</v>
      </c>
    </row>
    <row r="160" spans="1:25" hidden="1" x14ac:dyDescent="0.3">
      <c r="A160" s="9"/>
      <c r="B160" s="6">
        <v>73001238</v>
      </c>
      <c r="C160" t="s">
        <v>182</v>
      </c>
      <c r="D160" s="7">
        <v>0</v>
      </c>
      <c r="E160" s="8">
        <v>0</v>
      </c>
      <c r="F160" s="8">
        <v>-8</v>
      </c>
      <c r="G160" s="8">
        <v>-3</v>
      </c>
      <c r="H160" s="8">
        <v>-2</v>
      </c>
      <c r="I160" s="8">
        <v>0</v>
      </c>
      <c r="J160" s="8">
        <v>-12</v>
      </c>
      <c r="K160" s="8">
        <v>-4</v>
      </c>
      <c r="L160" s="8">
        <v>-4</v>
      </c>
      <c r="M160" s="8">
        <v>-4</v>
      </c>
      <c r="N160" s="8">
        <v>-5</v>
      </c>
      <c r="O160" s="8"/>
      <c r="P160" s="8">
        <v>-42</v>
      </c>
      <c r="Q160" s="23" t="str">
        <f>VLOOKUP(B160,[1]제품리스트!$A$2:$J$1000,10,FALSE)</f>
        <v>#238-Glitterlites Baby Blue</v>
      </c>
      <c r="R160" s="17">
        <f t="shared" si="10"/>
        <v>-3.8181818181818183</v>
      </c>
      <c r="S160" s="19">
        <f t="shared" si="11"/>
        <v>0.31818181818181818</v>
      </c>
      <c r="T160" s="21">
        <f t="shared" si="12"/>
        <v>0.95454545454545459</v>
      </c>
      <c r="U160" s="19" t="e">
        <f>VLOOKUP(B160,[1]재고수량!$A$13:$D$651,3,FALSE)</f>
        <v>#N/A</v>
      </c>
      <c r="V160" s="21" t="e">
        <f t="shared" si="13"/>
        <v>#N/A</v>
      </c>
      <c r="X160">
        <f>VLOOKUP(B160,[1]제품리스트!$A$2:$F$1110,5,FALSE)</f>
        <v>24</v>
      </c>
      <c r="Y160" s="19">
        <f t="shared" si="14"/>
        <v>0</v>
      </c>
    </row>
    <row r="161" spans="1:25" x14ac:dyDescent="0.3">
      <c r="A161" s="5" t="s">
        <v>183</v>
      </c>
      <c r="B161" s="6">
        <v>72004001</v>
      </c>
      <c r="C161" t="s">
        <v>184</v>
      </c>
      <c r="D161" s="7">
        <v>-41</v>
      </c>
      <c r="E161" s="8">
        <v>-19</v>
      </c>
      <c r="F161" s="8">
        <v>-49</v>
      </c>
      <c r="G161" s="8">
        <v>-38</v>
      </c>
      <c r="H161" s="8">
        <v>-45</v>
      </c>
      <c r="I161" s="8">
        <v>-36</v>
      </c>
      <c r="J161" s="8">
        <v>-20</v>
      </c>
      <c r="K161" s="8">
        <v>-63</v>
      </c>
      <c r="L161" s="8">
        <v>-30</v>
      </c>
      <c r="M161" s="8">
        <v>-61</v>
      </c>
      <c r="N161" s="8">
        <v>-42</v>
      </c>
      <c r="O161" s="8"/>
      <c r="P161" s="8">
        <v>-444</v>
      </c>
      <c r="Q161" s="23" t="str">
        <f>VLOOKUP(B161,[1]제품리스트!$A$2:$J$1000,10,FALSE)</f>
        <v>#001-Paint 4oz Black</v>
      </c>
      <c r="R161" s="17">
        <f t="shared" si="10"/>
        <v>-40.363636363636367</v>
      </c>
      <c r="S161" s="19">
        <f t="shared" si="11"/>
        <v>3.3636363636363638</v>
      </c>
      <c r="T161" s="21">
        <f t="shared" si="12"/>
        <v>10.090909090909092</v>
      </c>
      <c r="U161" s="19" t="e">
        <f>VLOOKUP(B161,[1]재고수량!$A$13:$D$651,3,FALSE)</f>
        <v>#N/A</v>
      </c>
      <c r="V161" s="21" t="e">
        <f t="shared" si="13"/>
        <v>#N/A</v>
      </c>
      <c r="W161">
        <v>10</v>
      </c>
      <c r="X161">
        <f>VLOOKUP(B161,[1]제품리스트!$A$2:$F$1110,5,FALSE)</f>
        <v>27</v>
      </c>
      <c r="Y161" s="19">
        <f t="shared" si="14"/>
        <v>270</v>
      </c>
    </row>
    <row r="162" spans="1:25" hidden="1" x14ac:dyDescent="0.3">
      <c r="A162" s="5"/>
      <c r="B162" s="6">
        <v>72004004</v>
      </c>
      <c r="C162" t="s">
        <v>185</v>
      </c>
      <c r="D162" s="7">
        <v>-3</v>
      </c>
      <c r="E162" s="8">
        <v>-6</v>
      </c>
      <c r="F162" s="8">
        <v>0</v>
      </c>
      <c r="G162" s="8">
        <v>0</v>
      </c>
      <c r="H162" s="8">
        <v>-1</v>
      </c>
      <c r="I162" s="8">
        <v>0</v>
      </c>
      <c r="J162" s="8">
        <v>0</v>
      </c>
      <c r="K162" s="8">
        <v>-13</v>
      </c>
      <c r="L162" s="8">
        <v>-3</v>
      </c>
      <c r="M162" s="8">
        <v>-7</v>
      </c>
      <c r="N162" s="8">
        <v>-13</v>
      </c>
      <c r="O162" s="8"/>
      <c r="P162" s="8">
        <v>-46</v>
      </c>
      <c r="Q162" s="23" t="str">
        <f>VLOOKUP(B162,[1]제품리스트!$A$2:$J$1000,10,FALSE)</f>
        <v>#004-Paint 4oz Neutral</v>
      </c>
      <c r="R162" s="17">
        <f t="shared" si="10"/>
        <v>-4.1818181818181817</v>
      </c>
      <c r="S162" s="19">
        <f t="shared" si="11"/>
        <v>0.34848484848484845</v>
      </c>
      <c r="T162" s="21">
        <f t="shared" si="12"/>
        <v>1.0454545454545454</v>
      </c>
      <c r="U162" s="19" t="e">
        <f>VLOOKUP(B162,[1]재고수량!$A$13:$D$651,3,FALSE)</f>
        <v>#N/A</v>
      </c>
      <c r="V162" s="21" t="e">
        <f t="shared" si="13"/>
        <v>#N/A</v>
      </c>
      <c r="X162">
        <f>VLOOKUP(B162,[1]제품리스트!$A$2:$F$1110,5,FALSE)</f>
        <v>27</v>
      </c>
      <c r="Y162" s="19">
        <f t="shared" si="14"/>
        <v>0</v>
      </c>
    </row>
    <row r="163" spans="1:25" x14ac:dyDescent="0.3">
      <c r="A163" s="5"/>
      <c r="B163" s="6">
        <v>72004005</v>
      </c>
      <c r="C163" t="s">
        <v>186</v>
      </c>
      <c r="D163" s="7">
        <v>-64</v>
      </c>
      <c r="E163" s="8">
        <v>-8</v>
      </c>
      <c r="F163" s="8">
        <v>-67</v>
      </c>
      <c r="G163" s="8">
        <v>-43</v>
      </c>
      <c r="H163" s="8">
        <v>-68</v>
      </c>
      <c r="I163" s="8">
        <v>-4</v>
      </c>
      <c r="J163" s="8">
        <v>-70</v>
      </c>
      <c r="K163" s="8">
        <v>-67</v>
      </c>
      <c r="L163" s="8">
        <v>-48</v>
      </c>
      <c r="M163" s="8">
        <v>-56</v>
      </c>
      <c r="N163" s="8">
        <v>-58</v>
      </c>
      <c r="O163" s="8"/>
      <c r="P163" s="8">
        <v>-553</v>
      </c>
      <c r="Q163" s="23" t="str">
        <f>VLOOKUP(B163,[1]제품리스트!$A$2:$J$1000,10,FALSE)</f>
        <v>#005-Paint 4oz White</v>
      </c>
      <c r="R163" s="17">
        <f t="shared" si="10"/>
        <v>-50.272727272727273</v>
      </c>
      <c r="S163" s="19">
        <f t="shared" si="11"/>
        <v>4.1893939393939394</v>
      </c>
      <c r="T163" s="21">
        <f t="shared" si="12"/>
        <v>12.568181818181818</v>
      </c>
      <c r="U163" s="19" t="e">
        <f>VLOOKUP(B163,[1]재고수량!$A$13:$D$651,3,FALSE)</f>
        <v>#N/A</v>
      </c>
      <c r="V163" s="21" t="e">
        <f t="shared" si="13"/>
        <v>#N/A</v>
      </c>
      <c r="W163">
        <v>15</v>
      </c>
      <c r="X163">
        <f>VLOOKUP(B163,[1]제품리스트!$A$2:$F$1110,5,FALSE)</f>
        <v>27</v>
      </c>
      <c r="Y163" s="19">
        <f t="shared" si="14"/>
        <v>405</v>
      </c>
    </row>
    <row r="164" spans="1:25" hidden="1" x14ac:dyDescent="0.3">
      <c r="A164" s="5"/>
      <c r="B164" s="6">
        <v>72004014</v>
      </c>
      <c r="C164" t="s">
        <v>187</v>
      </c>
      <c r="D164" s="7">
        <v>-12</v>
      </c>
      <c r="E164" s="8">
        <v>-4</v>
      </c>
      <c r="F164" s="8">
        <v>-4</v>
      </c>
      <c r="G164" s="8">
        <v>-3</v>
      </c>
      <c r="H164" s="8">
        <v>-9</v>
      </c>
      <c r="I164" s="8">
        <v>-3</v>
      </c>
      <c r="J164" s="8">
        <v>-4</v>
      </c>
      <c r="K164" s="8">
        <v>-4</v>
      </c>
      <c r="L164" s="8"/>
      <c r="M164" s="8">
        <v>-8</v>
      </c>
      <c r="N164" s="8">
        <v>-13</v>
      </c>
      <c r="O164" s="8"/>
      <c r="P164" s="8">
        <v>-64</v>
      </c>
      <c r="Q164" s="23" t="str">
        <f>VLOOKUP(B164,[1]제품리스트!$A$2:$J$1000,10,FALSE)</f>
        <v>#014-Paint 4oz Brown</v>
      </c>
      <c r="R164" s="17">
        <f t="shared" si="10"/>
        <v>-5.8181818181818183</v>
      </c>
      <c r="S164" s="19">
        <f t="shared" si="11"/>
        <v>0.48484848484848486</v>
      </c>
      <c r="T164" s="21">
        <f t="shared" si="12"/>
        <v>1.4545454545454546</v>
      </c>
      <c r="U164" s="19" t="e">
        <f>VLOOKUP(B164,[1]재고수량!$A$13:$D$651,3,FALSE)</f>
        <v>#N/A</v>
      </c>
      <c r="V164" s="21" t="e">
        <f t="shared" si="13"/>
        <v>#N/A</v>
      </c>
      <c r="X164">
        <f>VLOOKUP(B164,[1]제품리스트!$A$2:$F$1110,5,FALSE)</f>
        <v>27</v>
      </c>
      <c r="Y164" s="19">
        <f t="shared" si="14"/>
        <v>0</v>
      </c>
    </row>
    <row r="165" spans="1:25" hidden="1" x14ac:dyDescent="0.3">
      <c r="A165" s="5"/>
      <c r="B165" s="6">
        <v>72004015</v>
      </c>
      <c r="C165" t="s">
        <v>188</v>
      </c>
      <c r="D165" s="7"/>
      <c r="E165" s="8"/>
      <c r="F165" s="8"/>
      <c r="G165" s="8"/>
      <c r="H165" s="8">
        <v>-2</v>
      </c>
      <c r="I165" s="8"/>
      <c r="J165" s="8">
        <v>-1</v>
      </c>
      <c r="K165" s="8"/>
      <c r="L165" s="8">
        <v>-1</v>
      </c>
      <c r="M165" s="8">
        <v>-6</v>
      </c>
      <c r="N165" s="8">
        <v>-2</v>
      </c>
      <c r="O165" s="8"/>
      <c r="P165" s="8">
        <v>-12</v>
      </c>
      <c r="Q165" s="23" t="str">
        <f>VLOOKUP(B165,[1]제품리스트!$A$2:$J$1000,10,FALSE)</f>
        <v>#015-Paint 4oz Chocolate</v>
      </c>
      <c r="R165" s="17">
        <f t="shared" si="10"/>
        <v>-1.0909090909090908</v>
      </c>
      <c r="S165" s="19">
        <f t="shared" si="11"/>
        <v>9.0909090909090898E-2</v>
      </c>
      <c r="T165" s="21">
        <f t="shared" si="12"/>
        <v>0.27272727272727271</v>
      </c>
      <c r="U165" s="19" t="e">
        <f>VLOOKUP(B165,[1]재고수량!$A$13:$D$651,3,FALSE)</f>
        <v>#N/A</v>
      </c>
      <c r="V165" s="21" t="e">
        <f t="shared" si="13"/>
        <v>#N/A</v>
      </c>
      <c r="X165">
        <f>VLOOKUP(B165,[1]제품리스트!$A$2:$F$1110,5,FALSE)</f>
        <v>27</v>
      </c>
      <c r="Y165" s="19">
        <f t="shared" si="14"/>
        <v>0</v>
      </c>
    </row>
    <row r="166" spans="1:25" hidden="1" x14ac:dyDescent="0.3">
      <c r="A166" s="5"/>
      <c r="B166" s="6">
        <v>72004018</v>
      </c>
      <c r="C166" t="s">
        <v>189</v>
      </c>
      <c r="D166" s="7">
        <v>-7</v>
      </c>
      <c r="E166" s="8">
        <v>-4</v>
      </c>
      <c r="F166" s="8">
        <v>-8</v>
      </c>
      <c r="G166" s="8">
        <v>-5</v>
      </c>
      <c r="H166" s="8"/>
      <c r="I166" s="8">
        <v>-5</v>
      </c>
      <c r="J166" s="8">
        <v>-4</v>
      </c>
      <c r="K166" s="8">
        <v>-6</v>
      </c>
      <c r="L166" s="8">
        <v>-9</v>
      </c>
      <c r="M166" s="8">
        <v>-12</v>
      </c>
      <c r="N166" s="8">
        <v>-3</v>
      </c>
      <c r="O166" s="8"/>
      <c r="P166" s="8">
        <v>-63</v>
      </c>
      <c r="Q166" s="23" t="str">
        <f>VLOOKUP(B166,[1]제품리스트!$A$2:$J$1000,10,FALSE)</f>
        <v>#018-Paint 4oz DarkBrown</v>
      </c>
      <c r="R166" s="17">
        <f t="shared" si="10"/>
        <v>-5.7272727272727275</v>
      </c>
      <c r="S166" s="19">
        <f t="shared" si="11"/>
        <v>0.47727272727272729</v>
      </c>
      <c r="T166" s="21">
        <f t="shared" si="12"/>
        <v>1.4318181818181819</v>
      </c>
      <c r="U166" s="19" t="e">
        <f>VLOOKUP(B166,[1]재고수량!$A$13:$D$651,3,FALSE)</f>
        <v>#N/A</v>
      </c>
      <c r="V166" s="21" t="e">
        <f t="shared" si="13"/>
        <v>#N/A</v>
      </c>
      <c r="X166">
        <f>VLOOKUP(B166,[1]제품리스트!$A$2:$F$1110,5,FALSE)</f>
        <v>27</v>
      </c>
      <c r="Y166" s="19">
        <f t="shared" si="14"/>
        <v>0</v>
      </c>
    </row>
    <row r="167" spans="1:25" hidden="1" x14ac:dyDescent="0.3">
      <c r="A167" s="5"/>
      <c r="B167" s="6">
        <v>72004019</v>
      </c>
      <c r="C167" t="s">
        <v>190</v>
      </c>
      <c r="D167" s="7">
        <v>-1</v>
      </c>
      <c r="E167" s="8">
        <v>-2</v>
      </c>
      <c r="F167" s="8">
        <v>0</v>
      </c>
      <c r="G167" s="8">
        <v>-2</v>
      </c>
      <c r="H167" s="8"/>
      <c r="I167" s="8"/>
      <c r="J167" s="8"/>
      <c r="K167" s="8"/>
      <c r="L167" s="8"/>
      <c r="M167" s="8">
        <v>-2</v>
      </c>
      <c r="N167" s="8"/>
      <c r="O167" s="8"/>
      <c r="P167" s="8">
        <v>-7</v>
      </c>
      <c r="Q167" s="23" t="str">
        <f>VLOOKUP(B167,[1]제품리스트!$A$2:$J$1000,10,FALSE)</f>
        <v>#019-Paint 4oz English Tan</v>
      </c>
      <c r="R167" s="17">
        <f t="shared" si="10"/>
        <v>-0.63636363636363635</v>
      </c>
      <c r="S167" s="19">
        <f t="shared" si="11"/>
        <v>5.3030303030303032E-2</v>
      </c>
      <c r="T167" s="21">
        <f t="shared" si="12"/>
        <v>0.15909090909090909</v>
      </c>
      <c r="U167" s="19" t="e">
        <f>VLOOKUP(B167,[1]재고수량!$A$13:$D$651,3,FALSE)</f>
        <v>#N/A</v>
      </c>
      <c r="V167" s="21" t="e">
        <f t="shared" si="13"/>
        <v>#N/A</v>
      </c>
      <c r="X167">
        <f>VLOOKUP(B167,[1]제품리스트!$A$2:$F$1110,5,FALSE)</f>
        <v>27</v>
      </c>
      <c r="Y167" s="19">
        <f t="shared" si="14"/>
        <v>0</v>
      </c>
    </row>
    <row r="168" spans="1:25" hidden="1" x14ac:dyDescent="0.3">
      <c r="A168" s="5"/>
      <c r="B168" s="6">
        <v>72004021</v>
      </c>
      <c r="C168" t="s">
        <v>191</v>
      </c>
      <c r="D168" s="7">
        <v>-12</v>
      </c>
      <c r="E168" s="8">
        <v>-1</v>
      </c>
      <c r="F168" s="8">
        <v>-5</v>
      </c>
      <c r="G168" s="8"/>
      <c r="H168" s="8">
        <v>-1</v>
      </c>
      <c r="I168" s="8"/>
      <c r="J168" s="8"/>
      <c r="K168" s="8"/>
      <c r="L168" s="8">
        <v>-2</v>
      </c>
      <c r="M168" s="8"/>
      <c r="N168" s="8">
        <v>-1</v>
      </c>
      <c r="O168" s="8"/>
      <c r="P168" s="8">
        <v>-22</v>
      </c>
      <c r="Q168" s="23" t="str">
        <f>VLOOKUP(B168,[1]제품리스트!$A$2:$J$1000,10,FALSE)</f>
        <v>#021-Paint 4oz LightBrown</v>
      </c>
      <c r="R168" s="17">
        <f t="shared" si="10"/>
        <v>-2</v>
      </c>
      <c r="S168" s="19">
        <f t="shared" si="11"/>
        <v>0.16666666666666666</v>
      </c>
      <c r="T168" s="21">
        <f t="shared" si="12"/>
        <v>0.5</v>
      </c>
      <c r="U168" s="19" t="e">
        <f>VLOOKUP(B168,[1]재고수량!$A$13:$D$651,3,FALSE)</f>
        <v>#N/A</v>
      </c>
      <c r="V168" s="21" t="e">
        <f t="shared" si="13"/>
        <v>#N/A</v>
      </c>
      <c r="X168">
        <f>VLOOKUP(B168,[1]제품리스트!$A$2:$F$1110,5,FALSE)</f>
        <v>27</v>
      </c>
      <c r="Y168" s="19">
        <f t="shared" si="14"/>
        <v>0</v>
      </c>
    </row>
    <row r="169" spans="1:25" hidden="1" x14ac:dyDescent="0.3">
      <c r="A169" s="5"/>
      <c r="B169" s="6">
        <v>72004024</v>
      </c>
      <c r="C169" t="s">
        <v>192</v>
      </c>
      <c r="D169" s="7">
        <v>-12</v>
      </c>
      <c r="E169" s="8">
        <v>-3</v>
      </c>
      <c r="F169" s="8">
        <v>-5</v>
      </c>
      <c r="G169" s="8">
        <v>1</v>
      </c>
      <c r="H169" s="8">
        <v>-1</v>
      </c>
      <c r="I169" s="8">
        <v>-1</v>
      </c>
      <c r="J169" s="8">
        <v>-5</v>
      </c>
      <c r="K169" s="8">
        <v>-3</v>
      </c>
      <c r="L169" s="8">
        <v>-4</v>
      </c>
      <c r="M169" s="8">
        <v>-4</v>
      </c>
      <c r="N169" s="8">
        <v>-2</v>
      </c>
      <c r="O169" s="8"/>
      <c r="P169" s="8">
        <v>-39</v>
      </c>
      <c r="Q169" s="23" t="str">
        <f>VLOOKUP(B169,[1]제품리스트!$A$2:$J$1000,10,FALSE)</f>
        <v>#024-Paint 4oz Orange</v>
      </c>
      <c r="R169" s="17">
        <f t="shared" si="10"/>
        <v>-3.5454545454545454</v>
      </c>
      <c r="S169" s="19">
        <f t="shared" si="11"/>
        <v>0.29545454545454547</v>
      </c>
      <c r="T169" s="21">
        <f t="shared" si="12"/>
        <v>0.88636363636363646</v>
      </c>
      <c r="U169" s="19" t="e">
        <f>VLOOKUP(B169,[1]재고수량!$A$13:$D$651,3,FALSE)</f>
        <v>#N/A</v>
      </c>
      <c r="V169" s="21" t="e">
        <f t="shared" si="13"/>
        <v>#N/A</v>
      </c>
      <c r="X169">
        <f>VLOOKUP(B169,[1]제품리스트!$A$2:$F$1110,5,FALSE)</f>
        <v>27</v>
      </c>
      <c r="Y169" s="19">
        <f t="shared" si="14"/>
        <v>0</v>
      </c>
    </row>
    <row r="170" spans="1:25" hidden="1" x14ac:dyDescent="0.3">
      <c r="A170" s="5"/>
      <c r="B170" s="6">
        <v>72004027</v>
      </c>
      <c r="C170" t="s">
        <v>193</v>
      </c>
      <c r="D170" s="7"/>
      <c r="E170" s="8"/>
      <c r="F170" s="8"/>
      <c r="G170" s="8"/>
      <c r="H170" s="8"/>
      <c r="I170" s="8"/>
      <c r="J170" s="8"/>
      <c r="K170" s="8">
        <v>-1</v>
      </c>
      <c r="L170" s="8"/>
      <c r="M170" s="8">
        <v>-3</v>
      </c>
      <c r="N170" s="8"/>
      <c r="O170" s="8"/>
      <c r="P170" s="8">
        <v>-4</v>
      </c>
      <c r="Q170" s="23" t="str">
        <f>VLOOKUP(B170,[1]제품리스트!$A$2:$J$1000,10,FALSE)</f>
        <v>#027- Paint 4oz SADDLE</v>
      </c>
      <c r="R170" s="17">
        <f t="shared" si="10"/>
        <v>-0.36363636363636365</v>
      </c>
      <c r="S170" s="19">
        <f t="shared" si="11"/>
        <v>3.0303030303030304E-2</v>
      </c>
      <c r="T170" s="21">
        <f t="shared" si="12"/>
        <v>9.0909090909090912E-2</v>
      </c>
      <c r="U170" s="19" t="e">
        <f>VLOOKUP(B170,[1]재고수량!$A$13:$D$651,3,FALSE)</f>
        <v>#N/A</v>
      </c>
      <c r="V170" s="21" t="e">
        <f t="shared" si="13"/>
        <v>#N/A</v>
      </c>
      <c r="X170">
        <f>VLOOKUP(B170,[1]제품리스트!$A$2:$F$1110,5,FALSE)</f>
        <v>27</v>
      </c>
      <c r="Y170" s="19">
        <f t="shared" si="14"/>
        <v>0</v>
      </c>
    </row>
    <row r="171" spans="1:25" hidden="1" x14ac:dyDescent="0.3">
      <c r="A171" s="5"/>
      <c r="B171" s="6">
        <v>72004029</v>
      </c>
      <c r="C171" t="s">
        <v>194</v>
      </c>
      <c r="D171" s="7"/>
      <c r="E171" s="8"/>
      <c r="F171" s="8"/>
      <c r="G171" s="8"/>
      <c r="H171" s="8"/>
      <c r="I171" s="8">
        <v>-1</v>
      </c>
      <c r="J171" s="8"/>
      <c r="K171" s="8">
        <v>-4</v>
      </c>
      <c r="L171" s="8">
        <v>-1</v>
      </c>
      <c r="M171" s="8">
        <v>-2</v>
      </c>
      <c r="N171" s="8"/>
      <c r="O171" s="8"/>
      <c r="P171" s="8">
        <v>-8</v>
      </c>
      <c r="Q171" s="23" t="str">
        <f>VLOOKUP(B171,[1]제품리스트!$A$2:$J$1000,10,FALSE)</f>
        <v>#029- Paint 4oz Tan</v>
      </c>
      <c r="R171" s="17">
        <f t="shared" si="10"/>
        <v>-0.72727272727272729</v>
      </c>
      <c r="S171" s="19">
        <f t="shared" si="11"/>
        <v>6.0606060606060608E-2</v>
      </c>
      <c r="T171" s="21">
        <f t="shared" si="12"/>
        <v>0.18181818181818182</v>
      </c>
      <c r="U171" s="19" t="e">
        <f>VLOOKUP(B171,[1]재고수량!$A$13:$D$651,3,FALSE)</f>
        <v>#N/A</v>
      </c>
      <c r="V171" s="21" t="e">
        <f t="shared" si="13"/>
        <v>#N/A</v>
      </c>
      <c r="X171">
        <f>VLOOKUP(B171,[1]제품리스트!$A$2:$F$1110,5,FALSE)</f>
        <v>27</v>
      </c>
      <c r="Y171" s="19">
        <f t="shared" si="14"/>
        <v>0</v>
      </c>
    </row>
    <row r="172" spans="1:25" hidden="1" x14ac:dyDescent="0.3">
      <c r="A172" s="5"/>
      <c r="B172" s="6">
        <v>72004040</v>
      </c>
      <c r="C172" t="s">
        <v>195</v>
      </c>
      <c r="D172" s="7">
        <v>-7</v>
      </c>
      <c r="E172" s="8">
        <v>-11</v>
      </c>
      <c r="F172" s="8">
        <v>-2</v>
      </c>
      <c r="G172" s="8">
        <v>-5</v>
      </c>
      <c r="H172" s="8">
        <v>-11</v>
      </c>
      <c r="I172" s="8">
        <v>0</v>
      </c>
      <c r="J172" s="8">
        <v>-3</v>
      </c>
      <c r="K172" s="8">
        <v>-8</v>
      </c>
      <c r="L172" s="8">
        <v>-2</v>
      </c>
      <c r="M172" s="8">
        <v>-8</v>
      </c>
      <c r="N172" s="8">
        <v>-4</v>
      </c>
      <c r="O172" s="8"/>
      <c r="P172" s="8">
        <v>-61</v>
      </c>
      <c r="Q172" s="23" t="str">
        <f>VLOOKUP(B172,[1]제품리스트!$A$2:$J$1000,10,FALSE)</f>
        <v>#040-Paint 4oz BLUE</v>
      </c>
      <c r="R172" s="17">
        <f t="shared" si="10"/>
        <v>-5.5454545454545459</v>
      </c>
      <c r="S172" s="19">
        <f t="shared" si="11"/>
        <v>0.46212121212121215</v>
      </c>
      <c r="T172" s="21">
        <f t="shared" si="12"/>
        <v>1.3863636363636365</v>
      </c>
      <c r="U172" s="19" t="e">
        <f>VLOOKUP(B172,[1]재고수량!$A$13:$D$651,3,FALSE)</f>
        <v>#N/A</v>
      </c>
      <c r="V172" s="21" t="e">
        <f t="shared" si="13"/>
        <v>#N/A</v>
      </c>
      <c r="X172">
        <f>VLOOKUP(B172,[1]제품리스트!$A$2:$F$1110,5,FALSE)</f>
        <v>27</v>
      </c>
      <c r="Y172" s="19">
        <f t="shared" si="14"/>
        <v>0</v>
      </c>
    </row>
    <row r="173" spans="1:25" hidden="1" x14ac:dyDescent="0.3">
      <c r="A173" s="5"/>
      <c r="B173" s="6">
        <v>72004041</v>
      </c>
      <c r="C173" t="s">
        <v>196</v>
      </c>
      <c r="D173" s="7">
        <v>-2</v>
      </c>
      <c r="E173" s="8"/>
      <c r="F173" s="8"/>
      <c r="G173" s="8">
        <v>-1</v>
      </c>
      <c r="H173" s="8">
        <v>-1</v>
      </c>
      <c r="I173" s="8">
        <v>-1</v>
      </c>
      <c r="J173" s="8"/>
      <c r="K173" s="8"/>
      <c r="L173" s="8"/>
      <c r="M173" s="8">
        <v>-1</v>
      </c>
      <c r="N173" s="8"/>
      <c r="O173" s="8"/>
      <c r="P173" s="8">
        <v>-6</v>
      </c>
      <c r="Q173" s="23" t="str">
        <f>VLOOKUP(B173,[1]제품리스트!$A$2:$J$1000,10,FALSE)</f>
        <v>#041-Paint 4oz LightBLUE</v>
      </c>
      <c r="R173" s="17">
        <f t="shared" si="10"/>
        <v>-0.54545454545454541</v>
      </c>
      <c r="S173" s="19">
        <f t="shared" si="11"/>
        <v>4.5454545454545449E-2</v>
      </c>
      <c r="T173" s="21">
        <f t="shared" si="12"/>
        <v>0.13636363636363635</v>
      </c>
      <c r="U173" s="19" t="e">
        <f>VLOOKUP(B173,[1]재고수량!$A$13:$D$651,3,FALSE)</f>
        <v>#N/A</v>
      </c>
      <c r="V173" s="21" t="e">
        <f t="shared" si="13"/>
        <v>#N/A</v>
      </c>
      <c r="X173">
        <f>VLOOKUP(B173,[1]제품리스트!$A$2:$F$1110,5,FALSE)</f>
        <v>27</v>
      </c>
      <c r="Y173" s="19">
        <f t="shared" si="14"/>
        <v>0</v>
      </c>
    </row>
    <row r="174" spans="1:25" hidden="1" x14ac:dyDescent="0.3">
      <c r="A174" s="5"/>
      <c r="B174" s="6">
        <v>72004042</v>
      </c>
      <c r="C174" t="s">
        <v>197</v>
      </c>
      <c r="D174" s="7">
        <v>-2</v>
      </c>
      <c r="E174" s="8">
        <v>-2</v>
      </c>
      <c r="F174" s="8">
        <v>-3</v>
      </c>
      <c r="G174" s="8">
        <v>-1</v>
      </c>
      <c r="H174" s="8"/>
      <c r="I174" s="8"/>
      <c r="J174" s="8">
        <v>-1</v>
      </c>
      <c r="K174" s="8">
        <v>-7</v>
      </c>
      <c r="L174" s="8">
        <v>-2</v>
      </c>
      <c r="M174" s="8">
        <v>-7</v>
      </c>
      <c r="N174" s="8">
        <v>-2</v>
      </c>
      <c r="O174" s="8"/>
      <c r="P174" s="8">
        <v>-27</v>
      </c>
      <c r="Q174" s="23" t="str">
        <f>VLOOKUP(B174,[1]제품리스트!$A$2:$J$1000,10,FALSE)</f>
        <v>#042-Paint 4oz NavyBlue</v>
      </c>
      <c r="R174" s="17">
        <f t="shared" si="10"/>
        <v>-2.4545454545454546</v>
      </c>
      <c r="S174" s="19">
        <f t="shared" si="11"/>
        <v>0.20454545454545456</v>
      </c>
      <c r="T174" s="21">
        <f t="shared" si="12"/>
        <v>0.61363636363636365</v>
      </c>
      <c r="U174" s="19" t="e">
        <f>VLOOKUP(B174,[1]재고수량!$A$13:$D$651,3,FALSE)</f>
        <v>#N/A</v>
      </c>
      <c r="V174" s="21" t="e">
        <f t="shared" si="13"/>
        <v>#N/A</v>
      </c>
      <c r="X174">
        <f>VLOOKUP(B174,[1]제품리스트!$A$2:$F$1110,5,FALSE)</f>
        <v>27</v>
      </c>
      <c r="Y174" s="19">
        <f t="shared" si="14"/>
        <v>0</v>
      </c>
    </row>
    <row r="175" spans="1:25" hidden="1" x14ac:dyDescent="0.3">
      <c r="A175" s="5"/>
      <c r="B175" s="6">
        <v>72004043</v>
      </c>
      <c r="C175" t="s">
        <v>198</v>
      </c>
      <c r="D175" s="7"/>
      <c r="E175" s="8">
        <v>-1</v>
      </c>
      <c r="F175" s="8">
        <v>-2</v>
      </c>
      <c r="G175" s="8"/>
      <c r="H175" s="8"/>
      <c r="I175" s="8"/>
      <c r="J175" s="8"/>
      <c r="K175" s="8"/>
      <c r="L175" s="8">
        <v>-1</v>
      </c>
      <c r="M175" s="8"/>
      <c r="N175" s="8">
        <v>-1</v>
      </c>
      <c r="O175" s="8"/>
      <c r="P175" s="8">
        <v>-5</v>
      </c>
      <c r="Q175" s="23" t="str">
        <f>VLOOKUP(B175,[1]제품리스트!$A$2:$J$1000,10,FALSE)</f>
        <v>#043-Paint 4oz Turgouise</v>
      </c>
      <c r="R175" s="17">
        <f t="shared" si="10"/>
        <v>-0.45454545454545453</v>
      </c>
      <c r="S175" s="19">
        <f t="shared" si="11"/>
        <v>3.787878787878788E-2</v>
      </c>
      <c r="T175" s="21">
        <f t="shared" si="12"/>
        <v>0.11363636363636365</v>
      </c>
      <c r="U175" s="19" t="e">
        <f>VLOOKUP(B175,[1]재고수량!$A$13:$D$651,3,FALSE)</f>
        <v>#N/A</v>
      </c>
      <c r="V175" s="21" t="e">
        <f t="shared" si="13"/>
        <v>#N/A</v>
      </c>
      <c r="X175">
        <f>VLOOKUP(B175,[1]제품리스트!$A$2:$F$1110,5,FALSE)</f>
        <v>27</v>
      </c>
      <c r="Y175" s="19">
        <f t="shared" si="14"/>
        <v>0</v>
      </c>
    </row>
    <row r="176" spans="1:25" hidden="1" x14ac:dyDescent="0.3">
      <c r="A176" s="5"/>
      <c r="B176" s="6">
        <v>72004045</v>
      </c>
      <c r="C176" t="s">
        <v>199</v>
      </c>
      <c r="D176" s="7"/>
      <c r="E176" s="8">
        <v>-1</v>
      </c>
      <c r="F176" s="8"/>
      <c r="G176" s="8"/>
      <c r="H176" s="8"/>
      <c r="I176" s="8">
        <v>-7</v>
      </c>
      <c r="J176" s="8">
        <v>1</v>
      </c>
      <c r="K176" s="8">
        <v>0</v>
      </c>
      <c r="L176" s="8">
        <v>-1</v>
      </c>
      <c r="M176" s="8">
        <v>-1</v>
      </c>
      <c r="N176" s="8">
        <v>-1</v>
      </c>
      <c r="O176" s="8"/>
      <c r="P176" s="8">
        <v>-10</v>
      </c>
      <c r="Q176" s="23" t="str">
        <f>VLOOKUP(B176,[1]제품리스트!$A$2:$J$1000,10,FALSE)</f>
        <v>#045-Paint 4oz Blue Turquoise</v>
      </c>
      <c r="R176" s="17">
        <f t="shared" si="10"/>
        <v>-0.90909090909090906</v>
      </c>
      <c r="S176" s="19">
        <f t="shared" si="11"/>
        <v>7.575757575757576E-2</v>
      </c>
      <c r="T176" s="21">
        <f t="shared" si="12"/>
        <v>0.22727272727272729</v>
      </c>
      <c r="U176" s="19" t="e">
        <f>VLOOKUP(B176,[1]재고수량!$A$13:$D$651,3,FALSE)</f>
        <v>#N/A</v>
      </c>
      <c r="V176" s="21" t="e">
        <f t="shared" si="13"/>
        <v>#N/A</v>
      </c>
      <c r="X176">
        <f>VLOOKUP(B176,[1]제품리스트!$A$2:$F$1110,5,FALSE)</f>
        <v>27</v>
      </c>
      <c r="Y176" s="19">
        <f t="shared" si="14"/>
        <v>0</v>
      </c>
    </row>
    <row r="177" spans="1:25" hidden="1" x14ac:dyDescent="0.3">
      <c r="A177" s="5"/>
      <c r="B177" s="6">
        <v>72004047</v>
      </c>
      <c r="C177" t="s">
        <v>200</v>
      </c>
      <c r="D177" s="7"/>
      <c r="E177" s="8">
        <v>-6</v>
      </c>
      <c r="F177" s="8"/>
      <c r="G177" s="8">
        <v>0</v>
      </c>
      <c r="H177" s="8">
        <v>0</v>
      </c>
      <c r="I177" s="8"/>
      <c r="J177" s="8">
        <v>-2</v>
      </c>
      <c r="K177" s="8">
        <v>-1</v>
      </c>
      <c r="L177" s="8">
        <v>-1</v>
      </c>
      <c r="M177" s="8"/>
      <c r="N177" s="8">
        <v>-1</v>
      </c>
      <c r="O177" s="8"/>
      <c r="P177" s="8">
        <v>-11</v>
      </c>
      <c r="Q177" s="23" t="str">
        <f>VLOOKUP(B177,[1]제품리스트!$A$2:$J$1000,10,FALSE)</f>
        <v>#047-Paint 4oz Purple</v>
      </c>
      <c r="R177" s="17">
        <f t="shared" si="10"/>
        <v>-1</v>
      </c>
      <c r="S177" s="19">
        <f t="shared" si="11"/>
        <v>8.3333333333333329E-2</v>
      </c>
      <c r="T177" s="21">
        <f t="shared" si="12"/>
        <v>0.25</v>
      </c>
      <c r="U177" s="19" t="e">
        <f>VLOOKUP(B177,[1]재고수량!$A$13:$D$651,3,FALSE)</f>
        <v>#N/A</v>
      </c>
      <c r="V177" s="21" t="e">
        <f t="shared" si="13"/>
        <v>#N/A</v>
      </c>
      <c r="X177">
        <f>VLOOKUP(B177,[1]제품리스트!$A$2:$F$1110,5,FALSE)</f>
        <v>27</v>
      </c>
      <c r="Y177" s="19">
        <f t="shared" si="14"/>
        <v>0</v>
      </c>
    </row>
    <row r="178" spans="1:25" hidden="1" x14ac:dyDescent="0.3">
      <c r="A178" s="5"/>
      <c r="B178" s="6">
        <v>72004050</v>
      </c>
      <c r="C178" t="s">
        <v>201</v>
      </c>
      <c r="D178" s="7">
        <v>-1</v>
      </c>
      <c r="E178" s="8">
        <v>-9</v>
      </c>
      <c r="F178" s="8">
        <v>-4</v>
      </c>
      <c r="G178" s="8">
        <v>-3</v>
      </c>
      <c r="H178" s="8">
        <v>-8</v>
      </c>
      <c r="I178" s="8">
        <v>0</v>
      </c>
      <c r="J178" s="8">
        <v>-4</v>
      </c>
      <c r="K178" s="8">
        <v>-6</v>
      </c>
      <c r="L178" s="8">
        <v>-2</v>
      </c>
      <c r="M178" s="8">
        <v>-1</v>
      </c>
      <c r="N178" s="8">
        <v>-1</v>
      </c>
      <c r="O178" s="8"/>
      <c r="P178" s="8">
        <v>-39</v>
      </c>
      <c r="Q178" s="23" t="str">
        <f>VLOOKUP(B178,[1]제품리스트!$A$2:$J$1000,10,FALSE)</f>
        <v>#050-Paint 4oz Green</v>
      </c>
      <c r="R178" s="17">
        <f t="shared" si="10"/>
        <v>-3.5454545454545454</v>
      </c>
      <c r="S178" s="19">
        <f t="shared" si="11"/>
        <v>0.29545454545454547</v>
      </c>
      <c r="T178" s="21">
        <f t="shared" si="12"/>
        <v>0.88636363636363646</v>
      </c>
      <c r="U178" s="19" t="e">
        <f>VLOOKUP(B178,[1]재고수량!$A$13:$D$651,3,FALSE)</f>
        <v>#N/A</v>
      </c>
      <c r="V178" s="21" t="e">
        <f t="shared" si="13"/>
        <v>#N/A</v>
      </c>
      <c r="X178">
        <f>VLOOKUP(B178,[1]제품리스트!$A$2:$F$1110,5,FALSE)</f>
        <v>27</v>
      </c>
      <c r="Y178" s="19">
        <f t="shared" si="14"/>
        <v>0</v>
      </c>
    </row>
    <row r="179" spans="1:25" hidden="1" x14ac:dyDescent="0.3">
      <c r="A179" s="5"/>
      <c r="B179" s="6">
        <v>72004052</v>
      </c>
      <c r="C179" t="s">
        <v>202</v>
      </c>
      <c r="D179" s="7">
        <v>2</v>
      </c>
      <c r="E179" s="8">
        <v>-1</v>
      </c>
      <c r="F179" s="8">
        <v>0</v>
      </c>
      <c r="G179" s="8">
        <v>-1</v>
      </c>
      <c r="H179" s="8"/>
      <c r="I179" s="8">
        <v>-2</v>
      </c>
      <c r="J179" s="8"/>
      <c r="K179" s="8"/>
      <c r="L179" s="8">
        <v>-1</v>
      </c>
      <c r="M179" s="8">
        <v>-1</v>
      </c>
      <c r="N179" s="8">
        <v>-1</v>
      </c>
      <c r="O179" s="8"/>
      <c r="P179" s="8">
        <v>-5</v>
      </c>
      <c r="Q179" s="23" t="str">
        <f>VLOOKUP(B179,[1]제품리스트!$A$2:$J$1000,10,FALSE)</f>
        <v>#052-Paint 4oz MidniteGreen</v>
      </c>
      <c r="R179" s="17">
        <f t="shared" si="10"/>
        <v>-0.45454545454545453</v>
      </c>
      <c r="S179" s="19">
        <f t="shared" si="11"/>
        <v>3.787878787878788E-2</v>
      </c>
      <c r="T179" s="21">
        <f t="shared" si="12"/>
        <v>0.11363636363636365</v>
      </c>
      <c r="U179" s="19" t="e">
        <f>VLOOKUP(B179,[1]재고수량!$A$13:$D$651,3,FALSE)</f>
        <v>#N/A</v>
      </c>
      <c r="V179" s="21" t="e">
        <f t="shared" si="13"/>
        <v>#N/A</v>
      </c>
      <c r="X179">
        <f>VLOOKUP(B179,[1]제품리스트!$A$2:$F$1110,5,FALSE)</f>
        <v>27</v>
      </c>
      <c r="Y179" s="19">
        <f t="shared" si="14"/>
        <v>0</v>
      </c>
    </row>
    <row r="180" spans="1:25" hidden="1" x14ac:dyDescent="0.3">
      <c r="A180" s="5"/>
      <c r="B180" s="6">
        <v>72004060</v>
      </c>
      <c r="C180" t="s">
        <v>203</v>
      </c>
      <c r="D180" s="7"/>
      <c r="E180" s="8">
        <v>-1</v>
      </c>
      <c r="F180" s="8"/>
      <c r="G180" s="8">
        <v>-2</v>
      </c>
      <c r="H180" s="8">
        <v>-2</v>
      </c>
      <c r="I180" s="8">
        <v>-6</v>
      </c>
      <c r="J180" s="8">
        <v>-4</v>
      </c>
      <c r="K180" s="8">
        <v>-2</v>
      </c>
      <c r="L180" s="8"/>
      <c r="M180" s="8">
        <v>-4</v>
      </c>
      <c r="N180" s="8">
        <v>-3</v>
      </c>
      <c r="O180" s="8"/>
      <c r="P180" s="8">
        <v>-24</v>
      </c>
      <c r="Q180" s="23" t="str">
        <f>VLOOKUP(B180,[1]제품리스트!$A$2:$J$1000,10,FALSE)</f>
        <v>#060-Paint 4oz Burgundy</v>
      </c>
      <c r="R180" s="17">
        <f t="shared" si="10"/>
        <v>-2.1818181818181817</v>
      </c>
      <c r="S180" s="19">
        <f t="shared" si="11"/>
        <v>0.1818181818181818</v>
      </c>
      <c r="T180" s="21">
        <f t="shared" si="12"/>
        <v>0.54545454545454541</v>
      </c>
      <c r="U180" s="19" t="e">
        <f>VLOOKUP(B180,[1]재고수량!$A$13:$D$651,3,FALSE)</f>
        <v>#N/A</v>
      </c>
      <c r="V180" s="21" t="e">
        <f t="shared" si="13"/>
        <v>#N/A</v>
      </c>
      <c r="X180">
        <f>VLOOKUP(B180,[1]제품리스트!$A$2:$F$1110,5,FALSE)</f>
        <v>27</v>
      </c>
      <c r="Y180" s="19">
        <f t="shared" si="14"/>
        <v>0</v>
      </c>
    </row>
    <row r="181" spans="1:25" hidden="1" x14ac:dyDescent="0.3">
      <c r="A181" s="5"/>
      <c r="B181" s="6">
        <v>72004064</v>
      </c>
      <c r="C181" t="s">
        <v>204</v>
      </c>
      <c r="D181" s="7">
        <v>-5</v>
      </c>
      <c r="E181" s="8">
        <v>-12</v>
      </c>
      <c r="F181" s="8">
        <v>-6</v>
      </c>
      <c r="G181" s="8">
        <v>-9</v>
      </c>
      <c r="H181" s="8">
        <v>-9</v>
      </c>
      <c r="I181" s="8">
        <v>0</v>
      </c>
      <c r="J181" s="8">
        <v>-14</v>
      </c>
      <c r="K181" s="8">
        <v>-27</v>
      </c>
      <c r="L181" s="8">
        <v>-13</v>
      </c>
      <c r="M181" s="8">
        <v>-6</v>
      </c>
      <c r="N181" s="8">
        <v>-2</v>
      </c>
      <c r="O181" s="8"/>
      <c r="P181" s="8">
        <v>-103</v>
      </c>
      <c r="Q181" s="23" t="str">
        <f>VLOOKUP(B181,[1]제품리스트!$A$2:$J$1000,10,FALSE)</f>
        <v>#064-Paint 4oz Red</v>
      </c>
      <c r="R181" s="17">
        <f t="shared" si="10"/>
        <v>-9.3636363636363633</v>
      </c>
      <c r="S181" s="19">
        <f t="shared" si="11"/>
        <v>0.78030303030303028</v>
      </c>
      <c r="T181" s="21">
        <f t="shared" si="12"/>
        <v>2.3409090909090908</v>
      </c>
      <c r="U181" s="19" t="e">
        <f>VLOOKUP(B181,[1]재고수량!$A$13:$D$651,3,FALSE)</f>
        <v>#N/A</v>
      </c>
      <c r="V181" s="21" t="e">
        <f t="shared" si="13"/>
        <v>#N/A</v>
      </c>
      <c r="X181">
        <f>VLOOKUP(B181,[1]제품리스트!$A$2:$F$1110,5,FALSE)</f>
        <v>27</v>
      </c>
      <c r="Y181" s="19">
        <f t="shared" si="14"/>
        <v>0</v>
      </c>
    </row>
    <row r="182" spans="1:25" hidden="1" x14ac:dyDescent="0.3">
      <c r="A182" s="5"/>
      <c r="B182" s="6">
        <v>72004070</v>
      </c>
      <c r="C182" t="s">
        <v>205</v>
      </c>
      <c r="D182" s="7">
        <v>-1</v>
      </c>
      <c r="E182" s="8">
        <v>-3</v>
      </c>
      <c r="F182" s="8">
        <v>-5</v>
      </c>
      <c r="G182" s="8">
        <v>-1</v>
      </c>
      <c r="H182" s="8">
        <v>-2</v>
      </c>
      <c r="I182" s="8"/>
      <c r="J182" s="8"/>
      <c r="K182" s="8"/>
      <c r="L182" s="8"/>
      <c r="M182" s="8">
        <v>-2</v>
      </c>
      <c r="N182" s="8">
        <v>-1</v>
      </c>
      <c r="O182" s="8"/>
      <c r="P182" s="8">
        <v>-15</v>
      </c>
      <c r="Q182" s="23" t="str">
        <f>VLOOKUP(B182,[1]제품리스트!$A$2:$J$1000,10,FALSE)</f>
        <v>#070-Paint 4oz Beige</v>
      </c>
      <c r="R182" s="17">
        <f t="shared" si="10"/>
        <v>-1.3636363636363635</v>
      </c>
      <c r="S182" s="19">
        <f t="shared" si="11"/>
        <v>0.11363636363636363</v>
      </c>
      <c r="T182" s="21">
        <f t="shared" si="12"/>
        <v>0.34090909090909088</v>
      </c>
      <c r="U182" s="19" t="e">
        <f>VLOOKUP(B182,[1]재고수량!$A$13:$D$651,3,FALSE)</f>
        <v>#N/A</v>
      </c>
      <c r="V182" s="21" t="e">
        <f t="shared" si="13"/>
        <v>#N/A</v>
      </c>
      <c r="X182">
        <f>VLOOKUP(B182,[1]제품리스트!$A$2:$F$1110,5,FALSE)</f>
        <v>27</v>
      </c>
      <c r="Y182" s="19">
        <f t="shared" si="14"/>
        <v>0</v>
      </c>
    </row>
    <row r="183" spans="1:25" hidden="1" x14ac:dyDescent="0.3">
      <c r="A183" s="5"/>
      <c r="B183" s="6">
        <v>72004075</v>
      </c>
      <c r="C183" t="s">
        <v>206</v>
      </c>
      <c r="D183" s="7">
        <v>-2</v>
      </c>
      <c r="E183" s="8">
        <v>-11</v>
      </c>
      <c r="F183" s="8">
        <v>-9</v>
      </c>
      <c r="G183" s="8">
        <v>-6</v>
      </c>
      <c r="H183" s="8">
        <v>-19</v>
      </c>
      <c r="I183" s="8">
        <v>-3</v>
      </c>
      <c r="J183" s="8">
        <v>-10</v>
      </c>
      <c r="K183" s="8">
        <v>-12</v>
      </c>
      <c r="L183" s="8">
        <v>-9</v>
      </c>
      <c r="M183" s="8">
        <v>-7</v>
      </c>
      <c r="N183" s="8">
        <v>-3</v>
      </c>
      <c r="O183" s="8"/>
      <c r="P183" s="8">
        <v>-91</v>
      </c>
      <c r="Q183" s="23" t="str">
        <f>VLOOKUP(B183,[1]제품리스트!$A$2:$J$1000,10,FALSE)</f>
        <v>#075-Paint 4oz Yellow</v>
      </c>
      <c r="R183" s="17">
        <f t="shared" si="10"/>
        <v>-8.2727272727272734</v>
      </c>
      <c r="S183" s="19">
        <f t="shared" si="11"/>
        <v>0.68939393939393945</v>
      </c>
      <c r="T183" s="21">
        <f t="shared" si="12"/>
        <v>2.0681818181818183</v>
      </c>
      <c r="U183" s="19" t="e">
        <f>VLOOKUP(B183,[1]재고수량!$A$13:$D$651,3,FALSE)</f>
        <v>#N/A</v>
      </c>
      <c r="V183" s="21" t="e">
        <f t="shared" si="13"/>
        <v>#N/A</v>
      </c>
      <c r="X183">
        <f>VLOOKUP(B183,[1]제품리스트!$A$2:$F$1110,5,FALSE)</f>
        <v>27</v>
      </c>
      <c r="Y183" s="19">
        <f t="shared" si="14"/>
        <v>0</v>
      </c>
    </row>
    <row r="184" spans="1:25" hidden="1" x14ac:dyDescent="0.3">
      <c r="A184" s="5"/>
      <c r="B184" s="6">
        <v>72004080</v>
      </c>
      <c r="C184" t="s">
        <v>207</v>
      </c>
      <c r="D184" s="7"/>
      <c r="E184" s="8">
        <v>-1</v>
      </c>
      <c r="F184" s="8">
        <v>-2</v>
      </c>
      <c r="G184" s="8">
        <v>-1</v>
      </c>
      <c r="H184" s="8">
        <v>-5</v>
      </c>
      <c r="I184" s="8">
        <v>-1</v>
      </c>
      <c r="J184" s="8">
        <v>-1</v>
      </c>
      <c r="K184" s="8"/>
      <c r="L184" s="8"/>
      <c r="M184" s="8">
        <v>-4</v>
      </c>
      <c r="N184" s="8">
        <v>-1</v>
      </c>
      <c r="O184" s="8"/>
      <c r="P184" s="8">
        <v>-16</v>
      </c>
      <c r="Q184" s="23" t="str">
        <f>VLOOKUP(B184,[1]제품리스트!$A$2:$J$1000,10,FALSE)</f>
        <v>#080-Paint 4oz DarkGrey</v>
      </c>
      <c r="R184" s="17">
        <f t="shared" si="10"/>
        <v>-1.4545454545454546</v>
      </c>
      <c r="S184" s="19">
        <f t="shared" si="11"/>
        <v>0.12121212121212122</v>
      </c>
      <c r="T184" s="21">
        <f t="shared" si="12"/>
        <v>0.36363636363636365</v>
      </c>
      <c r="U184" s="19" t="e">
        <f>VLOOKUP(B184,[1]재고수량!$A$13:$D$651,3,FALSE)</f>
        <v>#N/A</v>
      </c>
      <c r="V184" s="21" t="e">
        <f t="shared" si="13"/>
        <v>#N/A</v>
      </c>
      <c r="X184">
        <f>VLOOKUP(B184,[1]제품리스트!$A$2:$F$1110,5,FALSE)</f>
        <v>27</v>
      </c>
      <c r="Y184" s="19">
        <f t="shared" si="14"/>
        <v>0</v>
      </c>
    </row>
    <row r="185" spans="1:25" hidden="1" x14ac:dyDescent="0.3">
      <c r="A185" s="5"/>
      <c r="B185" s="6">
        <v>72004081</v>
      </c>
      <c r="C185" t="s">
        <v>208</v>
      </c>
      <c r="D185" s="7"/>
      <c r="E185" s="8">
        <v>-1</v>
      </c>
      <c r="F185" s="8">
        <v>-1</v>
      </c>
      <c r="G185" s="8"/>
      <c r="H185" s="8">
        <v>-2</v>
      </c>
      <c r="I185" s="8"/>
      <c r="J185" s="8">
        <v>-2</v>
      </c>
      <c r="K185" s="8">
        <v>-2</v>
      </c>
      <c r="L185" s="8"/>
      <c r="M185" s="8">
        <v>-2</v>
      </c>
      <c r="N185" s="8">
        <v>-2</v>
      </c>
      <c r="O185" s="8"/>
      <c r="P185" s="8">
        <v>-12</v>
      </c>
      <c r="Q185" s="23" t="str">
        <f>VLOOKUP(B185,[1]제품리스트!$A$2:$J$1000,10,FALSE)</f>
        <v>#081-Paint 4oz Grey</v>
      </c>
      <c r="R185" s="17">
        <f t="shared" si="10"/>
        <v>-1.0909090909090908</v>
      </c>
      <c r="S185" s="19">
        <f t="shared" si="11"/>
        <v>9.0909090909090898E-2</v>
      </c>
      <c r="T185" s="21">
        <f t="shared" si="12"/>
        <v>0.27272727272727271</v>
      </c>
      <c r="U185" s="19" t="e">
        <f>VLOOKUP(B185,[1]재고수량!$A$13:$D$651,3,FALSE)</f>
        <v>#N/A</v>
      </c>
      <c r="V185" s="21" t="e">
        <f t="shared" si="13"/>
        <v>#N/A</v>
      </c>
      <c r="X185">
        <f>VLOOKUP(B185,[1]제품리스트!$A$2:$F$1110,5,FALSE)</f>
        <v>27</v>
      </c>
      <c r="Y185" s="19">
        <f t="shared" si="14"/>
        <v>0</v>
      </c>
    </row>
    <row r="186" spans="1:25" hidden="1" x14ac:dyDescent="0.3">
      <c r="A186" s="5"/>
      <c r="B186" s="6">
        <v>72004082</v>
      </c>
      <c r="C186" t="s">
        <v>209</v>
      </c>
      <c r="D186" s="7"/>
      <c r="E186" s="8">
        <v>-1</v>
      </c>
      <c r="F186" s="8">
        <v>-1</v>
      </c>
      <c r="G186" s="8">
        <v>0</v>
      </c>
      <c r="H186" s="8">
        <v>-1</v>
      </c>
      <c r="I186" s="8">
        <v>-1</v>
      </c>
      <c r="J186" s="8">
        <v>-4</v>
      </c>
      <c r="K186" s="8">
        <v>-1</v>
      </c>
      <c r="L186" s="8">
        <v>-3</v>
      </c>
      <c r="M186" s="8">
        <v>-3</v>
      </c>
      <c r="N186" s="8">
        <v>-3</v>
      </c>
      <c r="O186" s="8"/>
      <c r="P186" s="8">
        <v>-18</v>
      </c>
      <c r="Q186" s="23" t="str">
        <f>VLOOKUP(B186,[1]제품리스트!$A$2:$J$1000,10,FALSE)</f>
        <v>#082-Paint 4oz LightGrey</v>
      </c>
      <c r="R186" s="17">
        <f t="shared" si="10"/>
        <v>-1.6363636363636365</v>
      </c>
      <c r="S186" s="19">
        <f t="shared" si="11"/>
        <v>0.13636363636363638</v>
      </c>
      <c r="T186" s="21">
        <f t="shared" si="12"/>
        <v>0.40909090909090917</v>
      </c>
      <c r="U186" s="19" t="e">
        <f>VLOOKUP(B186,[1]재고수량!$A$13:$D$651,3,FALSE)</f>
        <v>#N/A</v>
      </c>
      <c r="V186" s="21" t="e">
        <f t="shared" si="13"/>
        <v>#N/A</v>
      </c>
      <c r="X186">
        <f>VLOOKUP(B186,[1]제품리스트!$A$2:$F$1110,5,FALSE)</f>
        <v>27</v>
      </c>
      <c r="Y186" s="19">
        <f t="shared" si="14"/>
        <v>0</v>
      </c>
    </row>
    <row r="187" spans="1:25" hidden="1" x14ac:dyDescent="0.3">
      <c r="A187" s="5"/>
      <c r="B187" s="6">
        <v>72004093</v>
      </c>
      <c r="C187" t="s">
        <v>210</v>
      </c>
      <c r="D187" s="7"/>
      <c r="E187" s="8"/>
      <c r="F187" s="8"/>
      <c r="G187" s="8"/>
      <c r="H187" s="8"/>
      <c r="I187" s="8"/>
      <c r="J187" s="8">
        <v>-1</v>
      </c>
      <c r="K187" s="8"/>
      <c r="L187" s="8"/>
      <c r="M187" s="8">
        <v>-1</v>
      </c>
      <c r="N187" s="8">
        <v>-1</v>
      </c>
      <c r="O187" s="8"/>
      <c r="P187" s="8">
        <v>-3</v>
      </c>
      <c r="Q187" s="23" t="str">
        <f>VLOOKUP(B187,[1]제품리스트!$A$2:$J$1000,10,FALSE)</f>
        <v>#093-Paint 4oz Brick</v>
      </c>
      <c r="R187" s="17">
        <f t="shared" si="10"/>
        <v>-0.27272727272727271</v>
      </c>
      <c r="S187" s="19">
        <f t="shared" si="11"/>
        <v>2.2727272727272724E-2</v>
      </c>
      <c r="T187" s="21">
        <f t="shared" si="12"/>
        <v>6.8181818181818177E-2</v>
      </c>
      <c r="U187" s="19" t="e">
        <f>VLOOKUP(B187,[1]재고수량!$A$13:$D$651,3,FALSE)</f>
        <v>#N/A</v>
      </c>
      <c r="V187" s="21" t="e">
        <f t="shared" si="13"/>
        <v>#N/A</v>
      </c>
      <c r="X187">
        <f>VLOOKUP(B187,[1]제품리스트!$A$2:$F$1110,5,FALSE)</f>
        <v>27</v>
      </c>
      <c r="Y187" s="19">
        <f t="shared" si="14"/>
        <v>0</v>
      </c>
    </row>
    <row r="188" spans="1:25" x14ac:dyDescent="0.3">
      <c r="A188" s="5"/>
      <c r="B188" s="6">
        <v>72004101</v>
      </c>
      <c r="C188" t="s">
        <v>211</v>
      </c>
      <c r="D188" s="7">
        <v>-18</v>
      </c>
      <c r="E188" s="8">
        <v>-31</v>
      </c>
      <c r="F188" s="8">
        <v>-30</v>
      </c>
      <c r="G188" s="8">
        <v>-38</v>
      </c>
      <c r="H188" s="8">
        <v>-38</v>
      </c>
      <c r="I188" s="8">
        <v>-14</v>
      </c>
      <c r="J188" s="8">
        <v>-29</v>
      </c>
      <c r="K188" s="8">
        <v>-35</v>
      </c>
      <c r="L188" s="8">
        <v>-24</v>
      </c>
      <c r="M188" s="8">
        <v>-29</v>
      </c>
      <c r="N188" s="8">
        <v>-22</v>
      </c>
      <c r="O188" s="8"/>
      <c r="P188" s="8">
        <v>-308</v>
      </c>
      <c r="Q188" s="23" t="str">
        <f>VLOOKUP(B188,[1]제품리스트!$A$2:$J$1000,10,FALSE)</f>
        <v>#101-Paint 4oz Flat Black</v>
      </c>
      <c r="R188" s="17">
        <f t="shared" si="10"/>
        <v>-28</v>
      </c>
      <c r="S188" s="19">
        <f t="shared" si="11"/>
        <v>2.3333333333333335</v>
      </c>
      <c r="T188" s="21">
        <f t="shared" si="12"/>
        <v>7</v>
      </c>
      <c r="U188" s="19" t="e">
        <f>VLOOKUP(B188,[1]재고수량!$A$13:$D$651,3,FALSE)</f>
        <v>#N/A</v>
      </c>
      <c r="V188" s="21" t="e">
        <f t="shared" si="13"/>
        <v>#N/A</v>
      </c>
      <c r="W188">
        <v>10</v>
      </c>
      <c r="X188">
        <f>VLOOKUP(B188,[1]제품리스트!$A$2:$F$1110,5,FALSE)</f>
        <v>27</v>
      </c>
      <c r="Y188" s="19">
        <f t="shared" si="14"/>
        <v>270</v>
      </c>
    </row>
    <row r="189" spans="1:25" x14ac:dyDescent="0.3">
      <c r="A189" s="5"/>
      <c r="B189" s="6">
        <v>72004105</v>
      </c>
      <c r="C189" t="s">
        <v>212</v>
      </c>
      <c r="D189" s="7">
        <v>-32</v>
      </c>
      <c r="E189" s="8">
        <v>-51</v>
      </c>
      <c r="F189" s="8">
        <v>-50</v>
      </c>
      <c r="G189" s="8">
        <v>-11</v>
      </c>
      <c r="H189" s="8">
        <v>-60</v>
      </c>
      <c r="I189" s="8">
        <v>-30</v>
      </c>
      <c r="J189" s="8">
        <v>-38</v>
      </c>
      <c r="K189" s="8">
        <v>-45</v>
      </c>
      <c r="L189" s="8">
        <v>-22</v>
      </c>
      <c r="M189" s="8">
        <v>-37</v>
      </c>
      <c r="N189" s="8">
        <v>-29</v>
      </c>
      <c r="O189" s="8"/>
      <c r="P189" s="8">
        <v>-405</v>
      </c>
      <c r="Q189" s="23" t="str">
        <f>VLOOKUP(B189,[1]제품리스트!$A$2:$J$1000,10,FALSE)</f>
        <v>#105-Paint 4oz Flat White</v>
      </c>
      <c r="R189" s="17">
        <f t="shared" si="10"/>
        <v>-36.81818181818182</v>
      </c>
      <c r="S189" s="19">
        <f t="shared" si="11"/>
        <v>3.0681818181818183</v>
      </c>
      <c r="T189" s="21">
        <f t="shared" si="12"/>
        <v>9.204545454545455</v>
      </c>
      <c r="U189" s="19" t="e">
        <f>VLOOKUP(B189,[1]재고수량!$A$13:$D$651,3,FALSE)</f>
        <v>#N/A</v>
      </c>
      <c r="V189" s="21" t="e">
        <f t="shared" si="13"/>
        <v>#N/A</v>
      </c>
      <c r="W189">
        <v>10</v>
      </c>
      <c r="X189">
        <f>VLOOKUP(B189,[1]제품리스트!$A$2:$F$1110,5,FALSE)</f>
        <v>27</v>
      </c>
      <c r="Y189" s="19">
        <f t="shared" si="14"/>
        <v>270</v>
      </c>
    </row>
    <row r="190" spans="1:25" hidden="1" x14ac:dyDescent="0.3">
      <c r="A190" s="5"/>
      <c r="B190" s="6">
        <v>72004150</v>
      </c>
      <c r="C190" t="s">
        <v>213</v>
      </c>
      <c r="D190" s="7">
        <v>-12</v>
      </c>
      <c r="E190" s="8">
        <v>0</v>
      </c>
      <c r="F190" s="8">
        <v>-1</v>
      </c>
      <c r="G190" s="8">
        <v>-5</v>
      </c>
      <c r="H190" s="8"/>
      <c r="I190" s="8">
        <v>-1</v>
      </c>
      <c r="J190" s="8">
        <v>-5</v>
      </c>
      <c r="K190" s="8">
        <v>0</v>
      </c>
      <c r="L190" s="8"/>
      <c r="M190" s="8">
        <v>0</v>
      </c>
      <c r="N190" s="8"/>
      <c r="O190" s="8"/>
      <c r="P190" s="8">
        <v>-24</v>
      </c>
      <c r="Q190" s="23" t="str">
        <f>VLOOKUP(B190,[1]제품리스트!$A$2:$J$1000,10,FALSE)</f>
        <v>#150-Paint 4oz SILVER</v>
      </c>
      <c r="R190" s="17">
        <f t="shared" si="10"/>
        <v>-2.1818181818181817</v>
      </c>
      <c r="S190" s="19">
        <f t="shared" si="11"/>
        <v>0.1818181818181818</v>
      </c>
      <c r="T190" s="21">
        <f t="shared" si="12"/>
        <v>0.54545454545454541</v>
      </c>
      <c r="U190" s="19" t="e">
        <f>VLOOKUP(B190,[1]재고수량!$A$13:$D$651,3,FALSE)</f>
        <v>#N/A</v>
      </c>
      <c r="V190" s="21" t="e">
        <f t="shared" si="13"/>
        <v>#N/A</v>
      </c>
      <c r="X190">
        <f>VLOOKUP(B190,[1]제품리스트!$A$2:$F$1110,5,FALSE)</f>
        <v>27</v>
      </c>
      <c r="Y190" s="19">
        <f t="shared" si="14"/>
        <v>0</v>
      </c>
    </row>
    <row r="191" spans="1:25" hidden="1" x14ac:dyDescent="0.3">
      <c r="A191" s="5"/>
      <c r="B191" s="6">
        <v>72004155</v>
      </c>
      <c r="C191" t="s">
        <v>214</v>
      </c>
      <c r="D191" s="7"/>
      <c r="E191" s="8">
        <v>-1</v>
      </c>
      <c r="F191" s="8">
        <v>-3</v>
      </c>
      <c r="G191" s="8"/>
      <c r="H191" s="8"/>
      <c r="I191" s="8"/>
      <c r="J191" s="8">
        <v>-1</v>
      </c>
      <c r="K191" s="8"/>
      <c r="L191" s="8"/>
      <c r="M191" s="8">
        <v>-2</v>
      </c>
      <c r="N191" s="8"/>
      <c r="O191" s="8"/>
      <c r="P191" s="8">
        <v>-7</v>
      </c>
      <c r="Q191" s="23" t="str">
        <f>VLOOKUP(B191,[1]제품리스트!$A$2:$J$1000,10,FALSE)</f>
        <v>#155-Paint 4oz Bone</v>
      </c>
      <c r="R191" s="17">
        <f t="shared" si="10"/>
        <v>-0.63636363636363635</v>
      </c>
      <c r="S191" s="19">
        <f t="shared" si="11"/>
        <v>5.3030303030303032E-2</v>
      </c>
      <c r="T191" s="21">
        <f t="shared" si="12"/>
        <v>0.15909090909090909</v>
      </c>
      <c r="U191" s="19" t="e">
        <f>VLOOKUP(B191,[1]재고수량!$A$13:$D$651,3,FALSE)</f>
        <v>#N/A</v>
      </c>
      <c r="V191" s="21" t="e">
        <f t="shared" si="13"/>
        <v>#N/A</v>
      </c>
      <c r="X191">
        <f>VLOOKUP(B191,[1]제품리스트!$A$2:$F$1110,5,FALSE)</f>
        <v>27</v>
      </c>
      <c r="Y191" s="19">
        <f t="shared" si="14"/>
        <v>0</v>
      </c>
    </row>
    <row r="192" spans="1:25" hidden="1" x14ac:dyDescent="0.3">
      <c r="A192" s="5"/>
      <c r="B192" s="6">
        <v>72004156</v>
      </c>
      <c r="C192" t="s">
        <v>215</v>
      </c>
      <c r="D192" s="7"/>
      <c r="E192" s="8"/>
      <c r="F192" s="8"/>
      <c r="G192" s="8"/>
      <c r="H192" s="8"/>
      <c r="I192" s="8"/>
      <c r="J192" s="8">
        <v>-1</v>
      </c>
      <c r="K192" s="8">
        <v>-1</v>
      </c>
      <c r="L192" s="8"/>
      <c r="M192" s="8"/>
      <c r="N192" s="8">
        <v>-1</v>
      </c>
      <c r="O192" s="8"/>
      <c r="P192" s="8">
        <v>-3</v>
      </c>
      <c r="Q192" s="23" t="str">
        <f>VLOOKUP(B192,[1]제품리스트!$A$2:$J$1000,10,FALSE)</f>
        <v>#156-Paint 4oz Champagne</v>
      </c>
      <c r="R192" s="17">
        <f t="shared" si="10"/>
        <v>-0.27272727272727271</v>
      </c>
      <c r="S192" s="19">
        <f t="shared" si="11"/>
        <v>2.2727272727272724E-2</v>
      </c>
      <c r="T192" s="21">
        <f t="shared" si="12"/>
        <v>6.8181818181818177E-2</v>
      </c>
      <c r="U192" s="19" t="e">
        <f>VLOOKUP(B192,[1]재고수량!$A$13:$D$651,3,FALSE)</f>
        <v>#N/A</v>
      </c>
      <c r="V192" s="21" t="e">
        <f t="shared" si="13"/>
        <v>#N/A</v>
      </c>
      <c r="X192">
        <f>VLOOKUP(B192,[1]제품리스트!$A$2:$F$1110,5,FALSE)</f>
        <v>27</v>
      </c>
      <c r="Y192" s="19">
        <f t="shared" si="14"/>
        <v>0</v>
      </c>
    </row>
    <row r="193" spans="1:25" hidden="1" x14ac:dyDescent="0.3">
      <c r="A193" s="5"/>
      <c r="B193" s="6">
        <v>72004159</v>
      </c>
      <c r="C193" t="s">
        <v>216</v>
      </c>
      <c r="D193" s="7"/>
      <c r="E193" s="8"/>
      <c r="F193" s="8"/>
      <c r="G193" s="8">
        <v>-1</v>
      </c>
      <c r="H193" s="8"/>
      <c r="I193" s="8"/>
      <c r="J193" s="8">
        <v>-1</v>
      </c>
      <c r="K193" s="8"/>
      <c r="L193" s="8"/>
      <c r="M193" s="8">
        <v>-1</v>
      </c>
      <c r="N193" s="8">
        <v>-1</v>
      </c>
      <c r="O193" s="8"/>
      <c r="P193" s="8">
        <v>-4</v>
      </c>
      <c r="Q193" s="23" t="str">
        <f>VLOOKUP(B193,[1]제품리스트!$A$2:$J$1000,10,FALSE)</f>
        <v>#159-Paint 4oz Mist</v>
      </c>
      <c r="R193" s="17">
        <f t="shared" si="10"/>
        <v>-0.36363636363636365</v>
      </c>
      <c r="S193" s="19">
        <f t="shared" si="11"/>
        <v>3.0303030303030304E-2</v>
      </c>
      <c r="T193" s="21">
        <f t="shared" si="12"/>
        <v>9.0909090909090912E-2</v>
      </c>
      <c r="U193" s="19" t="e">
        <f>VLOOKUP(B193,[1]재고수량!$A$13:$D$651,3,FALSE)</f>
        <v>#N/A</v>
      </c>
      <c r="V193" s="21" t="e">
        <f t="shared" si="13"/>
        <v>#N/A</v>
      </c>
      <c r="X193">
        <f>VLOOKUP(B193,[1]제품리스트!$A$2:$F$1110,5,FALSE)</f>
        <v>27</v>
      </c>
      <c r="Y193" s="19">
        <f t="shared" si="14"/>
        <v>0</v>
      </c>
    </row>
    <row r="194" spans="1:25" hidden="1" x14ac:dyDescent="0.3">
      <c r="A194" s="5"/>
      <c r="B194" s="6">
        <v>72004160</v>
      </c>
      <c r="C194" t="s">
        <v>217</v>
      </c>
      <c r="D194" s="7"/>
      <c r="E194" s="8"/>
      <c r="F194" s="8"/>
      <c r="G194" s="8"/>
      <c r="H194" s="8">
        <v>-3</v>
      </c>
      <c r="I194" s="8">
        <v>-6</v>
      </c>
      <c r="J194" s="8">
        <v>0</v>
      </c>
      <c r="K194" s="8">
        <v>-1</v>
      </c>
      <c r="L194" s="8">
        <v>-2</v>
      </c>
      <c r="M194" s="8">
        <v>-3</v>
      </c>
      <c r="N194" s="8"/>
      <c r="O194" s="8"/>
      <c r="P194" s="8">
        <v>-15</v>
      </c>
      <c r="Q194" s="23" t="str">
        <f>VLOOKUP(B194,[1]제품리스트!$A$2:$J$1000,10,FALSE)</f>
        <v>#160-Paint 4oz Vanilla</v>
      </c>
      <c r="R194" s="17">
        <f t="shared" si="10"/>
        <v>-1.3636363636363635</v>
      </c>
      <c r="S194" s="19">
        <f t="shared" si="11"/>
        <v>0.11363636363636363</v>
      </c>
      <c r="T194" s="21">
        <f t="shared" si="12"/>
        <v>0.34090909090909088</v>
      </c>
      <c r="U194" s="19" t="e">
        <f>VLOOKUP(B194,[1]재고수량!$A$13:$D$651,3,FALSE)</f>
        <v>#N/A</v>
      </c>
      <c r="V194" s="21" t="e">
        <f t="shared" si="13"/>
        <v>#N/A</v>
      </c>
      <c r="X194">
        <f>VLOOKUP(B194,[1]제품리스트!$A$2:$F$1110,5,FALSE)</f>
        <v>27</v>
      </c>
      <c r="Y194" s="19">
        <f t="shared" si="14"/>
        <v>0</v>
      </c>
    </row>
    <row r="195" spans="1:25" hidden="1" x14ac:dyDescent="0.3">
      <c r="A195" s="5"/>
      <c r="B195" s="6">
        <v>72004161</v>
      </c>
      <c r="C195" t="s">
        <v>218</v>
      </c>
      <c r="D195" s="7"/>
      <c r="E195" s="8"/>
      <c r="F195" s="8"/>
      <c r="G195" s="8">
        <v>-2</v>
      </c>
      <c r="H195" s="8">
        <v>-1</v>
      </c>
      <c r="I195" s="8"/>
      <c r="J195" s="8">
        <v>-1</v>
      </c>
      <c r="K195" s="8">
        <v>-1</v>
      </c>
      <c r="L195" s="8">
        <v>-2</v>
      </c>
      <c r="M195" s="8">
        <v>-7</v>
      </c>
      <c r="N195" s="8">
        <v>-2</v>
      </c>
      <c r="O195" s="8"/>
      <c r="P195" s="8">
        <v>-16</v>
      </c>
      <c r="Q195" s="23" t="str">
        <f>VLOOKUP(B195,[1]제품리스트!$A$2:$J$1000,10,FALSE)</f>
        <v>#161-Paint 4oz Natural</v>
      </c>
      <c r="R195" s="17">
        <f t="shared" si="10"/>
        <v>-1.4545454545454546</v>
      </c>
      <c r="S195" s="19">
        <f t="shared" si="11"/>
        <v>0.12121212121212122</v>
      </c>
      <c r="T195" s="21">
        <f t="shared" si="12"/>
        <v>0.36363636363636365</v>
      </c>
      <c r="U195" s="19" t="e">
        <f>VLOOKUP(B195,[1]재고수량!$A$13:$D$651,3,FALSE)</f>
        <v>#N/A</v>
      </c>
      <c r="V195" s="21" t="e">
        <f t="shared" si="13"/>
        <v>#N/A</v>
      </c>
      <c r="X195">
        <f>VLOOKUP(B195,[1]제품리스트!$A$2:$F$1110,5,FALSE)</f>
        <v>27</v>
      </c>
      <c r="Y195" s="19">
        <f t="shared" si="14"/>
        <v>0</v>
      </c>
    </row>
    <row r="196" spans="1:25" hidden="1" x14ac:dyDescent="0.3">
      <c r="A196" s="5"/>
      <c r="B196" s="6">
        <v>72004162</v>
      </c>
      <c r="C196" t="s">
        <v>219</v>
      </c>
      <c r="D196" s="7">
        <v>-3</v>
      </c>
      <c r="E196" s="8">
        <v>1</v>
      </c>
      <c r="F196" s="8">
        <v>-7</v>
      </c>
      <c r="G196" s="8"/>
      <c r="H196" s="8">
        <v>-1</v>
      </c>
      <c r="I196" s="8">
        <v>-3</v>
      </c>
      <c r="J196" s="8">
        <v>-2</v>
      </c>
      <c r="K196" s="8">
        <v>-1</v>
      </c>
      <c r="L196" s="8">
        <v>-2</v>
      </c>
      <c r="M196" s="8">
        <v>-3</v>
      </c>
      <c r="N196" s="8">
        <v>-5</v>
      </c>
      <c r="O196" s="8"/>
      <c r="P196" s="8">
        <v>-26</v>
      </c>
      <c r="Q196" s="23" t="str">
        <f>VLOOKUP(B196,[1]제품리스트!$A$2:$J$1000,10,FALSE)</f>
        <v>#162-Paint 4oz Cream</v>
      </c>
      <c r="R196" s="17">
        <f t="shared" si="10"/>
        <v>-2.3636363636363638</v>
      </c>
      <c r="S196" s="19">
        <f t="shared" si="11"/>
        <v>0.19696969696969699</v>
      </c>
      <c r="T196" s="21">
        <f t="shared" si="12"/>
        <v>0.59090909090909094</v>
      </c>
      <c r="U196" s="19" t="e">
        <f>VLOOKUP(B196,[1]재고수량!$A$13:$D$651,3,FALSE)</f>
        <v>#N/A</v>
      </c>
      <c r="V196" s="21" t="e">
        <f t="shared" si="13"/>
        <v>#N/A</v>
      </c>
      <c r="X196">
        <f>VLOOKUP(B196,[1]제품리스트!$A$2:$F$1110,5,FALSE)</f>
        <v>27</v>
      </c>
      <c r="Y196" s="19">
        <f t="shared" si="14"/>
        <v>0</v>
      </c>
    </row>
    <row r="197" spans="1:25" hidden="1" x14ac:dyDescent="0.3">
      <c r="A197" s="5"/>
      <c r="B197" s="6">
        <v>72004163</v>
      </c>
      <c r="C197" t="s">
        <v>220</v>
      </c>
      <c r="D197" s="7">
        <v>-1</v>
      </c>
      <c r="E197" s="8"/>
      <c r="F197" s="8"/>
      <c r="G197" s="8">
        <v>-5</v>
      </c>
      <c r="H197" s="8"/>
      <c r="I197" s="8"/>
      <c r="J197" s="8"/>
      <c r="K197" s="8"/>
      <c r="L197" s="8">
        <v>-1</v>
      </c>
      <c r="M197" s="8"/>
      <c r="N197" s="8"/>
      <c r="O197" s="8"/>
      <c r="P197" s="8">
        <v>-7</v>
      </c>
      <c r="Q197" s="23" t="str">
        <f>VLOOKUP(B197,[1]제품리스트!$A$2:$J$1000,10,FALSE)</f>
        <v>#163-Paint 4oz CapazioTan</v>
      </c>
      <c r="R197" s="17">
        <f t="shared" si="10"/>
        <v>-0.63636363636363635</v>
      </c>
      <c r="S197" s="19">
        <f t="shared" si="11"/>
        <v>5.3030303030303032E-2</v>
      </c>
      <c r="T197" s="21">
        <f t="shared" si="12"/>
        <v>0.15909090909090909</v>
      </c>
      <c r="U197" s="19" t="e">
        <f>VLOOKUP(B197,[1]재고수량!$A$13:$D$651,3,FALSE)</f>
        <v>#N/A</v>
      </c>
      <c r="V197" s="21" t="e">
        <f t="shared" si="13"/>
        <v>#N/A</v>
      </c>
      <c r="X197">
        <f>VLOOKUP(B197,[1]제품리스트!$A$2:$F$1110,5,FALSE)</f>
        <v>27</v>
      </c>
      <c r="Y197" s="19">
        <f t="shared" si="14"/>
        <v>0</v>
      </c>
    </row>
    <row r="198" spans="1:25" hidden="1" x14ac:dyDescent="0.3">
      <c r="A198" s="5"/>
      <c r="B198" s="6">
        <v>72004165</v>
      </c>
      <c r="C198" t="s">
        <v>221</v>
      </c>
      <c r="D198" s="7"/>
      <c r="E198" s="8">
        <v>-1</v>
      </c>
      <c r="F198" s="8"/>
      <c r="G198" s="8">
        <v>-1</v>
      </c>
      <c r="H198" s="8"/>
      <c r="I198" s="8"/>
      <c r="J198" s="8">
        <v>-1</v>
      </c>
      <c r="K198" s="8"/>
      <c r="L198" s="8">
        <v>-1</v>
      </c>
      <c r="M198" s="8"/>
      <c r="N198" s="8">
        <v>-2</v>
      </c>
      <c r="O198" s="8"/>
      <c r="P198" s="8">
        <v>-6</v>
      </c>
      <c r="Q198" s="23" t="str">
        <f>VLOOKUP(B198,[1]제품리스트!$A$2:$J$1000,10,FALSE)</f>
        <v>#165-Paint 4oz BeigeTaupe</v>
      </c>
      <c r="R198" s="17">
        <f t="shared" si="10"/>
        <v>-0.54545454545454541</v>
      </c>
      <c r="S198" s="19">
        <f t="shared" si="11"/>
        <v>4.5454545454545449E-2</v>
      </c>
      <c r="T198" s="21">
        <f t="shared" si="12"/>
        <v>0.13636363636363635</v>
      </c>
      <c r="U198" s="19" t="e">
        <f>VLOOKUP(B198,[1]재고수량!$A$13:$D$651,3,FALSE)</f>
        <v>#N/A</v>
      </c>
      <c r="V198" s="21" t="e">
        <f t="shared" si="13"/>
        <v>#N/A</v>
      </c>
      <c r="X198">
        <f>VLOOKUP(B198,[1]제품리스트!$A$2:$F$1110,5,FALSE)</f>
        <v>27</v>
      </c>
      <c r="Y198" s="19">
        <f t="shared" si="14"/>
        <v>0</v>
      </c>
    </row>
    <row r="199" spans="1:25" hidden="1" x14ac:dyDescent="0.3">
      <c r="A199" s="5"/>
      <c r="B199" s="6">
        <v>72004166</v>
      </c>
      <c r="C199" t="s">
        <v>222</v>
      </c>
      <c r="D199" s="7"/>
      <c r="E199" s="8"/>
      <c r="F199" s="8"/>
      <c r="G199" s="8"/>
      <c r="H199" s="8">
        <v>-1</v>
      </c>
      <c r="I199" s="8"/>
      <c r="J199" s="8"/>
      <c r="K199" s="8"/>
      <c r="L199" s="8"/>
      <c r="M199" s="8">
        <v>-1</v>
      </c>
      <c r="N199" s="8"/>
      <c r="O199" s="8"/>
      <c r="P199" s="8">
        <v>-2</v>
      </c>
      <c r="Q199" s="23" t="str">
        <f>VLOOKUP(B199,[1]제품리스트!$A$2:$J$1000,10,FALSE)</f>
        <v>#166-Paint 4oz GreyTaupe</v>
      </c>
      <c r="R199" s="17">
        <f t="shared" si="10"/>
        <v>-0.18181818181818182</v>
      </c>
      <c r="S199" s="19">
        <f t="shared" si="11"/>
        <v>1.5151515151515152E-2</v>
      </c>
      <c r="T199" s="21">
        <f t="shared" si="12"/>
        <v>4.5454545454545456E-2</v>
      </c>
      <c r="U199" s="19" t="e">
        <f>VLOOKUP(B199,[1]재고수량!$A$13:$D$651,3,FALSE)</f>
        <v>#N/A</v>
      </c>
      <c r="V199" s="21" t="e">
        <f t="shared" si="13"/>
        <v>#N/A</v>
      </c>
      <c r="X199">
        <f>VLOOKUP(B199,[1]제품리스트!$A$2:$F$1110,5,FALSE)</f>
        <v>27</v>
      </c>
      <c r="Y199" s="19">
        <f t="shared" si="14"/>
        <v>0</v>
      </c>
    </row>
    <row r="200" spans="1:25" hidden="1" x14ac:dyDescent="0.3">
      <c r="A200" s="5"/>
      <c r="B200" s="6">
        <v>72004167</v>
      </c>
      <c r="C200" t="s">
        <v>223</v>
      </c>
      <c r="D200" s="7"/>
      <c r="E200" s="8"/>
      <c r="F200" s="8"/>
      <c r="G200" s="8"/>
      <c r="H200" s="8">
        <v>-1</v>
      </c>
      <c r="I200" s="8">
        <v>-1</v>
      </c>
      <c r="J200" s="8">
        <v>-1</v>
      </c>
      <c r="K200" s="8">
        <v>-1</v>
      </c>
      <c r="L200" s="8"/>
      <c r="M200" s="8">
        <v>-2</v>
      </c>
      <c r="N200" s="8"/>
      <c r="O200" s="8"/>
      <c r="P200" s="8">
        <v>-6</v>
      </c>
      <c r="Q200" s="23" t="str">
        <f>VLOOKUP(B200,[1]제품리스트!$A$2:$J$1000,10,FALSE)</f>
        <v>#167-Paint 4oz Taupe</v>
      </c>
      <c r="R200" s="17">
        <f t="shared" ref="R200:R263" si="15">P200/11</f>
        <v>-0.54545454545454541</v>
      </c>
      <c r="S200" s="19">
        <f t="shared" ref="S200:S263" si="16">R200/-12</f>
        <v>4.5454545454545449E-2</v>
      </c>
      <c r="T200" s="21">
        <f t="shared" ref="T200:T263" si="17">S200*3</f>
        <v>0.13636363636363635</v>
      </c>
      <c r="U200" s="19" t="e">
        <f>VLOOKUP(B200,[1]재고수량!$A$13:$D$651,3,FALSE)</f>
        <v>#N/A</v>
      </c>
      <c r="V200" s="21" t="e">
        <f t="shared" ref="V200:V263" si="18">U200/12</f>
        <v>#N/A</v>
      </c>
      <c r="X200">
        <f>VLOOKUP(B200,[1]제품리스트!$A$2:$F$1110,5,FALSE)</f>
        <v>27</v>
      </c>
      <c r="Y200" s="19">
        <f t="shared" ref="Y200:Y263" si="19">W200*X200</f>
        <v>0</v>
      </c>
    </row>
    <row r="201" spans="1:25" hidden="1" x14ac:dyDescent="0.3">
      <c r="A201" s="5"/>
      <c r="B201" s="6">
        <v>72004168</v>
      </c>
      <c r="C201" t="s">
        <v>224</v>
      </c>
      <c r="D201" s="7"/>
      <c r="E201" s="8">
        <v>-1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>
        <v>-1</v>
      </c>
      <c r="Q201" s="23" t="str">
        <f>VLOOKUP(B201,[1]제품리스트!$A$2:$J$1000,10,FALSE)</f>
        <v>#168-Paint 4oz DarkTaupe</v>
      </c>
      <c r="R201" s="17">
        <f t="shared" si="15"/>
        <v>-9.0909090909090912E-2</v>
      </c>
      <c r="S201" s="19">
        <f t="shared" si="16"/>
        <v>7.575757575757576E-3</v>
      </c>
      <c r="T201" s="21">
        <f t="shared" si="17"/>
        <v>2.2727272727272728E-2</v>
      </c>
      <c r="U201" s="19" t="e">
        <f>VLOOKUP(B201,[1]재고수량!$A$13:$D$651,3,FALSE)</f>
        <v>#N/A</v>
      </c>
      <c r="V201" s="21" t="e">
        <f t="shared" si="18"/>
        <v>#N/A</v>
      </c>
      <c r="X201">
        <f>VLOOKUP(B201,[1]제품리스트!$A$2:$F$1110,5,FALSE)</f>
        <v>27</v>
      </c>
      <c r="Y201" s="19">
        <f t="shared" si="19"/>
        <v>0</v>
      </c>
    </row>
    <row r="202" spans="1:25" hidden="1" x14ac:dyDescent="0.3">
      <c r="A202" s="5"/>
      <c r="B202" s="6">
        <v>72004169</v>
      </c>
      <c r="C202" t="s">
        <v>225</v>
      </c>
      <c r="D202" s="7">
        <v>-2</v>
      </c>
      <c r="E202" s="8"/>
      <c r="F202" s="8"/>
      <c r="G202" s="8"/>
      <c r="H202" s="8">
        <v>-1</v>
      </c>
      <c r="I202" s="8"/>
      <c r="J202" s="8"/>
      <c r="K202" s="8">
        <v>-1</v>
      </c>
      <c r="L202" s="8"/>
      <c r="M202" s="8"/>
      <c r="N202" s="8"/>
      <c r="O202" s="8"/>
      <c r="P202" s="8">
        <v>-4</v>
      </c>
      <c r="Q202" s="23" t="str">
        <f>VLOOKUP(B202,[1]제품리스트!$A$2:$J$1000,10,FALSE)</f>
        <v>#169-Paint 4oz Mauve</v>
      </c>
      <c r="R202" s="17">
        <f t="shared" si="15"/>
        <v>-0.36363636363636365</v>
      </c>
      <c r="S202" s="19">
        <f t="shared" si="16"/>
        <v>3.0303030303030304E-2</v>
      </c>
      <c r="T202" s="21">
        <f t="shared" si="17"/>
        <v>9.0909090909090912E-2</v>
      </c>
      <c r="U202" s="19" t="e">
        <f>VLOOKUP(B202,[1]재고수량!$A$13:$D$651,3,FALSE)</f>
        <v>#N/A</v>
      </c>
      <c r="V202" s="21" t="e">
        <f t="shared" si="18"/>
        <v>#N/A</v>
      </c>
      <c r="X202">
        <f>VLOOKUP(B202,[1]제품리스트!$A$2:$F$1110,5,FALSE)</f>
        <v>27</v>
      </c>
      <c r="Y202" s="19">
        <f t="shared" si="19"/>
        <v>0</v>
      </c>
    </row>
    <row r="203" spans="1:25" hidden="1" x14ac:dyDescent="0.3">
      <c r="A203" s="5"/>
      <c r="B203" s="6">
        <v>72004170</v>
      </c>
      <c r="C203" t="s">
        <v>226</v>
      </c>
      <c r="D203" s="7">
        <v>-1</v>
      </c>
      <c r="E203" s="8"/>
      <c r="F203" s="8"/>
      <c r="G203" s="8">
        <v>-1</v>
      </c>
      <c r="H203" s="8">
        <v>-1</v>
      </c>
      <c r="I203" s="8"/>
      <c r="J203" s="8"/>
      <c r="K203" s="8">
        <v>-1</v>
      </c>
      <c r="L203" s="8">
        <v>-1</v>
      </c>
      <c r="M203" s="8">
        <v>-1</v>
      </c>
      <c r="N203" s="8">
        <v>-1</v>
      </c>
      <c r="O203" s="8"/>
      <c r="P203" s="8">
        <v>-7</v>
      </c>
      <c r="Q203" s="23" t="str">
        <f>VLOOKUP(B203,[1]제품리스트!$A$2:$J$1000,10,FALSE)</f>
        <v>#170-Paint 4oz Avocado</v>
      </c>
      <c r="R203" s="17">
        <f t="shared" si="15"/>
        <v>-0.63636363636363635</v>
      </c>
      <c r="S203" s="19">
        <f t="shared" si="16"/>
        <v>5.3030303030303032E-2</v>
      </c>
      <c r="T203" s="21">
        <f t="shared" si="17"/>
        <v>0.15909090909090909</v>
      </c>
      <c r="U203" s="19" t="e">
        <f>VLOOKUP(B203,[1]재고수량!$A$13:$D$651,3,FALSE)</f>
        <v>#N/A</v>
      </c>
      <c r="V203" s="21" t="e">
        <f t="shared" si="18"/>
        <v>#N/A</v>
      </c>
      <c r="X203">
        <f>VLOOKUP(B203,[1]제품리스트!$A$2:$F$1110,5,FALSE)</f>
        <v>27</v>
      </c>
      <c r="Y203" s="19">
        <f t="shared" si="19"/>
        <v>0</v>
      </c>
    </row>
    <row r="204" spans="1:25" hidden="1" x14ac:dyDescent="0.3">
      <c r="A204" s="5"/>
      <c r="B204" s="6">
        <v>72004171</v>
      </c>
      <c r="C204" t="s">
        <v>227</v>
      </c>
      <c r="D204" s="7">
        <v>-10</v>
      </c>
      <c r="E204" s="8"/>
      <c r="F204" s="8"/>
      <c r="G204" s="8">
        <v>0</v>
      </c>
      <c r="H204" s="8">
        <v>0</v>
      </c>
      <c r="I204" s="8">
        <v>0</v>
      </c>
      <c r="J204" s="8">
        <v>0</v>
      </c>
      <c r="K204" s="8">
        <v>-1</v>
      </c>
      <c r="L204" s="8"/>
      <c r="M204" s="8"/>
      <c r="N204" s="8"/>
      <c r="O204" s="8"/>
      <c r="P204" s="8">
        <v>-11</v>
      </c>
      <c r="Q204" s="23" t="str">
        <f>VLOOKUP(B204,[1]제품리스트!$A$2:$J$1000,10,FALSE)</f>
        <v>#171-Paint 4oz DarkGreen</v>
      </c>
      <c r="R204" s="17">
        <f t="shared" si="15"/>
        <v>-1</v>
      </c>
      <c r="S204" s="19">
        <f t="shared" si="16"/>
        <v>8.3333333333333329E-2</v>
      </c>
      <c r="T204" s="21">
        <f t="shared" si="17"/>
        <v>0.25</v>
      </c>
      <c r="U204" s="19" t="e">
        <f>VLOOKUP(B204,[1]재고수량!$A$13:$D$651,3,FALSE)</f>
        <v>#N/A</v>
      </c>
      <c r="V204" s="21" t="e">
        <f t="shared" si="18"/>
        <v>#N/A</v>
      </c>
      <c r="X204">
        <f>VLOOKUP(B204,[1]제품리스트!$A$2:$F$1110,5,FALSE)</f>
        <v>27</v>
      </c>
      <c r="Y204" s="19">
        <f t="shared" si="19"/>
        <v>0</v>
      </c>
    </row>
    <row r="205" spans="1:25" hidden="1" x14ac:dyDescent="0.3">
      <c r="A205" s="5"/>
      <c r="B205" s="6">
        <v>72004172</v>
      </c>
      <c r="C205" t="s">
        <v>228</v>
      </c>
      <c r="D205" s="7"/>
      <c r="E205" s="8">
        <v>-1</v>
      </c>
      <c r="F205" s="8"/>
      <c r="G205" s="8">
        <v>-2</v>
      </c>
      <c r="H205" s="8">
        <v>-1</v>
      </c>
      <c r="I205" s="8">
        <v>-1</v>
      </c>
      <c r="J205" s="8">
        <v>-1</v>
      </c>
      <c r="K205" s="8"/>
      <c r="L205" s="8">
        <v>-1</v>
      </c>
      <c r="M205" s="8"/>
      <c r="N205" s="8"/>
      <c r="O205" s="8"/>
      <c r="P205" s="8">
        <v>-7</v>
      </c>
      <c r="Q205" s="23" t="str">
        <f>VLOOKUP(B205,[1]제품리스트!$A$2:$J$1000,10,FALSE)</f>
        <v>#172-Paint 4oz Light Green</v>
      </c>
      <c r="R205" s="17">
        <f t="shared" si="15"/>
        <v>-0.63636363636363635</v>
      </c>
      <c r="S205" s="19">
        <f t="shared" si="16"/>
        <v>5.3030303030303032E-2</v>
      </c>
      <c r="T205" s="21">
        <f t="shared" si="17"/>
        <v>0.15909090909090909</v>
      </c>
      <c r="U205" s="19" t="e">
        <f>VLOOKUP(B205,[1]재고수량!$A$13:$D$651,3,FALSE)</f>
        <v>#N/A</v>
      </c>
      <c r="V205" s="21" t="e">
        <f t="shared" si="18"/>
        <v>#N/A</v>
      </c>
      <c r="X205">
        <f>VLOOKUP(B205,[1]제품리스트!$A$2:$F$1110,5,FALSE)</f>
        <v>27</v>
      </c>
      <c r="Y205" s="19">
        <f t="shared" si="19"/>
        <v>0</v>
      </c>
    </row>
    <row r="206" spans="1:25" hidden="1" x14ac:dyDescent="0.3">
      <c r="A206" s="5"/>
      <c r="B206" s="6">
        <v>72004174</v>
      </c>
      <c r="C206" t="s">
        <v>229</v>
      </c>
      <c r="D206" s="7">
        <v>1</v>
      </c>
      <c r="E206" s="8">
        <v>-1</v>
      </c>
      <c r="F206" s="8"/>
      <c r="G206" s="8"/>
      <c r="H206" s="8"/>
      <c r="I206" s="8"/>
      <c r="J206" s="8">
        <v>-1</v>
      </c>
      <c r="K206" s="8"/>
      <c r="L206" s="8"/>
      <c r="M206" s="8">
        <v>-2</v>
      </c>
      <c r="N206" s="8"/>
      <c r="O206" s="8"/>
      <c r="P206" s="8">
        <v>-3</v>
      </c>
      <c r="Q206" s="23" t="str">
        <f>VLOOKUP(B206,[1]제품리스트!$A$2:$J$1000,10,FALSE)</f>
        <v>#174-Paint 4oz GiftBoxBlue</v>
      </c>
      <c r="R206" s="17">
        <f t="shared" si="15"/>
        <v>-0.27272727272727271</v>
      </c>
      <c r="S206" s="19">
        <f t="shared" si="16"/>
        <v>2.2727272727272724E-2</v>
      </c>
      <c r="T206" s="21">
        <f t="shared" si="17"/>
        <v>6.8181818181818177E-2</v>
      </c>
      <c r="U206" s="19" t="e">
        <f>VLOOKUP(B206,[1]재고수량!$A$13:$D$651,3,FALSE)</f>
        <v>#N/A</v>
      </c>
      <c r="V206" s="21" t="e">
        <f t="shared" si="18"/>
        <v>#N/A</v>
      </c>
      <c r="X206">
        <f>VLOOKUP(B206,[1]제품리스트!$A$2:$F$1110,5,FALSE)</f>
        <v>27</v>
      </c>
      <c r="Y206" s="19">
        <f t="shared" si="19"/>
        <v>0</v>
      </c>
    </row>
    <row r="207" spans="1:25" hidden="1" x14ac:dyDescent="0.3">
      <c r="A207" s="5"/>
      <c r="B207" s="6">
        <v>72004175</v>
      </c>
      <c r="C207" t="s">
        <v>230</v>
      </c>
      <c r="D207" s="7">
        <v>-2</v>
      </c>
      <c r="E207" s="8"/>
      <c r="F207" s="8"/>
      <c r="G207" s="8"/>
      <c r="H207" s="8"/>
      <c r="I207" s="8">
        <v>-2</v>
      </c>
      <c r="J207" s="8">
        <v>0</v>
      </c>
      <c r="K207" s="8">
        <v>0</v>
      </c>
      <c r="L207" s="8">
        <v>0</v>
      </c>
      <c r="M207" s="8">
        <v>0</v>
      </c>
      <c r="N207" s="8">
        <v>-2</v>
      </c>
      <c r="O207" s="8"/>
      <c r="P207" s="8">
        <v>-6</v>
      </c>
      <c r="Q207" s="23" t="str">
        <f>VLOOKUP(B207,[1]제품리스트!$A$2:$J$1000,10,FALSE)</f>
        <v>#175-Paint 4oz Lylac</v>
      </c>
      <c r="R207" s="17">
        <f t="shared" si="15"/>
        <v>-0.54545454545454541</v>
      </c>
      <c r="S207" s="19">
        <f t="shared" si="16"/>
        <v>4.5454545454545449E-2</v>
      </c>
      <c r="T207" s="21">
        <f t="shared" si="17"/>
        <v>0.13636363636363635</v>
      </c>
      <c r="U207" s="19" t="e">
        <f>VLOOKUP(B207,[1]재고수량!$A$13:$D$651,3,FALSE)</f>
        <v>#N/A</v>
      </c>
      <c r="V207" s="21" t="e">
        <f t="shared" si="18"/>
        <v>#N/A</v>
      </c>
      <c r="X207">
        <f>VLOOKUP(B207,[1]제품리스트!$A$2:$F$1110,5,FALSE)</f>
        <v>27</v>
      </c>
      <c r="Y207" s="19">
        <f t="shared" si="19"/>
        <v>0</v>
      </c>
    </row>
    <row r="208" spans="1:25" hidden="1" x14ac:dyDescent="0.3">
      <c r="A208" s="5"/>
      <c r="B208" s="6">
        <v>72004176</v>
      </c>
      <c r="C208" t="s">
        <v>231</v>
      </c>
      <c r="D208" s="7">
        <v>-1</v>
      </c>
      <c r="E208" s="8"/>
      <c r="F208" s="8"/>
      <c r="G208" s="8">
        <v>-4</v>
      </c>
      <c r="H208" s="8"/>
      <c r="I208" s="8">
        <v>-2</v>
      </c>
      <c r="J208" s="8">
        <v>-1</v>
      </c>
      <c r="K208" s="8"/>
      <c r="L208" s="8">
        <v>-1</v>
      </c>
      <c r="M208" s="8"/>
      <c r="N208" s="8"/>
      <c r="O208" s="8"/>
      <c r="P208" s="8">
        <v>-9</v>
      </c>
      <c r="Q208" s="23" t="str">
        <f>VLOOKUP(B208,[1]제품리스트!$A$2:$J$1000,10,FALSE)</f>
        <v>#176-Paint 4oz PaleBlue</v>
      </c>
      <c r="R208" s="17">
        <f t="shared" si="15"/>
        <v>-0.81818181818181823</v>
      </c>
      <c r="S208" s="19">
        <f t="shared" si="16"/>
        <v>6.8181818181818191E-2</v>
      </c>
      <c r="T208" s="21">
        <f t="shared" si="17"/>
        <v>0.20454545454545459</v>
      </c>
      <c r="U208" s="19" t="e">
        <f>VLOOKUP(B208,[1]재고수량!$A$13:$D$651,3,FALSE)</f>
        <v>#N/A</v>
      </c>
      <c r="V208" s="21" t="e">
        <f t="shared" si="18"/>
        <v>#N/A</v>
      </c>
      <c r="X208">
        <f>VLOOKUP(B208,[1]제품리스트!$A$2:$F$1110,5,FALSE)</f>
        <v>27</v>
      </c>
      <c r="Y208" s="19">
        <f t="shared" si="19"/>
        <v>0</v>
      </c>
    </row>
    <row r="209" spans="1:25" hidden="1" x14ac:dyDescent="0.3">
      <c r="A209" s="5"/>
      <c r="B209" s="6">
        <v>72004177</v>
      </c>
      <c r="C209" t="s">
        <v>232</v>
      </c>
      <c r="D209" s="7"/>
      <c r="E209" s="8">
        <v>-1</v>
      </c>
      <c r="F209" s="8"/>
      <c r="G209" s="8">
        <v>-1</v>
      </c>
      <c r="H209" s="8"/>
      <c r="I209" s="8"/>
      <c r="J209" s="8">
        <v>-4</v>
      </c>
      <c r="K209" s="8">
        <v>-1</v>
      </c>
      <c r="L209" s="8"/>
      <c r="M209" s="8"/>
      <c r="N209" s="8">
        <v>-1</v>
      </c>
      <c r="O209" s="8"/>
      <c r="P209" s="8">
        <v>-8</v>
      </c>
      <c r="Q209" s="23" t="str">
        <f>VLOOKUP(B209,[1]제품리스트!$A$2:$J$1000,10,FALSE)</f>
        <v>#177-Paint 4oz Sapphire</v>
      </c>
      <c r="R209" s="17">
        <f t="shared" si="15"/>
        <v>-0.72727272727272729</v>
      </c>
      <c r="S209" s="19">
        <f t="shared" si="16"/>
        <v>6.0606060606060608E-2</v>
      </c>
      <c r="T209" s="21">
        <f t="shared" si="17"/>
        <v>0.18181818181818182</v>
      </c>
      <c r="U209" s="19" t="e">
        <f>VLOOKUP(B209,[1]재고수량!$A$13:$D$651,3,FALSE)</f>
        <v>#N/A</v>
      </c>
      <c r="V209" s="21" t="e">
        <f t="shared" si="18"/>
        <v>#N/A</v>
      </c>
      <c r="X209">
        <f>VLOOKUP(B209,[1]제품리스트!$A$2:$F$1110,5,FALSE)</f>
        <v>27</v>
      </c>
      <c r="Y209" s="19">
        <f t="shared" si="19"/>
        <v>0</v>
      </c>
    </row>
    <row r="210" spans="1:25" hidden="1" x14ac:dyDescent="0.3">
      <c r="A210" s="5"/>
      <c r="B210" s="6">
        <v>72004178</v>
      </c>
      <c r="C210" t="s">
        <v>233</v>
      </c>
      <c r="D210" s="7">
        <v>-1</v>
      </c>
      <c r="E210" s="8">
        <v>-1</v>
      </c>
      <c r="F210" s="8">
        <v>-1</v>
      </c>
      <c r="G210" s="8">
        <v>-2</v>
      </c>
      <c r="H210" s="8"/>
      <c r="I210" s="8">
        <v>-2</v>
      </c>
      <c r="J210" s="8">
        <v>-1</v>
      </c>
      <c r="K210" s="8">
        <v>-1</v>
      </c>
      <c r="L210" s="8"/>
      <c r="M210" s="8"/>
      <c r="N210" s="8">
        <v>-1</v>
      </c>
      <c r="O210" s="8"/>
      <c r="P210" s="8">
        <v>-10</v>
      </c>
      <c r="Q210" s="23" t="str">
        <f>VLOOKUP(B210,[1]제품리스트!$A$2:$J$1000,10,FALSE)</f>
        <v>#178-Paint 4oz Violet</v>
      </c>
      <c r="R210" s="17">
        <f t="shared" si="15"/>
        <v>-0.90909090909090906</v>
      </c>
      <c r="S210" s="19">
        <f t="shared" si="16"/>
        <v>7.575757575757576E-2</v>
      </c>
      <c r="T210" s="21">
        <f t="shared" si="17"/>
        <v>0.22727272727272729</v>
      </c>
      <c r="U210" s="19" t="e">
        <f>VLOOKUP(B210,[1]재고수량!$A$13:$D$651,3,FALSE)</f>
        <v>#N/A</v>
      </c>
      <c r="V210" s="21" t="e">
        <f t="shared" si="18"/>
        <v>#N/A</v>
      </c>
      <c r="X210">
        <f>VLOOKUP(B210,[1]제품리스트!$A$2:$F$1110,5,FALSE)</f>
        <v>27</v>
      </c>
      <c r="Y210" s="19">
        <f t="shared" si="19"/>
        <v>0</v>
      </c>
    </row>
    <row r="211" spans="1:25" hidden="1" x14ac:dyDescent="0.3">
      <c r="A211" s="5"/>
      <c r="B211" s="6">
        <v>72004179</v>
      </c>
      <c r="C211" t="s">
        <v>234</v>
      </c>
      <c r="D211" s="7"/>
      <c r="E211" s="8">
        <v>0</v>
      </c>
      <c r="F211" s="8">
        <v>-1</v>
      </c>
      <c r="G211" s="8">
        <v>-1</v>
      </c>
      <c r="H211" s="8"/>
      <c r="I211" s="8">
        <v>-1</v>
      </c>
      <c r="J211" s="8">
        <v>-1</v>
      </c>
      <c r="K211" s="8">
        <v>-1</v>
      </c>
      <c r="L211" s="8">
        <v>-1</v>
      </c>
      <c r="M211" s="8">
        <v>-5</v>
      </c>
      <c r="N211" s="8">
        <v>-1</v>
      </c>
      <c r="O211" s="8"/>
      <c r="P211" s="8">
        <v>-12</v>
      </c>
      <c r="Q211" s="23" t="str">
        <f>VLOOKUP(B211,[1]제품리스트!$A$2:$J$1000,10,FALSE)</f>
        <v>#179-Paint 4oz DarkBlue</v>
      </c>
      <c r="R211" s="17">
        <f t="shared" si="15"/>
        <v>-1.0909090909090908</v>
      </c>
      <c r="S211" s="19">
        <f t="shared" si="16"/>
        <v>9.0909090909090898E-2</v>
      </c>
      <c r="T211" s="21">
        <f t="shared" si="17"/>
        <v>0.27272727272727271</v>
      </c>
      <c r="U211" s="19" t="e">
        <f>VLOOKUP(B211,[1]재고수량!$A$13:$D$651,3,FALSE)</f>
        <v>#N/A</v>
      </c>
      <c r="V211" s="21" t="e">
        <f t="shared" si="18"/>
        <v>#N/A</v>
      </c>
      <c r="X211">
        <f>VLOOKUP(B211,[1]제품리스트!$A$2:$F$1110,5,FALSE)</f>
        <v>27</v>
      </c>
      <c r="Y211" s="19">
        <f t="shared" si="19"/>
        <v>0</v>
      </c>
    </row>
    <row r="212" spans="1:25" hidden="1" x14ac:dyDescent="0.3">
      <c r="A212" s="5"/>
      <c r="B212" s="6">
        <v>72004180</v>
      </c>
      <c r="C212" t="s">
        <v>235</v>
      </c>
      <c r="D212" s="7"/>
      <c r="E212" s="8"/>
      <c r="F212" s="8"/>
      <c r="G212" s="8">
        <v>-1</v>
      </c>
      <c r="H212" s="8"/>
      <c r="I212" s="8"/>
      <c r="J212" s="8"/>
      <c r="K212" s="8"/>
      <c r="L212" s="8"/>
      <c r="M212" s="8">
        <v>-3</v>
      </c>
      <c r="N212" s="8"/>
      <c r="O212" s="8"/>
      <c r="P212" s="8">
        <v>-4</v>
      </c>
      <c r="Q212" s="23" t="str">
        <f>VLOOKUP(B212,[1]제품리스트!$A$2:$J$1000,10,FALSE)</f>
        <v>#180-Paint 4oz Cognac</v>
      </c>
      <c r="R212" s="17">
        <f t="shared" si="15"/>
        <v>-0.36363636363636365</v>
      </c>
      <c r="S212" s="19">
        <f t="shared" si="16"/>
        <v>3.0303030303030304E-2</v>
      </c>
      <c r="T212" s="21">
        <f t="shared" si="17"/>
        <v>9.0909090909090912E-2</v>
      </c>
      <c r="U212" s="19" t="e">
        <f>VLOOKUP(B212,[1]재고수량!$A$13:$D$651,3,FALSE)</f>
        <v>#N/A</v>
      </c>
      <c r="V212" s="21" t="e">
        <f t="shared" si="18"/>
        <v>#N/A</v>
      </c>
      <c r="X212">
        <f>VLOOKUP(B212,[1]제품리스트!$A$2:$F$1110,5,FALSE)</f>
        <v>27</v>
      </c>
      <c r="Y212" s="19">
        <f t="shared" si="19"/>
        <v>0</v>
      </c>
    </row>
    <row r="213" spans="1:25" hidden="1" x14ac:dyDescent="0.3">
      <c r="A213" s="5"/>
      <c r="B213" s="6">
        <v>72004181</v>
      </c>
      <c r="C213" t="s">
        <v>236</v>
      </c>
      <c r="D213" s="7"/>
      <c r="E213" s="8">
        <v>-1</v>
      </c>
      <c r="F213" s="8"/>
      <c r="G213" s="8">
        <v>-1</v>
      </c>
      <c r="H213" s="8"/>
      <c r="I213" s="8">
        <v>-1</v>
      </c>
      <c r="J213" s="8"/>
      <c r="K213" s="8">
        <v>-1</v>
      </c>
      <c r="L213" s="8">
        <v>-1</v>
      </c>
      <c r="M213" s="8">
        <v>-3</v>
      </c>
      <c r="N213" s="8"/>
      <c r="O213" s="8"/>
      <c r="P213" s="8">
        <v>-8</v>
      </c>
      <c r="Q213" s="23" t="str">
        <f>VLOOKUP(B213,[1]제품리스트!$A$2:$J$1000,10,FALSE)</f>
        <v>#181-Paint 4oz RichBrown</v>
      </c>
      <c r="R213" s="17">
        <f t="shared" si="15"/>
        <v>-0.72727272727272729</v>
      </c>
      <c r="S213" s="19">
        <f t="shared" si="16"/>
        <v>6.0606060606060608E-2</v>
      </c>
      <c r="T213" s="21">
        <f t="shared" si="17"/>
        <v>0.18181818181818182</v>
      </c>
      <c r="U213" s="19" t="e">
        <f>VLOOKUP(B213,[1]재고수량!$A$13:$D$651,3,FALSE)</f>
        <v>#N/A</v>
      </c>
      <c r="V213" s="21" t="e">
        <f t="shared" si="18"/>
        <v>#N/A</v>
      </c>
      <c r="X213">
        <f>VLOOKUP(B213,[1]제품리스트!$A$2:$F$1110,5,FALSE)</f>
        <v>27</v>
      </c>
      <c r="Y213" s="19">
        <f t="shared" si="19"/>
        <v>0</v>
      </c>
    </row>
    <row r="214" spans="1:25" hidden="1" x14ac:dyDescent="0.3">
      <c r="A214" s="5"/>
      <c r="B214" s="6">
        <v>72004183</v>
      </c>
      <c r="C214" t="s">
        <v>237</v>
      </c>
      <c r="D214" s="7"/>
      <c r="E214" s="8"/>
      <c r="F214" s="8"/>
      <c r="G214" s="8"/>
      <c r="H214" s="8"/>
      <c r="I214" s="8">
        <v>-1</v>
      </c>
      <c r="J214" s="8"/>
      <c r="K214" s="8"/>
      <c r="L214" s="8"/>
      <c r="M214" s="8">
        <v>-1</v>
      </c>
      <c r="N214" s="8"/>
      <c r="O214" s="8"/>
      <c r="P214" s="8">
        <v>-2</v>
      </c>
      <c r="Q214" s="23" t="str">
        <f>VLOOKUP(B214,[1]제품리스트!$A$2:$J$1000,10,FALSE)</f>
        <v>#183-Paint 4oz TerraCottaRed</v>
      </c>
      <c r="R214" s="17">
        <f t="shared" si="15"/>
        <v>-0.18181818181818182</v>
      </c>
      <c r="S214" s="19">
        <f t="shared" si="16"/>
        <v>1.5151515151515152E-2</v>
      </c>
      <c r="T214" s="21">
        <f t="shared" si="17"/>
        <v>4.5454545454545456E-2</v>
      </c>
      <c r="U214" s="19" t="e">
        <f>VLOOKUP(B214,[1]재고수량!$A$13:$D$651,3,FALSE)</f>
        <v>#N/A</v>
      </c>
      <c r="V214" s="21" t="e">
        <f t="shared" si="18"/>
        <v>#N/A</v>
      </c>
      <c r="X214">
        <f>VLOOKUP(B214,[1]제품리스트!$A$2:$F$1110,5,FALSE)</f>
        <v>27</v>
      </c>
      <c r="Y214" s="19">
        <f t="shared" si="19"/>
        <v>0</v>
      </c>
    </row>
    <row r="215" spans="1:25" hidden="1" x14ac:dyDescent="0.3">
      <c r="A215" s="5"/>
      <c r="B215" s="6">
        <v>72004184</v>
      </c>
      <c r="C215" t="s">
        <v>238</v>
      </c>
      <c r="D215" s="7"/>
      <c r="E215" s="8"/>
      <c r="F215" s="8"/>
      <c r="G215" s="8"/>
      <c r="H215" s="8"/>
      <c r="I215" s="8"/>
      <c r="J215" s="8"/>
      <c r="K215" s="8">
        <v>-1</v>
      </c>
      <c r="L215" s="8"/>
      <c r="M215" s="8">
        <v>-1</v>
      </c>
      <c r="N215" s="8">
        <v>-3</v>
      </c>
      <c r="O215" s="8"/>
      <c r="P215" s="8">
        <v>-5</v>
      </c>
      <c r="Q215" s="23" t="str">
        <f>VLOOKUP(B215,[1]제품리스트!$A$2:$J$1000,10,FALSE)</f>
        <v>#184-Paint 4oz AutumnRed</v>
      </c>
      <c r="R215" s="17">
        <f t="shared" si="15"/>
        <v>-0.45454545454545453</v>
      </c>
      <c r="S215" s="19">
        <f t="shared" si="16"/>
        <v>3.787878787878788E-2</v>
      </c>
      <c r="T215" s="21">
        <f t="shared" si="17"/>
        <v>0.11363636363636365</v>
      </c>
      <c r="U215" s="19" t="e">
        <f>VLOOKUP(B215,[1]재고수량!$A$13:$D$651,3,FALSE)</f>
        <v>#N/A</v>
      </c>
      <c r="V215" s="21" t="e">
        <f t="shared" si="18"/>
        <v>#N/A</v>
      </c>
      <c r="X215">
        <f>VLOOKUP(B215,[1]제품리스트!$A$2:$F$1110,5,FALSE)</f>
        <v>27</v>
      </c>
      <c r="Y215" s="19">
        <f t="shared" si="19"/>
        <v>0</v>
      </c>
    </row>
    <row r="216" spans="1:25" hidden="1" x14ac:dyDescent="0.3">
      <c r="A216" s="5"/>
      <c r="B216" s="6">
        <v>72004185</v>
      </c>
      <c r="C216" t="s">
        <v>239</v>
      </c>
      <c r="D216" s="7">
        <v>-1</v>
      </c>
      <c r="E216" s="8">
        <v>-7</v>
      </c>
      <c r="F216" s="8">
        <v>-3</v>
      </c>
      <c r="G216" s="8">
        <v>-3</v>
      </c>
      <c r="H216" s="8">
        <v>-2</v>
      </c>
      <c r="I216" s="8">
        <v>-8</v>
      </c>
      <c r="J216" s="8">
        <v>0</v>
      </c>
      <c r="K216" s="8">
        <v>-2</v>
      </c>
      <c r="L216" s="8">
        <v>-6</v>
      </c>
      <c r="M216" s="8">
        <v>-2</v>
      </c>
      <c r="N216" s="8">
        <v>-2</v>
      </c>
      <c r="O216" s="8"/>
      <c r="P216" s="8">
        <v>-36</v>
      </c>
      <c r="Q216" s="23" t="str">
        <f>VLOOKUP(B216,[1]제품리스트!$A$2:$J$1000,10,FALSE)</f>
        <v>#185-Paint 4oz FireRed</v>
      </c>
      <c r="R216" s="17">
        <f t="shared" si="15"/>
        <v>-3.2727272727272729</v>
      </c>
      <c r="S216" s="19">
        <f t="shared" si="16"/>
        <v>0.27272727272727276</v>
      </c>
      <c r="T216" s="21">
        <f t="shared" si="17"/>
        <v>0.81818181818181834</v>
      </c>
      <c r="U216" s="19" t="e">
        <f>VLOOKUP(B216,[1]재고수량!$A$13:$D$651,3,FALSE)</f>
        <v>#N/A</v>
      </c>
      <c r="V216" s="21" t="e">
        <f t="shared" si="18"/>
        <v>#N/A</v>
      </c>
      <c r="X216">
        <f>VLOOKUP(B216,[1]제품리스트!$A$2:$F$1110,5,FALSE)</f>
        <v>27</v>
      </c>
      <c r="Y216" s="19">
        <f t="shared" si="19"/>
        <v>0</v>
      </c>
    </row>
    <row r="217" spans="1:25" hidden="1" x14ac:dyDescent="0.3">
      <c r="A217" s="5"/>
      <c r="B217" s="6">
        <v>72004186</v>
      </c>
      <c r="C217" t="s">
        <v>240</v>
      </c>
      <c r="D217" s="7"/>
      <c r="E217" s="8">
        <v>-1</v>
      </c>
      <c r="F217" s="8">
        <v>-2</v>
      </c>
      <c r="G217" s="8">
        <v>1</v>
      </c>
      <c r="H217" s="8">
        <v>-1</v>
      </c>
      <c r="I217" s="8">
        <v>-1</v>
      </c>
      <c r="J217" s="8">
        <v>-3</v>
      </c>
      <c r="K217" s="8">
        <v>-1</v>
      </c>
      <c r="L217" s="8">
        <v>-1</v>
      </c>
      <c r="M217" s="8">
        <v>-1</v>
      </c>
      <c r="N217" s="8">
        <v>-1</v>
      </c>
      <c r="O217" s="8"/>
      <c r="P217" s="8">
        <v>-11</v>
      </c>
      <c r="Q217" s="23" t="str">
        <f>VLOOKUP(B217,[1]제품리스트!$A$2:$J$1000,10,FALSE)</f>
        <v>#186-Paint 4oz HotPink</v>
      </c>
      <c r="R217" s="17">
        <f t="shared" si="15"/>
        <v>-1</v>
      </c>
      <c r="S217" s="19">
        <f t="shared" si="16"/>
        <v>8.3333333333333329E-2</v>
      </c>
      <c r="T217" s="21">
        <f t="shared" si="17"/>
        <v>0.25</v>
      </c>
      <c r="U217" s="19" t="e">
        <f>VLOOKUP(B217,[1]재고수량!$A$13:$D$651,3,FALSE)</f>
        <v>#N/A</v>
      </c>
      <c r="V217" s="21" t="e">
        <f t="shared" si="18"/>
        <v>#N/A</v>
      </c>
      <c r="X217">
        <f>VLOOKUP(B217,[1]제품리스트!$A$2:$F$1110,5,FALSE)</f>
        <v>27</v>
      </c>
      <c r="Y217" s="19">
        <f t="shared" si="19"/>
        <v>0</v>
      </c>
    </row>
    <row r="218" spans="1:25" hidden="1" x14ac:dyDescent="0.3">
      <c r="A218" s="5"/>
      <c r="B218" s="6">
        <v>72004187</v>
      </c>
      <c r="C218" t="s">
        <v>241</v>
      </c>
      <c r="D218" s="7">
        <v>-1</v>
      </c>
      <c r="E218" s="8"/>
      <c r="F218" s="8"/>
      <c r="G218" s="8">
        <v>-1</v>
      </c>
      <c r="H218" s="8"/>
      <c r="I218" s="8"/>
      <c r="J218" s="8"/>
      <c r="K218" s="8"/>
      <c r="L218" s="8">
        <v>-1</v>
      </c>
      <c r="M218" s="8"/>
      <c r="N218" s="8"/>
      <c r="O218" s="8"/>
      <c r="P218" s="8">
        <v>-3</v>
      </c>
      <c r="Q218" s="23" t="str">
        <f>VLOOKUP(B218,[1]제품리스트!$A$2:$J$1000,10,FALSE)</f>
        <v>#187-Paint 4oz Magenta</v>
      </c>
      <c r="R218" s="17">
        <f t="shared" si="15"/>
        <v>-0.27272727272727271</v>
      </c>
      <c r="S218" s="19">
        <f t="shared" si="16"/>
        <v>2.2727272727272724E-2</v>
      </c>
      <c r="T218" s="21">
        <f t="shared" si="17"/>
        <v>6.8181818181818177E-2</v>
      </c>
      <c r="U218" s="19" t="e">
        <f>VLOOKUP(B218,[1]재고수량!$A$13:$D$651,3,FALSE)</f>
        <v>#N/A</v>
      </c>
      <c r="V218" s="21" t="e">
        <f t="shared" si="18"/>
        <v>#N/A</v>
      </c>
      <c r="X218">
        <f>VLOOKUP(B218,[1]제품리스트!$A$2:$F$1110,5,FALSE)</f>
        <v>27</v>
      </c>
      <c r="Y218" s="19">
        <f t="shared" si="19"/>
        <v>0</v>
      </c>
    </row>
    <row r="219" spans="1:25" hidden="1" x14ac:dyDescent="0.3">
      <c r="A219" s="5"/>
      <c r="B219" s="6">
        <v>72004188</v>
      </c>
      <c r="C219" t="s">
        <v>242</v>
      </c>
      <c r="D219" s="7">
        <v>-1</v>
      </c>
      <c r="E219" s="8">
        <v>0</v>
      </c>
      <c r="F219" s="8">
        <v>-2</v>
      </c>
      <c r="G219" s="8"/>
      <c r="H219" s="8"/>
      <c r="I219" s="8">
        <v>-3</v>
      </c>
      <c r="J219" s="8"/>
      <c r="K219" s="8">
        <v>-1</v>
      </c>
      <c r="L219" s="8"/>
      <c r="M219" s="8">
        <v>-2</v>
      </c>
      <c r="N219" s="8">
        <v>-1</v>
      </c>
      <c r="O219" s="8"/>
      <c r="P219" s="8">
        <v>-10</v>
      </c>
      <c r="Q219" s="23" t="str">
        <f>VLOOKUP(B219,[1]제품리스트!$A$2:$J$1000,10,FALSE)</f>
        <v>#188-Paint 4oz Pink</v>
      </c>
      <c r="R219" s="17">
        <f t="shared" si="15"/>
        <v>-0.90909090909090906</v>
      </c>
      <c r="S219" s="19">
        <f t="shared" si="16"/>
        <v>7.575757575757576E-2</v>
      </c>
      <c r="T219" s="21">
        <f t="shared" si="17"/>
        <v>0.22727272727272729</v>
      </c>
      <c r="U219" s="19" t="e">
        <f>VLOOKUP(B219,[1]재고수량!$A$13:$D$651,3,FALSE)</f>
        <v>#N/A</v>
      </c>
      <c r="V219" s="21" t="e">
        <f t="shared" si="18"/>
        <v>#N/A</v>
      </c>
      <c r="X219">
        <f>VLOOKUP(B219,[1]제품리스트!$A$2:$F$1110,5,FALSE)</f>
        <v>27</v>
      </c>
      <c r="Y219" s="19">
        <f t="shared" si="19"/>
        <v>0</v>
      </c>
    </row>
    <row r="220" spans="1:25" hidden="1" x14ac:dyDescent="0.3">
      <c r="A220" s="5"/>
      <c r="B220" s="6">
        <v>72004189</v>
      </c>
      <c r="C220" t="s">
        <v>243</v>
      </c>
      <c r="D220" s="7">
        <v>1</v>
      </c>
      <c r="E220" s="8">
        <v>-2</v>
      </c>
      <c r="F220" s="8">
        <v>-2</v>
      </c>
      <c r="G220" s="8">
        <v>-2</v>
      </c>
      <c r="H220" s="8"/>
      <c r="I220" s="8">
        <v>-1</v>
      </c>
      <c r="J220" s="8"/>
      <c r="K220" s="8">
        <v>-1</v>
      </c>
      <c r="L220" s="8">
        <v>-1</v>
      </c>
      <c r="M220" s="8">
        <v>-1</v>
      </c>
      <c r="N220" s="8"/>
      <c r="O220" s="8"/>
      <c r="P220" s="8">
        <v>-9</v>
      </c>
      <c r="Q220" s="23" t="str">
        <f>VLOOKUP(B220,[1]제품리스트!$A$2:$J$1000,10,FALSE)</f>
        <v>#189-Paint 4oz Petal Pink</v>
      </c>
      <c r="R220" s="17">
        <f t="shared" si="15"/>
        <v>-0.81818181818181823</v>
      </c>
      <c r="S220" s="19">
        <f t="shared" si="16"/>
        <v>6.8181818181818191E-2</v>
      </c>
      <c r="T220" s="21">
        <f t="shared" si="17"/>
        <v>0.20454545454545459</v>
      </c>
      <c r="U220" s="19" t="e">
        <f>VLOOKUP(B220,[1]재고수량!$A$13:$D$651,3,FALSE)</f>
        <v>#N/A</v>
      </c>
      <c r="V220" s="21" t="e">
        <f t="shared" si="18"/>
        <v>#N/A</v>
      </c>
      <c r="X220">
        <f>VLOOKUP(B220,[1]제품리스트!$A$2:$F$1110,5,FALSE)</f>
        <v>27</v>
      </c>
      <c r="Y220" s="19">
        <f t="shared" si="19"/>
        <v>0</v>
      </c>
    </row>
    <row r="221" spans="1:25" hidden="1" x14ac:dyDescent="0.3">
      <c r="A221" s="5"/>
      <c r="B221" s="6">
        <v>72004190</v>
      </c>
      <c r="C221" t="s">
        <v>244</v>
      </c>
      <c r="D221" s="7">
        <v>-2</v>
      </c>
      <c r="E221" s="8">
        <v>-2</v>
      </c>
      <c r="F221" s="8">
        <v>-2</v>
      </c>
      <c r="G221" s="8"/>
      <c r="H221" s="8">
        <v>-2</v>
      </c>
      <c r="I221" s="8">
        <v>-1</v>
      </c>
      <c r="J221" s="8">
        <v>-1</v>
      </c>
      <c r="K221" s="8">
        <v>-2</v>
      </c>
      <c r="L221" s="8">
        <v>-3</v>
      </c>
      <c r="M221" s="8"/>
      <c r="N221" s="8">
        <v>-1</v>
      </c>
      <c r="O221" s="8"/>
      <c r="P221" s="8">
        <v>-16</v>
      </c>
      <c r="Q221" s="23" t="str">
        <f>VLOOKUP(B221,[1]제품리스트!$A$2:$J$1000,10,FALSE)</f>
        <v>#190-Paint 4oz ScaletRed</v>
      </c>
      <c r="R221" s="17">
        <f t="shared" si="15"/>
        <v>-1.4545454545454546</v>
      </c>
      <c r="S221" s="19">
        <f t="shared" si="16"/>
        <v>0.12121212121212122</v>
      </c>
      <c r="T221" s="21">
        <f t="shared" si="17"/>
        <v>0.36363636363636365</v>
      </c>
      <c r="U221" s="19" t="e">
        <f>VLOOKUP(B221,[1]재고수량!$A$13:$D$651,3,FALSE)</f>
        <v>#N/A</v>
      </c>
      <c r="V221" s="21" t="e">
        <f t="shared" si="18"/>
        <v>#N/A</v>
      </c>
      <c r="X221">
        <f>VLOOKUP(B221,[1]제품리스트!$A$2:$F$1110,5,FALSE)</f>
        <v>27</v>
      </c>
      <c r="Y221" s="19">
        <f t="shared" si="19"/>
        <v>0</v>
      </c>
    </row>
    <row r="222" spans="1:25" hidden="1" x14ac:dyDescent="0.3">
      <c r="A222" s="5"/>
      <c r="B222" s="6">
        <v>72004191</v>
      </c>
      <c r="C222" t="s">
        <v>245</v>
      </c>
      <c r="D222" s="7"/>
      <c r="E222" s="8"/>
      <c r="F222" s="8">
        <v>-1</v>
      </c>
      <c r="G222" s="8">
        <v>-1</v>
      </c>
      <c r="H222" s="8">
        <v>-1</v>
      </c>
      <c r="I222" s="8">
        <v>-1</v>
      </c>
      <c r="J222" s="8"/>
      <c r="K222" s="8"/>
      <c r="L222" s="8"/>
      <c r="M222" s="8"/>
      <c r="N222" s="8"/>
      <c r="O222" s="8"/>
      <c r="P222" s="8">
        <v>-4</v>
      </c>
      <c r="Q222" s="23" t="str">
        <f>VLOOKUP(B222,[1]제품리스트!$A$2:$J$1000,10,FALSE)</f>
        <v>#191-Paint 4oz Shell Pink</v>
      </c>
      <c r="R222" s="17">
        <f t="shared" si="15"/>
        <v>-0.36363636363636365</v>
      </c>
      <c r="S222" s="19">
        <f t="shared" si="16"/>
        <v>3.0303030303030304E-2</v>
      </c>
      <c r="T222" s="21">
        <f t="shared" si="17"/>
        <v>9.0909090909090912E-2</v>
      </c>
      <c r="U222" s="19" t="e">
        <f>VLOOKUP(B222,[1]재고수량!$A$13:$D$651,3,FALSE)</f>
        <v>#N/A</v>
      </c>
      <c r="V222" s="21" t="e">
        <f t="shared" si="18"/>
        <v>#N/A</v>
      </c>
      <c r="X222">
        <f>VLOOKUP(B222,[1]제품리스트!$A$2:$F$1110,5,FALSE)</f>
        <v>27</v>
      </c>
      <c r="Y222" s="19">
        <f t="shared" si="19"/>
        <v>0</v>
      </c>
    </row>
    <row r="223" spans="1:25" hidden="1" x14ac:dyDescent="0.3">
      <c r="A223" s="5"/>
      <c r="B223" s="6">
        <v>72004194</v>
      </c>
      <c r="C223" t="s">
        <v>246</v>
      </c>
      <c r="D223" s="7"/>
      <c r="E223" s="8"/>
      <c r="F223" s="8"/>
      <c r="G223" s="8"/>
      <c r="H223" s="8"/>
      <c r="I223" s="8">
        <v>-1</v>
      </c>
      <c r="J223" s="8"/>
      <c r="K223" s="8"/>
      <c r="L223" s="8"/>
      <c r="M223" s="8">
        <v>-3</v>
      </c>
      <c r="N223" s="8"/>
      <c r="O223" s="8"/>
      <c r="P223" s="8">
        <v>-4</v>
      </c>
      <c r="Q223" s="23" t="str">
        <f>VLOOKUP(B223,[1]제품리스트!$A$2:$J$1000,10,FALSE)</f>
        <v>#194-Paint 4oz Caramel</v>
      </c>
      <c r="R223" s="17">
        <f t="shared" si="15"/>
        <v>-0.36363636363636365</v>
      </c>
      <c r="S223" s="19">
        <f t="shared" si="16"/>
        <v>3.0303030303030304E-2</v>
      </c>
      <c r="T223" s="21">
        <f t="shared" si="17"/>
        <v>9.0909090909090912E-2</v>
      </c>
      <c r="U223" s="19" t="e">
        <f>VLOOKUP(B223,[1]재고수량!$A$13:$D$651,3,FALSE)</f>
        <v>#N/A</v>
      </c>
      <c r="V223" s="21" t="e">
        <f t="shared" si="18"/>
        <v>#N/A</v>
      </c>
      <c r="X223">
        <f>VLOOKUP(B223,[1]제품리스트!$A$2:$F$1110,5,FALSE)</f>
        <v>27</v>
      </c>
      <c r="Y223" s="19">
        <f t="shared" si="19"/>
        <v>0</v>
      </c>
    </row>
    <row r="224" spans="1:25" hidden="1" x14ac:dyDescent="0.3">
      <c r="A224" s="5"/>
      <c r="B224" s="6">
        <v>72004196</v>
      </c>
      <c r="C224" t="s">
        <v>247</v>
      </c>
      <c r="D224" s="7"/>
      <c r="E224" s="8">
        <v>-1</v>
      </c>
      <c r="F224" s="8">
        <v>-3</v>
      </c>
      <c r="G224" s="8"/>
      <c r="H224" s="8"/>
      <c r="I224" s="8"/>
      <c r="J224" s="8">
        <v>-1</v>
      </c>
      <c r="K224" s="8">
        <v>-1</v>
      </c>
      <c r="L224" s="8">
        <v>-1</v>
      </c>
      <c r="M224" s="8">
        <v>-2</v>
      </c>
      <c r="N224" s="8"/>
      <c r="O224" s="8"/>
      <c r="P224" s="8">
        <v>-9</v>
      </c>
      <c r="Q224" s="23" t="str">
        <f>VLOOKUP(B224,[1]제품리스트!$A$2:$J$1000,10,FALSE)</f>
        <v>#196-Paint 4oz Mustard</v>
      </c>
      <c r="R224" s="17">
        <f t="shared" si="15"/>
        <v>-0.81818181818181823</v>
      </c>
      <c r="S224" s="19">
        <f t="shared" si="16"/>
        <v>6.8181818181818191E-2</v>
      </c>
      <c r="T224" s="21">
        <f t="shared" si="17"/>
        <v>0.20454545454545459</v>
      </c>
      <c r="U224" s="19" t="e">
        <f>VLOOKUP(B224,[1]재고수량!$A$13:$D$651,3,FALSE)</f>
        <v>#N/A</v>
      </c>
      <c r="V224" s="21" t="e">
        <f t="shared" si="18"/>
        <v>#N/A</v>
      </c>
      <c r="X224">
        <f>VLOOKUP(B224,[1]제품리스트!$A$2:$F$1110,5,FALSE)</f>
        <v>27</v>
      </c>
      <c r="Y224" s="19">
        <f t="shared" si="19"/>
        <v>0</v>
      </c>
    </row>
    <row r="225" spans="1:25" hidden="1" x14ac:dyDescent="0.3">
      <c r="A225" s="5"/>
      <c r="B225" s="6">
        <v>72004197</v>
      </c>
      <c r="C225" t="s">
        <v>248</v>
      </c>
      <c r="D225" s="7"/>
      <c r="E225" s="8">
        <v>-1</v>
      </c>
      <c r="F225" s="8"/>
      <c r="G225" s="8">
        <v>-1</v>
      </c>
      <c r="H225" s="8"/>
      <c r="I225" s="8"/>
      <c r="J225" s="8"/>
      <c r="K225" s="8"/>
      <c r="L225" s="8">
        <v>-1</v>
      </c>
      <c r="M225" s="8"/>
      <c r="N225" s="8">
        <v>-1</v>
      </c>
      <c r="O225" s="8"/>
      <c r="P225" s="8">
        <v>-4</v>
      </c>
      <c r="Q225" s="23" t="str">
        <f>VLOOKUP(B225,[1]제품리스트!$A$2:$J$1000,10,FALSE)</f>
        <v>#197-Paint 4oz PaleYellow</v>
      </c>
      <c r="R225" s="17">
        <f t="shared" si="15"/>
        <v>-0.36363636363636365</v>
      </c>
      <c r="S225" s="19">
        <f t="shared" si="16"/>
        <v>3.0303030303030304E-2</v>
      </c>
      <c r="T225" s="21">
        <f t="shared" si="17"/>
        <v>9.0909090909090912E-2</v>
      </c>
      <c r="U225" s="19" t="e">
        <f>VLOOKUP(B225,[1]재고수량!$A$13:$D$651,3,FALSE)</f>
        <v>#N/A</v>
      </c>
      <c r="V225" s="21" t="e">
        <f t="shared" si="18"/>
        <v>#N/A</v>
      </c>
      <c r="X225">
        <f>VLOOKUP(B225,[1]제품리스트!$A$2:$F$1110,5,FALSE)</f>
        <v>27</v>
      </c>
      <c r="Y225" s="19">
        <f t="shared" si="19"/>
        <v>0</v>
      </c>
    </row>
    <row r="226" spans="1:25" hidden="1" x14ac:dyDescent="0.3">
      <c r="A226" s="5"/>
      <c r="B226" s="6">
        <v>72004198</v>
      </c>
      <c r="C226" t="s">
        <v>249</v>
      </c>
      <c r="D226" s="7"/>
      <c r="E226" s="8">
        <v>-6</v>
      </c>
      <c r="F226" s="8"/>
      <c r="G226" s="8"/>
      <c r="H226" s="8"/>
      <c r="I226" s="8"/>
      <c r="J226" s="8"/>
      <c r="K226" s="8"/>
      <c r="L226" s="8"/>
      <c r="M226" s="8">
        <v>-1</v>
      </c>
      <c r="N226" s="8"/>
      <c r="O226" s="8"/>
      <c r="P226" s="8">
        <v>-7</v>
      </c>
      <c r="Q226" s="23" t="str">
        <f>VLOOKUP(B226,[1]제품리스트!$A$2:$J$1000,10,FALSE)</f>
        <v>#198-Paint 4ozButtercup</v>
      </c>
      <c r="R226" s="17">
        <f t="shared" si="15"/>
        <v>-0.63636363636363635</v>
      </c>
      <c r="S226" s="19">
        <f t="shared" si="16"/>
        <v>5.3030303030303032E-2</v>
      </c>
      <c r="T226" s="21">
        <f t="shared" si="17"/>
        <v>0.15909090909090909</v>
      </c>
      <c r="U226" s="19" t="e">
        <f>VLOOKUP(B226,[1]재고수량!$A$13:$D$651,3,FALSE)</f>
        <v>#N/A</v>
      </c>
      <c r="V226" s="21" t="e">
        <f t="shared" si="18"/>
        <v>#N/A</v>
      </c>
      <c r="X226">
        <f>VLOOKUP(B226,[1]제품리스트!$A$2:$F$1110,5,FALSE)</f>
        <v>27</v>
      </c>
      <c r="Y226" s="19">
        <f t="shared" si="19"/>
        <v>0</v>
      </c>
    </row>
    <row r="227" spans="1:25" hidden="1" x14ac:dyDescent="0.3">
      <c r="A227" s="5"/>
      <c r="B227" s="6">
        <v>72004260</v>
      </c>
      <c r="C227" t="s">
        <v>250</v>
      </c>
      <c r="D227" s="7"/>
      <c r="E227" s="8"/>
      <c r="F227" s="8">
        <v>-1</v>
      </c>
      <c r="G227" s="8"/>
      <c r="H227" s="8"/>
      <c r="I227" s="8"/>
      <c r="J227" s="8">
        <v>-3</v>
      </c>
      <c r="K227" s="8"/>
      <c r="L227" s="8"/>
      <c r="M227" s="8"/>
      <c r="N227" s="8">
        <v>-1</v>
      </c>
      <c r="O227" s="8"/>
      <c r="P227" s="8">
        <v>-5</v>
      </c>
      <c r="Q227" s="23" t="str">
        <f>VLOOKUP(B227,[1]제품리스트!$A$2:$J$1000,10,FALSE)</f>
        <v>#260-Paint 4oz Chili Red</v>
      </c>
      <c r="R227" s="17">
        <f t="shared" si="15"/>
        <v>-0.45454545454545453</v>
      </c>
      <c r="S227" s="19">
        <f t="shared" si="16"/>
        <v>3.787878787878788E-2</v>
      </c>
      <c r="T227" s="21">
        <f t="shared" si="17"/>
        <v>0.11363636363636365</v>
      </c>
      <c r="U227" s="19" t="e">
        <f>VLOOKUP(B227,[1]재고수량!$A$13:$D$651,3,FALSE)</f>
        <v>#N/A</v>
      </c>
      <c r="V227" s="21" t="e">
        <f t="shared" si="18"/>
        <v>#N/A</v>
      </c>
      <c r="X227">
        <f>VLOOKUP(B227,[1]제품리스트!$A$2:$F$1110,5,FALSE)</f>
        <v>27</v>
      </c>
      <c r="Y227" s="19">
        <f t="shared" si="19"/>
        <v>0</v>
      </c>
    </row>
    <row r="228" spans="1:25" hidden="1" x14ac:dyDescent="0.3">
      <c r="A228" s="5"/>
      <c r="B228" s="6">
        <v>72004261</v>
      </c>
      <c r="C228" t="s">
        <v>251</v>
      </c>
      <c r="D228" s="7"/>
      <c r="E228" s="8"/>
      <c r="F228" s="8"/>
      <c r="G228" s="8">
        <v>1</v>
      </c>
      <c r="H228" s="8">
        <v>-1</v>
      </c>
      <c r="I228" s="8">
        <v>0</v>
      </c>
      <c r="J228" s="8">
        <v>-1</v>
      </c>
      <c r="K228" s="8">
        <v>0</v>
      </c>
      <c r="L228" s="8">
        <v>0</v>
      </c>
      <c r="M228" s="8">
        <v>-2</v>
      </c>
      <c r="N228" s="8">
        <v>-1</v>
      </c>
      <c r="O228" s="8"/>
      <c r="P228" s="8">
        <v>-4</v>
      </c>
      <c r="Q228" s="23" t="str">
        <f>VLOOKUP(B228,[1]제품리스트!$A$2:$J$1000,10,FALSE)</f>
        <v>#261-Paint 4oz South Beach</v>
      </c>
      <c r="R228" s="17">
        <f t="shared" si="15"/>
        <v>-0.36363636363636365</v>
      </c>
      <c r="S228" s="19">
        <f t="shared" si="16"/>
        <v>3.0303030303030304E-2</v>
      </c>
      <c r="T228" s="21">
        <f t="shared" si="17"/>
        <v>9.0909090909090912E-2</v>
      </c>
      <c r="U228" s="19" t="e">
        <f>VLOOKUP(B228,[1]재고수량!$A$13:$D$651,3,FALSE)</f>
        <v>#N/A</v>
      </c>
      <c r="V228" s="21" t="e">
        <f t="shared" si="18"/>
        <v>#N/A</v>
      </c>
      <c r="X228">
        <f>VLOOKUP(B228,[1]제품리스트!$A$2:$F$1110,5,FALSE)</f>
        <v>27</v>
      </c>
      <c r="Y228" s="19">
        <f t="shared" si="19"/>
        <v>0</v>
      </c>
    </row>
    <row r="229" spans="1:25" hidden="1" x14ac:dyDescent="0.3">
      <c r="A229" s="5"/>
      <c r="B229" s="6">
        <v>72004262</v>
      </c>
      <c r="C229" t="s">
        <v>252</v>
      </c>
      <c r="D229" s="7"/>
      <c r="E229" s="8"/>
      <c r="F229" s="8"/>
      <c r="G229" s="8"/>
      <c r="H229" s="8"/>
      <c r="I229" s="8">
        <v>-1</v>
      </c>
      <c r="J229" s="8"/>
      <c r="K229" s="8">
        <v>-1</v>
      </c>
      <c r="L229" s="8"/>
      <c r="M229" s="8">
        <v>-1</v>
      </c>
      <c r="N229" s="8">
        <v>0</v>
      </c>
      <c r="O229" s="8"/>
      <c r="P229" s="8">
        <v>-3</v>
      </c>
      <c r="Q229" s="23" t="str">
        <f>VLOOKUP(B229,[1]제품리스트!$A$2:$J$1000,10,FALSE)</f>
        <v>#262-Paint 4oz Play in the Sand</v>
      </c>
      <c r="R229" s="17">
        <f t="shared" si="15"/>
        <v>-0.27272727272727271</v>
      </c>
      <c r="S229" s="19">
        <f t="shared" si="16"/>
        <v>2.2727272727272724E-2</v>
      </c>
      <c r="T229" s="21">
        <f t="shared" si="17"/>
        <v>6.8181818181818177E-2</v>
      </c>
      <c r="U229" s="19" t="e">
        <f>VLOOKUP(B229,[1]재고수량!$A$13:$D$651,3,FALSE)</f>
        <v>#N/A</v>
      </c>
      <c r="V229" s="21" t="e">
        <f t="shared" si="18"/>
        <v>#N/A</v>
      </c>
      <c r="X229">
        <f>VLOOKUP(B229,[1]제품리스트!$A$2:$F$1110,5,FALSE)</f>
        <v>27</v>
      </c>
      <c r="Y229" s="19">
        <f t="shared" si="19"/>
        <v>0</v>
      </c>
    </row>
    <row r="230" spans="1:25" hidden="1" x14ac:dyDescent="0.3">
      <c r="A230" s="5"/>
      <c r="B230" s="6">
        <v>72004263</v>
      </c>
      <c r="C230" t="s">
        <v>253</v>
      </c>
      <c r="D230" s="7">
        <v>-1</v>
      </c>
      <c r="E230" s="8"/>
      <c r="F230" s="8"/>
      <c r="G230" s="8"/>
      <c r="H230" s="8"/>
      <c r="I230" s="8"/>
      <c r="J230" s="8"/>
      <c r="K230" s="8">
        <v>-1</v>
      </c>
      <c r="L230" s="8"/>
      <c r="M230" s="8"/>
      <c r="N230" s="8"/>
      <c r="O230" s="8"/>
      <c r="P230" s="8">
        <v>-2</v>
      </c>
      <c r="Q230" s="23" t="str">
        <f>VLOOKUP(B230,[1]제품리스트!$A$2:$J$1000,10,FALSE)</f>
        <v>#263-Paint 4oz Grinch Green</v>
      </c>
      <c r="R230" s="17">
        <f t="shared" si="15"/>
        <v>-0.18181818181818182</v>
      </c>
      <c r="S230" s="19">
        <f t="shared" si="16"/>
        <v>1.5151515151515152E-2</v>
      </c>
      <c r="T230" s="21">
        <f t="shared" si="17"/>
        <v>4.5454545454545456E-2</v>
      </c>
      <c r="U230" s="19" t="e">
        <f>VLOOKUP(B230,[1]재고수량!$A$13:$D$651,3,FALSE)</f>
        <v>#N/A</v>
      </c>
      <c r="V230" s="21" t="e">
        <f t="shared" si="18"/>
        <v>#N/A</v>
      </c>
      <c r="X230">
        <f>VLOOKUP(B230,[1]제품리스트!$A$2:$F$1110,5,FALSE)</f>
        <v>27</v>
      </c>
      <c r="Y230" s="19">
        <f t="shared" si="19"/>
        <v>0</v>
      </c>
    </row>
    <row r="231" spans="1:25" hidden="1" x14ac:dyDescent="0.3">
      <c r="A231" s="5"/>
      <c r="B231" s="6">
        <v>72004264</v>
      </c>
      <c r="C231" t="s">
        <v>254</v>
      </c>
      <c r="D231" s="7"/>
      <c r="E231" s="8"/>
      <c r="F231" s="8"/>
      <c r="G231" s="8"/>
      <c r="H231" s="8"/>
      <c r="I231" s="8"/>
      <c r="J231" s="8"/>
      <c r="K231" s="8"/>
      <c r="L231" s="8"/>
      <c r="M231" s="8">
        <v>-2</v>
      </c>
      <c r="N231" s="8"/>
      <c r="O231" s="8"/>
      <c r="P231" s="8">
        <v>-2</v>
      </c>
      <c r="Q231" s="23" t="str">
        <f>VLOOKUP(B231,[1]제품리스트!$A$2:$J$1000,10,FALSE)</f>
        <v>#264-Paint 4oz Putty</v>
      </c>
      <c r="R231" s="17">
        <f t="shared" si="15"/>
        <v>-0.18181818181818182</v>
      </c>
      <c r="S231" s="19">
        <f t="shared" si="16"/>
        <v>1.5151515151515152E-2</v>
      </c>
      <c r="T231" s="21">
        <f t="shared" si="17"/>
        <v>4.5454545454545456E-2</v>
      </c>
      <c r="U231" s="19" t="e">
        <f>VLOOKUP(B231,[1]재고수량!$A$13:$D$651,3,FALSE)</f>
        <v>#N/A</v>
      </c>
      <c r="V231" s="21" t="e">
        <f t="shared" si="18"/>
        <v>#N/A</v>
      </c>
      <c r="X231">
        <f>VLOOKUP(B231,[1]제품리스트!$A$2:$F$1110,5,FALSE)</f>
        <v>27</v>
      </c>
      <c r="Y231" s="19">
        <f t="shared" si="19"/>
        <v>0</v>
      </c>
    </row>
    <row r="232" spans="1:25" hidden="1" x14ac:dyDescent="0.3">
      <c r="A232" s="5"/>
      <c r="B232" s="6">
        <v>72004265</v>
      </c>
      <c r="C232" t="s">
        <v>255</v>
      </c>
      <c r="D232" s="7"/>
      <c r="E232" s="8">
        <v>0</v>
      </c>
      <c r="F232" s="8"/>
      <c r="G232" s="8"/>
      <c r="H232" s="8"/>
      <c r="I232" s="8"/>
      <c r="J232" s="8">
        <v>-1</v>
      </c>
      <c r="K232" s="8"/>
      <c r="L232" s="8"/>
      <c r="M232" s="8"/>
      <c r="N232" s="8"/>
      <c r="O232" s="8"/>
      <c r="P232" s="8">
        <v>-1</v>
      </c>
      <c r="Q232" s="23" t="str">
        <f>VLOOKUP(B232,[1]제품리스트!$A$2:$J$1000,10,FALSE)</f>
        <v>#265-Paint 4oz Tangerine</v>
      </c>
      <c r="R232" s="17">
        <f t="shared" si="15"/>
        <v>-9.0909090909090912E-2</v>
      </c>
      <c r="S232" s="19">
        <f t="shared" si="16"/>
        <v>7.575757575757576E-3</v>
      </c>
      <c r="T232" s="21">
        <f t="shared" si="17"/>
        <v>2.2727272727272728E-2</v>
      </c>
      <c r="U232" s="19" t="e">
        <f>VLOOKUP(B232,[1]재고수량!$A$13:$D$651,3,FALSE)</f>
        <v>#N/A</v>
      </c>
      <c r="V232" s="21" t="e">
        <f t="shared" si="18"/>
        <v>#N/A</v>
      </c>
      <c r="X232">
        <f>VLOOKUP(B232,[1]제품리스트!$A$2:$F$1110,5,FALSE)</f>
        <v>27</v>
      </c>
      <c r="Y232" s="19">
        <f t="shared" si="19"/>
        <v>0</v>
      </c>
    </row>
    <row r="233" spans="1:25" hidden="1" x14ac:dyDescent="0.3">
      <c r="A233" s="5"/>
      <c r="B233" s="6">
        <v>72004266</v>
      </c>
      <c r="C233" t="s">
        <v>256</v>
      </c>
      <c r="D233" s="7"/>
      <c r="E233" s="8"/>
      <c r="F233" s="8">
        <v>-1</v>
      </c>
      <c r="G233" s="8"/>
      <c r="H233" s="8"/>
      <c r="I233" s="8"/>
      <c r="J233" s="8"/>
      <c r="K233" s="8">
        <v>-1</v>
      </c>
      <c r="L233" s="8">
        <v>-1</v>
      </c>
      <c r="M233" s="8"/>
      <c r="N233" s="8"/>
      <c r="O233" s="8"/>
      <c r="P233" s="8">
        <v>-3</v>
      </c>
      <c r="Q233" s="23" t="str">
        <f>VLOOKUP(B233,[1]제품리스트!$A$2:$J$1000,10,FALSE)</f>
        <v>#266-Paint 4oz Georgia Peach</v>
      </c>
      <c r="R233" s="17">
        <f t="shared" si="15"/>
        <v>-0.27272727272727271</v>
      </c>
      <c r="S233" s="19">
        <f t="shared" si="16"/>
        <v>2.2727272727272724E-2</v>
      </c>
      <c r="T233" s="21">
        <f t="shared" si="17"/>
        <v>6.8181818181818177E-2</v>
      </c>
      <c r="U233" s="19" t="e">
        <f>VLOOKUP(B233,[1]재고수량!$A$13:$D$651,3,FALSE)</f>
        <v>#N/A</v>
      </c>
      <c r="V233" s="21" t="e">
        <f t="shared" si="18"/>
        <v>#N/A</v>
      </c>
      <c r="X233">
        <f>VLOOKUP(B233,[1]제품리스트!$A$2:$F$1110,5,FALSE)</f>
        <v>27</v>
      </c>
      <c r="Y233" s="19">
        <f t="shared" si="19"/>
        <v>0</v>
      </c>
    </row>
    <row r="234" spans="1:25" hidden="1" x14ac:dyDescent="0.3">
      <c r="A234" s="5"/>
      <c r="B234" s="6">
        <v>72004267</v>
      </c>
      <c r="C234" t="s">
        <v>257</v>
      </c>
      <c r="D234" s="7"/>
      <c r="E234" s="8">
        <v>-1</v>
      </c>
      <c r="F234" s="8">
        <v>-1</v>
      </c>
      <c r="G234" s="8"/>
      <c r="H234" s="8"/>
      <c r="I234" s="8"/>
      <c r="J234" s="8"/>
      <c r="K234" s="8"/>
      <c r="L234" s="8"/>
      <c r="M234" s="8">
        <v>-1</v>
      </c>
      <c r="N234" s="8"/>
      <c r="O234" s="8"/>
      <c r="P234" s="8">
        <v>-3</v>
      </c>
      <c r="Q234" s="23" t="str">
        <f>VLOOKUP(B234,[1]제품리스트!$A$2:$J$1000,10,FALSE)</f>
        <v>#267-Paint 4oz Salmon</v>
      </c>
      <c r="R234" s="17">
        <f t="shared" si="15"/>
        <v>-0.27272727272727271</v>
      </c>
      <c r="S234" s="19">
        <f t="shared" si="16"/>
        <v>2.2727272727272724E-2</v>
      </c>
      <c r="T234" s="21">
        <f t="shared" si="17"/>
        <v>6.8181818181818177E-2</v>
      </c>
      <c r="U234" s="19" t="e">
        <f>VLOOKUP(B234,[1]재고수량!$A$13:$D$651,3,FALSE)</f>
        <v>#N/A</v>
      </c>
      <c r="V234" s="21" t="e">
        <f t="shared" si="18"/>
        <v>#N/A</v>
      </c>
      <c r="X234">
        <f>VLOOKUP(B234,[1]제품리스트!$A$2:$F$1110,5,FALSE)</f>
        <v>27</v>
      </c>
      <c r="Y234" s="19">
        <f t="shared" si="19"/>
        <v>0</v>
      </c>
    </row>
    <row r="235" spans="1:25" hidden="1" x14ac:dyDescent="0.3">
      <c r="A235" s="5"/>
      <c r="B235" s="6">
        <v>72004268</v>
      </c>
      <c r="C235" t="s">
        <v>258</v>
      </c>
      <c r="D235" s="7">
        <v>-1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>
        <v>-1</v>
      </c>
      <c r="Q235" s="23" t="str">
        <f>VLOOKUP(B235,[1]제품리스트!$A$2:$J$1000,10,FALSE)</f>
        <v>#268-Paint 4oz Rasberry</v>
      </c>
      <c r="R235" s="17">
        <f t="shared" si="15"/>
        <v>-9.0909090909090912E-2</v>
      </c>
      <c r="S235" s="19">
        <f t="shared" si="16"/>
        <v>7.575757575757576E-3</v>
      </c>
      <c r="T235" s="21">
        <f t="shared" si="17"/>
        <v>2.2727272727272728E-2</v>
      </c>
      <c r="U235" s="19" t="e">
        <f>VLOOKUP(B235,[1]재고수량!$A$13:$D$651,3,FALSE)</f>
        <v>#N/A</v>
      </c>
      <c r="V235" s="21" t="e">
        <f t="shared" si="18"/>
        <v>#N/A</v>
      </c>
      <c r="X235">
        <f>VLOOKUP(B235,[1]제품리스트!$A$2:$F$1110,5,FALSE)</f>
        <v>27</v>
      </c>
      <c r="Y235" s="19">
        <f t="shared" si="19"/>
        <v>0</v>
      </c>
    </row>
    <row r="236" spans="1:25" hidden="1" x14ac:dyDescent="0.3">
      <c r="A236" s="5"/>
      <c r="B236" s="6">
        <v>72004269</v>
      </c>
      <c r="C236" t="s">
        <v>259</v>
      </c>
      <c r="D236" s="7"/>
      <c r="E236" s="8"/>
      <c r="F236" s="8">
        <v>-1</v>
      </c>
      <c r="G236" s="8">
        <v>1</v>
      </c>
      <c r="H236" s="8">
        <v>-2</v>
      </c>
      <c r="I236" s="8">
        <v>-1</v>
      </c>
      <c r="J236" s="8">
        <v>-1</v>
      </c>
      <c r="K236" s="8">
        <v>0</v>
      </c>
      <c r="L236" s="8">
        <v>-1</v>
      </c>
      <c r="M236" s="8">
        <v>-1</v>
      </c>
      <c r="N236" s="8">
        <v>-1</v>
      </c>
      <c r="O236" s="8"/>
      <c r="P236" s="8">
        <v>-7</v>
      </c>
      <c r="Q236" s="23" t="str">
        <f>VLOOKUP(B236,[1]제품리스트!$A$2:$J$1000,10,FALSE)</f>
        <v>#269-Paint 4oz Mint</v>
      </c>
      <c r="R236" s="17">
        <f t="shared" si="15"/>
        <v>-0.63636363636363635</v>
      </c>
      <c r="S236" s="19">
        <f t="shared" si="16"/>
        <v>5.3030303030303032E-2</v>
      </c>
      <c r="T236" s="21">
        <f t="shared" si="17"/>
        <v>0.15909090909090909</v>
      </c>
      <c r="U236" s="19" t="e">
        <f>VLOOKUP(B236,[1]재고수량!$A$13:$D$651,3,FALSE)</f>
        <v>#N/A</v>
      </c>
      <c r="V236" s="21" t="e">
        <f t="shared" si="18"/>
        <v>#N/A</v>
      </c>
      <c r="X236">
        <f>VLOOKUP(B236,[1]제품리스트!$A$2:$F$1110,5,FALSE)</f>
        <v>27</v>
      </c>
      <c r="Y236" s="19">
        <f t="shared" si="19"/>
        <v>0</v>
      </c>
    </row>
    <row r="237" spans="1:25" hidden="1" x14ac:dyDescent="0.3">
      <c r="A237" s="5"/>
      <c r="B237" s="6">
        <v>72004270</v>
      </c>
      <c r="C237" t="s">
        <v>260</v>
      </c>
      <c r="D237" s="7"/>
      <c r="E237" s="8"/>
      <c r="F237" s="8"/>
      <c r="G237" s="8"/>
      <c r="H237" s="8">
        <v>-2</v>
      </c>
      <c r="I237" s="8"/>
      <c r="J237" s="8"/>
      <c r="K237" s="8"/>
      <c r="L237" s="8">
        <v>-3</v>
      </c>
      <c r="M237" s="8">
        <v>-4</v>
      </c>
      <c r="N237" s="8"/>
      <c r="O237" s="8"/>
      <c r="P237" s="8">
        <v>-9</v>
      </c>
      <c r="Q237" s="23" t="str">
        <f>VLOOKUP(B237,[1]제품리스트!$A$2:$J$1000,10,FALSE)</f>
        <v>#270-Paint 4oz Vachetta</v>
      </c>
      <c r="R237" s="17">
        <f t="shared" si="15"/>
        <v>-0.81818181818181823</v>
      </c>
      <c r="S237" s="19">
        <f t="shared" si="16"/>
        <v>6.8181818181818191E-2</v>
      </c>
      <c r="T237" s="21">
        <f t="shared" si="17"/>
        <v>0.20454545454545459</v>
      </c>
      <c r="U237" s="19" t="e">
        <f>VLOOKUP(B237,[1]재고수량!$A$13:$D$651,3,FALSE)</f>
        <v>#N/A</v>
      </c>
      <c r="V237" s="21" t="e">
        <f t="shared" si="18"/>
        <v>#N/A</v>
      </c>
      <c r="X237">
        <f>VLOOKUP(B237,[1]제품리스트!$A$2:$F$1110,5,FALSE)</f>
        <v>27</v>
      </c>
      <c r="Y237" s="19">
        <f t="shared" si="19"/>
        <v>0</v>
      </c>
    </row>
    <row r="238" spans="1:25" hidden="1" x14ac:dyDescent="0.3">
      <c r="A238" s="5"/>
      <c r="B238" s="6">
        <v>72004272</v>
      </c>
      <c r="C238" t="s">
        <v>261</v>
      </c>
      <c r="D238" s="7">
        <v>-1</v>
      </c>
      <c r="E238" s="8"/>
      <c r="F238" s="8"/>
      <c r="G238" s="8"/>
      <c r="H238" s="8">
        <v>-1</v>
      </c>
      <c r="I238" s="8"/>
      <c r="J238" s="8"/>
      <c r="K238" s="8"/>
      <c r="L238" s="8"/>
      <c r="M238" s="8">
        <v>-2</v>
      </c>
      <c r="N238" s="8"/>
      <c r="O238" s="8"/>
      <c r="P238" s="8">
        <v>-4</v>
      </c>
      <c r="Q238" s="23" t="str">
        <f>VLOOKUP(B238,[1]제품리스트!$A$2:$J$1000,10,FALSE)</f>
        <v>#272-Paint 4oz Olive</v>
      </c>
      <c r="R238" s="17">
        <f t="shared" si="15"/>
        <v>-0.36363636363636365</v>
      </c>
      <c r="S238" s="19">
        <f t="shared" si="16"/>
        <v>3.0303030303030304E-2</v>
      </c>
      <c r="T238" s="21">
        <f t="shared" si="17"/>
        <v>9.0909090909090912E-2</v>
      </c>
      <c r="U238" s="19" t="e">
        <f>VLOOKUP(B238,[1]재고수량!$A$13:$D$651,3,FALSE)</f>
        <v>#N/A</v>
      </c>
      <c r="V238" s="21" t="e">
        <f t="shared" si="18"/>
        <v>#N/A</v>
      </c>
      <c r="X238">
        <f>VLOOKUP(B238,[1]제품리스트!$A$2:$F$1110,5,FALSE)</f>
        <v>27</v>
      </c>
      <c r="Y238" s="19">
        <f t="shared" si="19"/>
        <v>0</v>
      </c>
    </row>
    <row r="239" spans="1:25" hidden="1" x14ac:dyDescent="0.3">
      <c r="A239" s="5"/>
      <c r="B239" s="6">
        <v>72004273</v>
      </c>
      <c r="C239" t="s">
        <v>262</v>
      </c>
      <c r="D239" s="7"/>
      <c r="E239" s="8"/>
      <c r="F239" s="8"/>
      <c r="G239" s="8">
        <v>0</v>
      </c>
      <c r="H239" s="8">
        <v>0</v>
      </c>
      <c r="I239" s="8">
        <v>-1</v>
      </c>
      <c r="J239" s="8">
        <v>0</v>
      </c>
      <c r="K239" s="8">
        <v>-1</v>
      </c>
      <c r="L239" s="8">
        <v>-6</v>
      </c>
      <c r="M239" s="8"/>
      <c r="N239" s="8"/>
      <c r="O239" s="8"/>
      <c r="P239" s="8">
        <v>-8</v>
      </c>
      <c r="Q239" s="23" t="str">
        <f>VLOOKUP(B239,[1]제품리스트!$A$2:$J$1000,10,FALSE)</f>
        <v>#273-Paint 4oz Bowler Brown</v>
      </c>
      <c r="R239" s="17">
        <f t="shared" si="15"/>
        <v>-0.72727272727272729</v>
      </c>
      <c r="S239" s="19">
        <f t="shared" si="16"/>
        <v>6.0606060606060608E-2</v>
      </c>
      <c r="T239" s="21">
        <f t="shared" si="17"/>
        <v>0.18181818181818182</v>
      </c>
      <c r="U239" s="19" t="e">
        <f>VLOOKUP(B239,[1]재고수량!$A$13:$D$651,3,FALSE)</f>
        <v>#N/A</v>
      </c>
      <c r="V239" s="21" t="e">
        <f t="shared" si="18"/>
        <v>#N/A</v>
      </c>
      <c r="X239">
        <f>VLOOKUP(B239,[1]제품리스트!$A$2:$F$1110,5,FALSE)</f>
        <v>27</v>
      </c>
      <c r="Y239" s="19">
        <f t="shared" si="19"/>
        <v>0</v>
      </c>
    </row>
    <row r="240" spans="1:25" hidden="1" x14ac:dyDescent="0.3">
      <c r="A240" s="5"/>
      <c r="B240" s="6">
        <v>72004274</v>
      </c>
      <c r="C240" t="s">
        <v>263</v>
      </c>
      <c r="D240" s="7"/>
      <c r="E240" s="8"/>
      <c r="F240" s="8"/>
      <c r="G240" s="8"/>
      <c r="H240" s="8">
        <v>-2</v>
      </c>
      <c r="I240" s="8">
        <v>-2</v>
      </c>
      <c r="J240" s="8"/>
      <c r="K240" s="8"/>
      <c r="L240" s="8"/>
      <c r="M240" s="8">
        <v>-1</v>
      </c>
      <c r="N240" s="8"/>
      <c r="O240" s="8"/>
      <c r="P240" s="8">
        <v>-5</v>
      </c>
      <c r="Q240" s="23" t="str">
        <f>VLOOKUP(B240,[1]제품리스트!$A$2:$J$1000,10,FALSE)</f>
        <v>#274-Paint 4oz Luggage Brown</v>
      </c>
      <c r="R240" s="17">
        <f t="shared" si="15"/>
        <v>-0.45454545454545453</v>
      </c>
      <c r="S240" s="19">
        <f t="shared" si="16"/>
        <v>3.787878787878788E-2</v>
      </c>
      <c r="T240" s="21">
        <f t="shared" si="17"/>
        <v>0.11363636363636365</v>
      </c>
      <c r="U240" s="19" t="e">
        <f>VLOOKUP(B240,[1]재고수량!$A$13:$D$651,3,FALSE)</f>
        <v>#N/A</v>
      </c>
      <c r="V240" s="21" t="e">
        <f t="shared" si="18"/>
        <v>#N/A</v>
      </c>
      <c r="X240">
        <f>VLOOKUP(B240,[1]제품리스트!$A$2:$F$1110,5,FALSE)</f>
        <v>27</v>
      </c>
      <c r="Y240" s="19">
        <f t="shared" si="19"/>
        <v>0</v>
      </c>
    </row>
    <row r="241" spans="1:25" hidden="1" x14ac:dyDescent="0.3">
      <c r="A241" s="5"/>
      <c r="B241" s="6">
        <v>72004275</v>
      </c>
      <c r="C241" t="s">
        <v>264</v>
      </c>
      <c r="D241" s="7"/>
      <c r="E241" s="8"/>
      <c r="F241" s="8">
        <v>-1</v>
      </c>
      <c r="G241" s="8"/>
      <c r="H241" s="8">
        <v>-2</v>
      </c>
      <c r="I241" s="8">
        <v>-2</v>
      </c>
      <c r="J241" s="8"/>
      <c r="K241" s="8"/>
      <c r="L241" s="8"/>
      <c r="M241" s="8"/>
      <c r="N241" s="8"/>
      <c r="O241" s="8"/>
      <c r="P241" s="8">
        <v>-5</v>
      </c>
      <c r="Q241" s="23" t="str">
        <f>VLOOKUP(B241,[1]제품리스트!$A$2:$J$1000,10,FALSE)</f>
        <v>#275-Paint 4oz Satchel Tan</v>
      </c>
      <c r="R241" s="17">
        <f t="shared" si="15"/>
        <v>-0.45454545454545453</v>
      </c>
      <c r="S241" s="19">
        <f t="shared" si="16"/>
        <v>3.787878787878788E-2</v>
      </c>
      <c r="T241" s="21">
        <f t="shared" si="17"/>
        <v>0.11363636363636365</v>
      </c>
      <c r="U241" s="19" t="e">
        <f>VLOOKUP(B241,[1]재고수량!$A$13:$D$651,3,FALSE)</f>
        <v>#N/A</v>
      </c>
      <c r="V241" s="21" t="e">
        <f t="shared" si="18"/>
        <v>#N/A</v>
      </c>
      <c r="X241">
        <f>VLOOKUP(B241,[1]제품리스트!$A$2:$F$1110,5,FALSE)</f>
        <v>27</v>
      </c>
      <c r="Y241" s="19">
        <f t="shared" si="19"/>
        <v>0</v>
      </c>
    </row>
    <row r="242" spans="1:25" hidden="1" x14ac:dyDescent="0.3">
      <c r="A242" s="5"/>
      <c r="B242" s="6">
        <v>72504122</v>
      </c>
      <c r="C242" t="s">
        <v>265</v>
      </c>
      <c r="D242" s="7"/>
      <c r="E242" s="8"/>
      <c r="F242" s="8"/>
      <c r="G242" s="8"/>
      <c r="H242" s="8">
        <v>-1</v>
      </c>
      <c r="I242" s="8"/>
      <c r="J242" s="8"/>
      <c r="K242" s="8"/>
      <c r="L242" s="8"/>
      <c r="M242" s="8"/>
      <c r="N242" s="8"/>
      <c r="O242" s="8"/>
      <c r="P242" s="8">
        <v>-1</v>
      </c>
      <c r="Q242" s="23" t="str">
        <f>VLOOKUP(B242,[1]제품리스트!$A$2:$J$1000,10,FALSE)</f>
        <v>#122-JamaicanJoyPink 4oz</v>
      </c>
      <c r="R242" s="17">
        <f t="shared" si="15"/>
        <v>-9.0909090909090912E-2</v>
      </c>
      <c r="S242" s="19">
        <f t="shared" si="16"/>
        <v>7.575757575757576E-3</v>
      </c>
      <c r="T242" s="21">
        <f t="shared" si="17"/>
        <v>2.2727272727272728E-2</v>
      </c>
      <c r="U242" s="19" t="e">
        <f>VLOOKUP(B242,[1]재고수량!$A$13:$D$651,3,FALSE)</f>
        <v>#N/A</v>
      </c>
      <c r="V242" s="21" t="e">
        <f t="shared" si="18"/>
        <v>#N/A</v>
      </c>
      <c r="X242">
        <f>VLOOKUP(B242,[1]제품리스트!$A$2:$F$1110,5,FALSE)</f>
        <v>28</v>
      </c>
      <c r="Y242" s="19">
        <f t="shared" si="19"/>
        <v>0</v>
      </c>
    </row>
    <row r="243" spans="1:25" hidden="1" x14ac:dyDescent="0.3">
      <c r="A243" s="5"/>
      <c r="B243" s="6">
        <v>72504123</v>
      </c>
      <c r="C243" t="s">
        <v>266</v>
      </c>
      <c r="D243" s="7"/>
      <c r="E243" s="8"/>
      <c r="F243" s="8"/>
      <c r="G243" s="8"/>
      <c r="H243" s="8"/>
      <c r="I243" s="8"/>
      <c r="J243" s="8"/>
      <c r="K243" s="8">
        <v>-2</v>
      </c>
      <c r="L243" s="8"/>
      <c r="M243" s="8"/>
      <c r="N243" s="8"/>
      <c r="O243" s="8"/>
      <c r="P243" s="8">
        <v>-2</v>
      </c>
      <c r="Q243" s="23" t="str">
        <f>VLOOKUP(B243,[1]제품리스트!$A$2:$J$1000,10,FALSE)</f>
        <v>#123-ParisianPink 4oz</v>
      </c>
      <c r="R243" s="17">
        <f t="shared" si="15"/>
        <v>-0.18181818181818182</v>
      </c>
      <c r="S243" s="19">
        <f t="shared" si="16"/>
        <v>1.5151515151515152E-2</v>
      </c>
      <c r="T243" s="21">
        <f t="shared" si="17"/>
        <v>4.5454545454545456E-2</v>
      </c>
      <c r="U243" s="19" t="e">
        <f>VLOOKUP(B243,[1]재고수량!$A$13:$D$651,3,FALSE)</f>
        <v>#N/A</v>
      </c>
      <c r="V243" s="21" t="e">
        <f t="shared" si="18"/>
        <v>#N/A</v>
      </c>
      <c r="X243">
        <f>VLOOKUP(B243,[1]제품리스트!$A$2:$F$1110,5,FALSE)</f>
        <v>28</v>
      </c>
      <c r="Y243" s="19">
        <f t="shared" si="19"/>
        <v>0</v>
      </c>
    </row>
    <row r="244" spans="1:25" hidden="1" x14ac:dyDescent="0.3">
      <c r="A244" s="5"/>
      <c r="B244" s="6">
        <v>72504124</v>
      </c>
      <c r="C244" t="s">
        <v>267</v>
      </c>
      <c r="D244" s="7"/>
      <c r="E244" s="8"/>
      <c r="F244" s="8"/>
      <c r="G244" s="8">
        <v>-1</v>
      </c>
      <c r="H244" s="8"/>
      <c r="I244" s="8"/>
      <c r="J244" s="8"/>
      <c r="K244" s="8">
        <v>-1</v>
      </c>
      <c r="L244" s="8"/>
      <c r="M244" s="8"/>
      <c r="N244" s="8"/>
      <c r="O244" s="8"/>
      <c r="P244" s="8">
        <v>-2</v>
      </c>
      <c r="Q244" s="23" t="str">
        <f>VLOOKUP(B244,[1]제품리스트!$A$2:$J$1000,10,FALSE)</f>
        <v>#124-ParadisePurple 4oz</v>
      </c>
      <c r="R244" s="17">
        <f t="shared" si="15"/>
        <v>-0.18181818181818182</v>
      </c>
      <c r="S244" s="19">
        <f t="shared" si="16"/>
        <v>1.5151515151515152E-2</v>
      </c>
      <c r="T244" s="21">
        <f t="shared" si="17"/>
        <v>4.5454545454545456E-2</v>
      </c>
      <c r="U244" s="19" t="e">
        <f>VLOOKUP(B244,[1]재고수량!$A$13:$D$651,3,FALSE)</f>
        <v>#N/A</v>
      </c>
      <c r="V244" s="21" t="e">
        <f t="shared" si="18"/>
        <v>#N/A</v>
      </c>
      <c r="X244">
        <f>VLOOKUP(B244,[1]제품리스트!$A$2:$F$1110,5,FALSE)</f>
        <v>28</v>
      </c>
      <c r="Y244" s="19">
        <f t="shared" si="19"/>
        <v>0</v>
      </c>
    </row>
    <row r="245" spans="1:25" hidden="1" x14ac:dyDescent="0.3">
      <c r="A245" s="5"/>
      <c r="B245" s="6">
        <v>72504125</v>
      </c>
      <c r="C245" t="s">
        <v>268</v>
      </c>
      <c r="D245" s="7">
        <v>0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>
        <v>0</v>
      </c>
      <c r="Q245" s="23" t="str">
        <f>VLOOKUP(B245,[1]제품리스트!$A$2:$J$1000,10,FALSE)</f>
        <v>#125-AmazonGreen 4oz</v>
      </c>
      <c r="R245" s="17">
        <f t="shared" si="15"/>
        <v>0</v>
      </c>
      <c r="S245" s="19">
        <f t="shared" si="16"/>
        <v>0</v>
      </c>
      <c r="T245" s="21">
        <f t="shared" si="17"/>
        <v>0</v>
      </c>
      <c r="U245" s="19" t="e">
        <f>VLOOKUP(B245,[1]재고수량!$A$13:$D$651,3,FALSE)</f>
        <v>#N/A</v>
      </c>
      <c r="V245" s="21" t="e">
        <f t="shared" si="18"/>
        <v>#N/A</v>
      </c>
      <c r="X245">
        <f>VLOOKUP(B245,[1]제품리스트!$A$2:$F$1110,5,FALSE)</f>
        <v>28</v>
      </c>
      <c r="Y245" s="19">
        <f t="shared" si="19"/>
        <v>0</v>
      </c>
    </row>
    <row r="246" spans="1:25" hidden="1" x14ac:dyDescent="0.3">
      <c r="A246" s="5"/>
      <c r="B246" s="6">
        <v>72504126</v>
      </c>
      <c r="C246" t="s">
        <v>269</v>
      </c>
      <c r="D246" s="7"/>
      <c r="E246" s="8"/>
      <c r="F246" s="8"/>
      <c r="G246" s="8"/>
      <c r="H246" s="8"/>
      <c r="I246" s="8"/>
      <c r="J246" s="8"/>
      <c r="K246" s="8">
        <v>-1</v>
      </c>
      <c r="L246" s="8"/>
      <c r="M246" s="8"/>
      <c r="N246" s="8"/>
      <c r="O246" s="8"/>
      <c r="P246" s="8">
        <v>-1</v>
      </c>
      <c r="Q246" s="23" t="str">
        <f>VLOOKUP(B246,[1]제품리스트!$A$2:$J$1000,10,FALSE)</f>
        <v>#126-PlposicleGreen 4oz</v>
      </c>
      <c r="R246" s="17">
        <f t="shared" si="15"/>
        <v>-9.0909090909090912E-2</v>
      </c>
      <c r="S246" s="19">
        <f t="shared" si="16"/>
        <v>7.575757575757576E-3</v>
      </c>
      <c r="T246" s="21">
        <f t="shared" si="17"/>
        <v>2.2727272727272728E-2</v>
      </c>
      <c r="U246" s="19" t="e">
        <f>VLOOKUP(B246,[1]재고수량!$A$13:$D$651,3,FALSE)</f>
        <v>#N/A</v>
      </c>
      <c r="V246" s="21" t="e">
        <f t="shared" si="18"/>
        <v>#N/A</v>
      </c>
      <c r="X246">
        <f>VLOOKUP(B246,[1]제품리스트!$A$2:$F$1110,5,FALSE)</f>
        <v>28</v>
      </c>
      <c r="Y246" s="19">
        <f t="shared" si="19"/>
        <v>0</v>
      </c>
    </row>
    <row r="247" spans="1:25" hidden="1" x14ac:dyDescent="0.3">
      <c r="A247" s="5"/>
      <c r="B247" s="6">
        <v>72504127</v>
      </c>
      <c r="C247" t="s">
        <v>270</v>
      </c>
      <c r="D247" s="7"/>
      <c r="E247" s="8"/>
      <c r="F247" s="8"/>
      <c r="G247" s="8">
        <v>0</v>
      </c>
      <c r="H247" s="8">
        <v>-2</v>
      </c>
      <c r="I247" s="8">
        <v>-1</v>
      </c>
      <c r="J247" s="8">
        <v>-4</v>
      </c>
      <c r="K247" s="8">
        <v>-1</v>
      </c>
      <c r="L247" s="8"/>
      <c r="M247" s="8"/>
      <c r="N247" s="8"/>
      <c r="O247" s="8"/>
      <c r="P247" s="8">
        <v>-8</v>
      </c>
      <c r="Q247" s="23" t="str">
        <f>VLOOKUP(B247,[1]제품리스트!$A$2:$J$1000,10,FALSE)</f>
        <v>#127-TropicSunYellow 4oz</v>
      </c>
      <c r="R247" s="17">
        <f t="shared" si="15"/>
        <v>-0.72727272727272729</v>
      </c>
      <c r="S247" s="19">
        <f t="shared" si="16"/>
        <v>6.0606060606060608E-2</v>
      </c>
      <c r="T247" s="21">
        <f t="shared" si="17"/>
        <v>0.18181818181818182</v>
      </c>
      <c r="U247" s="19" t="e">
        <f>VLOOKUP(B247,[1]재고수량!$A$13:$D$651,3,FALSE)</f>
        <v>#N/A</v>
      </c>
      <c r="V247" s="21" t="e">
        <f t="shared" si="18"/>
        <v>#N/A</v>
      </c>
      <c r="X247">
        <f>VLOOKUP(B247,[1]제품리스트!$A$2:$F$1110,5,FALSE)</f>
        <v>28</v>
      </c>
      <c r="Y247" s="19">
        <f t="shared" si="19"/>
        <v>0</v>
      </c>
    </row>
    <row r="248" spans="1:25" hidden="1" x14ac:dyDescent="0.3">
      <c r="A248" s="5"/>
      <c r="B248" s="6">
        <v>72504129</v>
      </c>
      <c r="C248" t="s">
        <v>271</v>
      </c>
      <c r="D248" s="7">
        <v>1</v>
      </c>
      <c r="E248" s="8">
        <v>0</v>
      </c>
      <c r="F248" s="8">
        <v>0</v>
      </c>
      <c r="G248" s="8">
        <v>0</v>
      </c>
      <c r="H248" s="8">
        <v>-2</v>
      </c>
      <c r="I248" s="8">
        <v>1</v>
      </c>
      <c r="J248" s="8">
        <v>0</v>
      </c>
      <c r="K248" s="8">
        <v>0</v>
      </c>
      <c r="L248" s="8">
        <v>0</v>
      </c>
      <c r="M248" s="8">
        <v>0</v>
      </c>
      <c r="N248" s="8">
        <v>-1</v>
      </c>
      <c r="O248" s="8"/>
      <c r="P248" s="8">
        <v>-1</v>
      </c>
      <c r="Q248" s="23" t="str">
        <f>VLOOKUP(B248,[1]제품리스트!$A$2:$J$1000,10,FALSE)</f>
        <v>#129-FlamingOrange 4oz</v>
      </c>
      <c r="R248" s="17">
        <f t="shared" si="15"/>
        <v>-9.0909090909090912E-2</v>
      </c>
      <c r="S248" s="19">
        <f t="shared" si="16"/>
        <v>7.575757575757576E-3</v>
      </c>
      <c r="T248" s="21">
        <f t="shared" si="17"/>
        <v>2.2727272727272728E-2</v>
      </c>
      <c r="U248" s="19" t="e">
        <f>VLOOKUP(B248,[1]재고수량!$A$13:$D$651,3,FALSE)</f>
        <v>#N/A</v>
      </c>
      <c r="V248" s="21" t="e">
        <f t="shared" si="18"/>
        <v>#N/A</v>
      </c>
      <c r="X248">
        <f>VLOOKUP(B248,[1]제품리스트!$A$2:$F$1110,5,FALSE)</f>
        <v>28</v>
      </c>
      <c r="Y248" s="19">
        <f t="shared" si="19"/>
        <v>0</v>
      </c>
    </row>
    <row r="249" spans="1:25" hidden="1" x14ac:dyDescent="0.3">
      <c r="A249" s="5"/>
      <c r="B249" s="6">
        <v>72504130</v>
      </c>
      <c r="C249" t="s">
        <v>272</v>
      </c>
      <c r="D249" s="7"/>
      <c r="E249" s="8">
        <v>-1</v>
      </c>
      <c r="F249" s="8"/>
      <c r="G249" s="8"/>
      <c r="H249" s="8"/>
      <c r="I249" s="8">
        <v>-1</v>
      </c>
      <c r="J249" s="8"/>
      <c r="K249" s="8"/>
      <c r="L249" s="8"/>
      <c r="M249" s="8"/>
      <c r="N249" s="8"/>
      <c r="O249" s="8"/>
      <c r="P249" s="8">
        <v>-2</v>
      </c>
      <c r="Q249" s="23" t="str">
        <f>VLOOKUP(B249,[1]제품리스트!$A$2:$J$1000,10,FALSE)</f>
        <v>#130-LavaOrange 4oz</v>
      </c>
      <c r="R249" s="17">
        <f t="shared" si="15"/>
        <v>-0.18181818181818182</v>
      </c>
      <c r="S249" s="19">
        <f t="shared" si="16"/>
        <v>1.5151515151515152E-2</v>
      </c>
      <c r="T249" s="21">
        <f t="shared" si="17"/>
        <v>4.5454545454545456E-2</v>
      </c>
      <c r="U249" s="19" t="e">
        <f>VLOOKUP(B249,[1]재고수량!$A$13:$D$651,3,FALSE)</f>
        <v>#N/A</v>
      </c>
      <c r="V249" s="21" t="e">
        <f t="shared" si="18"/>
        <v>#N/A</v>
      </c>
      <c r="X249">
        <f>VLOOKUP(B249,[1]제품리스트!$A$2:$F$1110,5,FALSE)</f>
        <v>28</v>
      </c>
      <c r="Y249" s="19">
        <f t="shared" si="19"/>
        <v>0</v>
      </c>
    </row>
    <row r="250" spans="1:25" hidden="1" x14ac:dyDescent="0.3">
      <c r="A250" s="5"/>
      <c r="B250" s="6">
        <v>73201141</v>
      </c>
      <c r="C250" t="s">
        <v>273</v>
      </c>
      <c r="D250" s="7">
        <v>6</v>
      </c>
      <c r="E250" s="8">
        <v>-7</v>
      </c>
      <c r="F250" s="8"/>
      <c r="G250" s="8"/>
      <c r="H250" s="8"/>
      <c r="I250" s="8">
        <v>-1</v>
      </c>
      <c r="J250" s="8">
        <v>1</v>
      </c>
      <c r="K250" s="8">
        <v>0</v>
      </c>
      <c r="L250" s="8">
        <v>0</v>
      </c>
      <c r="M250" s="8">
        <v>-1</v>
      </c>
      <c r="N250" s="8">
        <v>-1</v>
      </c>
      <c r="O250" s="8"/>
      <c r="P250" s="8">
        <v>-3</v>
      </c>
      <c r="Q250" s="23" t="str">
        <f>VLOOKUP(B250,[1]제품리스트!$A$2:$J$1000,10,FALSE)</f>
        <v>#141-Paint 4oz Copper</v>
      </c>
      <c r="R250" s="17">
        <f t="shared" si="15"/>
        <v>-0.27272727272727271</v>
      </c>
      <c r="S250" s="19">
        <f t="shared" si="16"/>
        <v>2.2727272727272724E-2</v>
      </c>
      <c r="T250" s="21">
        <f t="shared" si="17"/>
        <v>6.8181818181818177E-2</v>
      </c>
      <c r="U250" s="19" t="e">
        <f>VLOOKUP(B250,[1]재고수량!$A$13:$D$651,3,FALSE)</f>
        <v>#N/A</v>
      </c>
      <c r="V250" s="21" t="e">
        <f t="shared" si="18"/>
        <v>#N/A</v>
      </c>
      <c r="X250">
        <f>VLOOKUP(B250,[1]제품리스트!$A$2:$F$1110,5,FALSE)</f>
        <v>27</v>
      </c>
      <c r="Y250" s="19">
        <f t="shared" si="19"/>
        <v>0</v>
      </c>
    </row>
    <row r="251" spans="1:25" hidden="1" x14ac:dyDescent="0.3">
      <c r="A251" s="5"/>
      <c r="B251" s="6">
        <v>73201142</v>
      </c>
      <c r="C251" t="s">
        <v>274</v>
      </c>
      <c r="D251" s="7">
        <v>3</v>
      </c>
      <c r="E251" s="8">
        <v>-7</v>
      </c>
      <c r="F251" s="8"/>
      <c r="G251" s="8"/>
      <c r="H251" s="8"/>
      <c r="I251" s="8">
        <v>-1</v>
      </c>
      <c r="J251" s="8"/>
      <c r="K251" s="8"/>
      <c r="L251" s="8"/>
      <c r="M251" s="8"/>
      <c r="N251" s="8"/>
      <c r="O251" s="8"/>
      <c r="P251" s="8">
        <v>-5</v>
      </c>
      <c r="Q251" s="23" t="str">
        <f>VLOOKUP(B251,[1]제품리스트!$A$2:$J$1000,10,FALSE)</f>
        <v>#142-Paint 4oz Bronze</v>
      </c>
      <c r="R251" s="17">
        <f t="shared" si="15"/>
        <v>-0.45454545454545453</v>
      </c>
      <c r="S251" s="19">
        <f t="shared" si="16"/>
        <v>3.787878787878788E-2</v>
      </c>
      <c r="T251" s="21">
        <f t="shared" si="17"/>
        <v>0.11363636363636365</v>
      </c>
      <c r="U251" s="19" t="e">
        <f>VLOOKUP(B251,[1]재고수량!$A$13:$D$651,3,FALSE)</f>
        <v>#N/A</v>
      </c>
      <c r="V251" s="21" t="e">
        <f t="shared" si="18"/>
        <v>#N/A</v>
      </c>
      <c r="X251">
        <f>VLOOKUP(B251,[1]제품리스트!$A$2:$F$1110,5,FALSE)</f>
        <v>27</v>
      </c>
      <c r="Y251" s="19">
        <f t="shared" si="19"/>
        <v>0</v>
      </c>
    </row>
    <row r="252" spans="1:25" hidden="1" x14ac:dyDescent="0.3">
      <c r="A252" s="5"/>
      <c r="B252" s="6">
        <v>73201143</v>
      </c>
      <c r="C252" t="s">
        <v>275</v>
      </c>
      <c r="D252" s="7"/>
      <c r="E252" s="8">
        <v>0</v>
      </c>
      <c r="F252" s="8"/>
      <c r="G252" s="8">
        <v>-1</v>
      </c>
      <c r="H252" s="8"/>
      <c r="I252" s="8"/>
      <c r="J252" s="8">
        <v>-1</v>
      </c>
      <c r="K252" s="8">
        <v>-2</v>
      </c>
      <c r="L252" s="8"/>
      <c r="M252" s="8">
        <v>-2</v>
      </c>
      <c r="N252" s="8"/>
      <c r="O252" s="8"/>
      <c r="P252" s="8">
        <v>-6</v>
      </c>
      <c r="Q252" s="23" t="str">
        <f>VLOOKUP(B252,[1]제품리스트!$A$2:$J$1000,10,FALSE)</f>
        <v>#143-Paint 4oz Pewter</v>
      </c>
      <c r="R252" s="17">
        <f t="shared" si="15"/>
        <v>-0.54545454545454541</v>
      </c>
      <c r="S252" s="19">
        <f t="shared" si="16"/>
        <v>4.5454545454545449E-2</v>
      </c>
      <c r="T252" s="21">
        <f t="shared" si="17"/>
        <v>0.13636363636363635</v>
      </c>
      <c r="U252" s="19" t="e">
        <f>VLOOKUP(B252,[1]재고수량!$A$13:$D$651,3,FALSE)</f>
        <v>#N/A</v>
      </c>
      <c r="V252" s="21" t="e">
        <f t="shared" si="18"/>
        <v>#N/A</v>
      </c>
      <c r="X252">
        <f>VLOOKUP(B252,[1]제품리스트!$A$2:$F$1110,5,FALSE)</f>
        <v>27</v>
      </c>
      <c r="Y252" s="19">
        <f t="shared" si="19"/>
        <v>0</v>
      </c>
    </row>
    <row r="253" spans="1:25" hidden="1" x14ac:dyDescent="0.3">
      <c r="A253" s="5"/>
      <c r="B253" s="6">
        <v>73204072</v>
      </c>
      <c r="C253" t="s">
        <v>276</v>
      </c>
      <c r="D253" s="7">
        <v>-27</v>
      </c>
      <c r="E253" s="8"/>
      <c r="F253" s="8"/>
      <c r="G253" s="8"/>
      <c r="H253" s="8"/>
      <c r="I253" s="8"/>
      <c r="J253" s="8">
        <v>-6</v>
      </c>
      <c r="K253" s="8">
        <v>-3</v>
      </c>
      <c r="L253" s="8"/>
      <c r="M253" s="8">
        <v>-5</v>
      </c>
      <c r="N253" s="8">
        <v>-1</v>
      </c>
      <c r="O253" s="8"/>
      <c r="P253" s="8">
        <v>-42</v>
      </c>
      <c r="Q253" s="23" t="str">
        <f>VLOOKUP(B253,[1]제품리스트!$A$2:$J$1000,10,FALSE)</f>
        <v>#072-Paint 4oz Gold</v>
      </c>
      <c r="R253" s="17">
        <f t="shared" si="15"/>
        <v>-3.8181818181818183</v>
      </c>
      <c r="S253" s="19">
        <f t="shared" si="16"/>
        <v>0.31818181818181818</v>
      </c>
      <c r="T253" s="21">
        <f t="shared" si="17"/>
        <v>0.95454545454545459</v>
      </c>
      <c r="U253" s="19" t="e">
        <f>VLOOKUP(B253,[1]재고수량!$A$13:$D$651,3,FALSE)</f>
        <v>#N/A</v>
      </c>
      <c r="V253" s="21" t="e">
        <f t="shared" si="18"/>
        <v>#N/A</v>
      </c>
      <c r="X253">
        <f>VLOOKUP(B253,[1]제품리스트!$A$2:$F$1110,5,FALSE)</f>
        <v>27</v>
      </c>
      <c r="Y253" s="19">
        <f t="shared" si="19"/>
        <v>0</v>
      </c>
    </row>
    <row r="254" spans="1:25" hidden="1" x14ac:dyDescent="0.3">
      <c r="A254" s="5"/>
      <c r="B254" s="6">
        <v>73304453</v>
      </c>
      <c r="C254" t="s">
        <v>277</v>
      </c>
      <c r="D254" s="7"/>
      <c r="E254" s="8"/>
      <c r="F254" s="8"/>
      <c r="G254" s="8"/>
      <c r="H254" s="8"/>
      <c r="I254" s="8"/>
      <c r="J254" s="8">
        <v>-6</v>
      </c>
      <c r="K254" s="8"/>
      <c r="L254" s="8">
        <v>-1</v>
      </c>
      <c r="M254" s="8"/>
      <c r="N254" s="8"/>
      <c r="O254" s="8"/>
      <c r="P254" s="8">
        <v>-7</v>
      </c>
      <c r="Q254" s="23" t="str">
        <f>VLOOKUP(B254,[1]제품리스트!$A$2:$J$1000,10,FALSE)</f>
        <v>#453-Prince Purple 4oz</v>
      </c>
      <c r="R254" s="17">
        <f t="shared" si="15"/>
        <v>-0.63636363636363635</v>
      </c>
      <c r="S254" s="19">
        <f t="shared" si="16"/>
        <v>5.3030303030303032E-2</v>
      </c>
      <c r="T254" s="21">
        <f t="shared" si="17"/>
        <v>0.15909090909090909</v>
      </c>
      <c r="U254" s="19" t="e">
        <f>VLOOKUP(B254,[1]재고수량!$A$13:$D$651,3,FALSE)</f>
        <v>#N/A</v>
      </c>
      <c r="V254" s="21" t="e">
        <f t="shared" si="18"/>
        <v>#N/A</v>
      </c>
      <c r="X254">
        <f>VLOOKUP(B254,[1]제품리스트!$A$2:$F$1110,5,FALSE)</f>
        <v>32</v>
      </c>
      <c r="Y254" s="19">
        <f t="shared" si="19"/>
        <v>0</v>
      </c>
    </row>
    <row r="255" spans="1:25" hidden="1" x14ac:dyDescent="0.3">
      <c r="A255" s="5"/>
      <c r="B255" s="6">
        <v>73304454</v>
      </c>
      <c r="C255" t="s">
        <v>278</v>
      </c>
      <c r="D255" s="7"/>
      <c r="E255" s="8">
        <v>-3</v>
      </c>
      <c r="F255" s="8"/>
      <c r="G255" s="8">
        <v>-3</v>
      </c>
      <c r="H255" s="8">
        <v>-1</v>
      </c>
      <c r="I255" s="8">
        <v>-1</v>
      </c>
      <c r="J255" s="8">
        <v>-1</v>
      </c>
      <c r="K255" s="8">
        <v>-1</v>
      </c>
      <c r="L255" s="8"/>
      <c r="M255" s="8"/>
      <c r="N255" s="8"/>
      <c r="O255" s="8"/>
      <c r="P255" s="8">
        <v>-10</v>
      </c>
      <c r="Q255" s="23" t="str">
        <f>VLOOKUP(B255,[1]제품리스트!$A$2:$J$1000,10,FALSE)</f>
        <v>#454-Sterling Silver 4oz</v>
      </c>
      <c r="R255" s="17">
        <f t="shared" si="15"/>
        <v>-0.90909090909090906</v>
      </c>
      <c r="S255" s="19">
        <f t="shared" si="16"/>
        <v>7.575757575757576E-2</v>
      </c>
      <c r="T255" s="21">
        <f t="shared" si="17"/>
        <v>0.22727272727272729</v>
      </c>
      <c r="U255" s="19" t="e">
        <f>VLOOKUP(B255,[1]재고수량!$A$13:$D$651,3,FALSE)</f>
        <v>#N/A</v>
      </c>
      <c r="V255" s="21" t="e">
        <f t="shared" si="18"/>
        <v>#N/A</v>
      </c>
      <c r="X255">
        <f>VLOOKUP(B255,[1]제품리스트!$A$2:$F$1110,5,FALSE)</f>
        <v>32</v>
      </c>
      <c r="Y255" s="19">
        <f t="shared" si="19"/>
        <v>0</v>
      </c>
    </row>
    <row r="256" spans="1:25" hidden="1" x14ac:dyDescent="0.3">
      <c r="A256" s="5"/>
      <c r="B256" s="6">
        <v>73304455</v>
      </c>
      <c r="C256" t="s">
        <v>279</v>
      </c>
      <c r="D256" s="7"/>
      <c r="E256" s="8">
        <v>-3</v>
      </c>
      <c r="F256" s="8">
        <v>-1</v>
      </c>
      <c r="G256" s="8">
        <v>-1</v>
      </c>
      <c r="H256" s="8"/>
      <c r="I256" s="8"/>
      <c r="J256" s="8">
        <v>-1</v>
      </c>
      <c r="K256" s="8"/>
      <c r="L256" s="8">
        <v>-4</v>
      </c>
      <c r="M256" s="8">
        <v>-3</v>
      </c>
      <c r="N256" s="8">
        <v>-5</v>
      </c>
      <c r="O256" s="8"/>
      <c r="P256" s="8">
        <v>-18</v>
      </c>
      <c r="Q256" s="23" t="str">
        <f>VLOOKUP(B256,[1]제품리스트!$A$2:$J$1000,10,FALSE)</f>
        <v>#455-18K Gold 4oz</v>
      </c>
      <c r="R256" s="17">
        <f t="shared" si="15"/>
        <v>-1.6363636363636365</v>
      </c>
      <c r="S256" s="19">
        <f t="shared" si="16"/>
        <v>0.13636363636363638</v>
      </c>
      <c r="T256" s="21">
        <f t="shared" si="17"/>
        <v>0.40909090909090917</v>
      </c>
      <c r="U256" s="19" t="e">
        <f>VLOOKUP(B256,[1]재고수량!$A$13:$D$651,3,FALSE)</f>
        <v>#N/A</v>
      </c>
      <c r="V256" s="21" t="e">
        <f t="shared" si="18"/>
        <v>#N/A</v>
      </c>
      <c r="X256">
        <f>VLOOKUP(B256,[1]제품리스트!$A$2:$F$1110,5,FALSE)</f>
        <v>32</v>
      </c>
      <c r="Y256" s="19">
        <f t="shared" si="19"/>
        <v>0</v>
      </c>
    </row>
    <row r="257" spans="1:25" hidden="1" x14ac:dyDescent="0.3">
      <c r="A257" s="9"/>
      <c r="B257" s="6">
        <v>73304456</v>
      </c>
      <c r="C257" t="s">
        <v>280</v>
      </c>
      <c r="D257" s="7"/>
      <c r="E257" s="8"/>
      <c r="F257" s="8">
        <v>-1</v>
      </c>
      <c r="G257" s="8"/>
      <c r="H257" s="8"/>
      <c r="I257" s="8"/>
      <c r="J257" s="8"/>
      <c r="K257" s="8">
        <v>-3</v>
      </c>
      <c r="L257" s="8"/>
      <c r="M257" s="8"/>
      <c r="N257" s="8"/>
      <c r="O257" s="8"/>
      <c r="P257" s="8">
        <v>-4</v>
      </c>
      <c r="Q257" s="23" t="str">
        <f>VLOOKUP(B257,[1]제품리스트!$A$2:$J$1000,10,FALSE)</f>
        <v>#456-Rose Gold 4oz</v>
      </c>
      <c r="R257" s="17">
        <f t="shared" si="15"/>
        <v>-0.36363636363636365</v>
      </c>
      <c r="S257" s="19">
        <f t="shared" si="16"/>
        <v>3.0303030303030304E-2</v>
      </c>
      <c r="T257" s="21">
        <f t="shared" si="17"/>
        <v>9.0909090909090912E-2</v>
      </c>
      <c r="U257" s="19" t="e">
        <f>VLOOKUP(B257,[1]재고수량!$A$13:$D$651,3,FALSE)</f>
        <v>#N/A</v>
      </c>
      <c r="V257" s="21" t="e">
        <f t="shared" si="18"/>
        <v>#N/A</v>
      </c>
      <c r="X257">
        <f>VLOOKUP(B257,[1]제품리스트!$A$2:$F$1110,5,FALSE)</f>
        <v>32</v>
      </c>
      <c r="Y257" s="19">
        <f t="shared" si="19"/>
        <v>0</v>
      </c>
    </row>
    <row r="258" spans="1:25" x14ac:dyDescent="0.3">
      <c r="A258" s="9" t="s">
        <v>281</v>
      </c>
      <c r="B258" s="6" t="s">
        <v>282</v>
      </c>
      <c r="C258" t="s">
        <v>283</v>
      </c>
      <c r="D258" s="7">
        <v>-1</v>
      </c>
      <c r="E258" s="8"/>
      <c r="F258" s="8">
        <v>-260</v>
      </c>
      <c r="G258" s="8">
        <v>-145</v>
      </c>
      <c r="H258" s="8">
        <v>-184</v>
      </c>
      <c r="I258" s="8">
        <v>-11</v>
      </c>
      <c r="J258" s="8">
        <v>-192</v>
      </c>
      <c r="K258" s="8">
        <v>-46</v>
      </c>
      <c r="L258" s="8">
        <v>-1</v>
      </c>
      <c r="M258" s="8">
        <v>-382</v>
      </c>
      <c r="N258" s="8">
        <v>-165</v>
      </c>
      <c r="O258" s="8"/>
      <c r="P258" s="8">
        <v>-1387</v>
      </c>
      <c r="Q258" s="23" t="str">
        <f>VLOOKUP(B258,[1]제품리스트!$A$2:$J$1000,10,FALSE)</f>
        <v>12 Pack - Angelus Leather Paint Basics Kit</v>
      </c>
      <c r="R258" s="17">
        <f t="shared" si="15"/>
        <v>-126.09090909090909</v>
      </c>
      <c r="S258" s="19">
        <f t="shared" si="16"/>
        <v>10.507575757575758</v>
      </c>
      <c r="T258" s="21">
        <f t="shared" si="17"/>
        <v>31.522727272727273</v>
      </c>
      <c r="U258" s="19" t="e">
        <f>VLOOKUP(B258,[1]재고수량!$A$13:$D$651,3,FALSE)</f>
        <v>#N/A</v>
      </c>
      <c r="V258" s="21" t="e">
        <f t="shared" si="18"/>
        <v>#N/A</v>
      </c>
      <c r="W258">
        <v>50</v>
      </c>
      <c r="X258">
        <f>VLOOKUP(B258,[1]제품리스트!$A$2:$F$1110,5,FALSE)</f>
        <v>145.19999999999999</v>
      </c>
      <c r="Y258" s="19">
        <f t="shared" si="19"/>
        <v>7259.9999999999991</v>
      </c>
    </row>
    <row r="259" spans="1:25" x14ac:dyDescent="0.3">
      <c r="A259" s="5" t="s">
        <v>284</v>
      </c>
      <c r="B259" s="6">
        <v>72001000</v>
      </c>
      <c r="C259" t="s">
        <v>285</v>
      </c>
      <c r="D259" s="7">
        <v>-193</v>
      </c>
      <c r="E259" s="8">
        <v>-214</v>
      </c>
      <c r="F259" s="8">
        <v>-313</v>
      </c>
      <c r="G259" s="8">
        <v>-256</v>
      </c>
      <c r="H259" s="8">
        <v>-131</v>
      </c>
      <c r="I259" s="8">
        <v>-140</v>
      </c>
      <c r="J259" s="8">
        <v>-250</v>
      </c>
      <c r="K259" s="8">
        <v>-182</v>
      </c>
      <c r="L259" s="8">
        <v>-170</v>
      </c>
      <c r="M259" s="8">
        <v>-159</v>
      </c>
      <c r="N259" s="8">
        <v>-69</v>
      </c>
      <c r="O259" s="8"/>
      <c r="P259" s="8">
        <v>-2077</v>
      </c>
      <c r="Q259" s="23" t="str">
        <f>VLOOKUP(B259,[1]제품리스트!$A$2:$J$1000,10,FALSE)</f>
        <v>2-Thin 1oz</v>
      </c>
      <c r="R259" s="17">
        <f t="shared" si="15"/>
        <v>-188.81818181818181</v>
      </c>
      <c r="S259" s="19">
        <f t="shared" si="16"/>
        <v>15.734848484848484</v>
      </c>
      <c r="T259" s="21">
        <f t="shared" si="17"/>
        <v>47.204545454545453</v>
      </c>
      <c r="U259" s="19" t="e">
        <f>VLOOKUP(B259,[1]재고수량!$A$13:$D$651,3,FALSE)</f>
        <v>#N/A</v>
      </c>
      <c r="V259" s="21" t="e">
        <f t="shared" si="18"/>
        <v>#N/A</v>
      </c>
      <c r="W259">
        <v>40</v>
      </c>
      <c r="X259">
        <f>VLOOKUP(B259,[1]제품리스트!$A$2:$F$1110,5,FALSE)</f>
        <v>16.2</v>
      </c>
      <c r="Y259" s="19">
        <f t="shared" si="19"/>
        <v>648</v>
      </c>
    </row>
    <row r="260" spans="1:25" x14ac:dyDescent="0.3">
      <c r="A260" s="5"/>
      <c r="B260" s="6">
        <v>72004000</v>
      </c>
      <c r="C260" t="s">
        <v>286</v>
      </c>
      <c r="D260" s="7">
        <v>-55</v>
      </c>
      <c r="E260" s="8">
        <v>-77</v>
      </c>
      <c r="F260" s="8">
        <v>-69</v>
      </c>
      <c r="G260" s="8">
        <v>-9</v>
      </c>
      <c r="H260" s="8">
        <v>-56</v>
      </c>
      <c r="I260" s="8">
        <v>-47</v>
      </c>
      <c r="J260" s="8">
        <v>-127</v>
      </c>
      <c r="K260" s="8">
        <v>-43</v>
      </c>
      <c r="L260" s="8">
        <v>-58</v>
      </c>
      <c r="M260" s="8">
        <v>-19</v>
      </c>
      <c r="N260" s="8">
        <v>-22</v>
      </c>
      <c r="O260" s="8"/>
      <c r="P260" s="8">
        <v>-582</v>
      </c>
      <c r="Q260" s="23" t="str">
        <f>VLOOKUP(B260,[1]제품리스트!$A$2:$J$1000,10,FALSE)</f>
        <v>2-Thin 4oz</v>
      </c>
      <c r="R260" s="17">
        <f t="shared" si="15"/>
        <v>-52.909090909090907</v>
      </c>
      <c r="S260" s="19">
        <f t="shared" si="16"/>
        <v>4.4090909090909092</v>
      </c>
      <c r="T260" s="21">
        <f t="shared" si="17"/>
        <v>13.227272727272727</v>
      </c>
      <c r="U260" s="19" t="e">
        <f>VLOOKUP(B260,[1]재고수량!$A$13:$D$651,3,FALSE)</f>
        <v>#N/A</v>
      </c>
      <c r="V260" s="21" t="e">
        <f t="shared" si="18"/>
        <v>#N/A</v>
      </c>
      <c r="W260">
        <v>10</v>
      </c>
      <c r="X260">
        <f>VLOOKUP(B260,[1]제품리스트!$A$2:$F$1110,5,FALSE)</f>
        <v>27</v>
      </c>
      <c r="Y260" s="19">
        <f t="shared" si="19"/>
        <v>270</v>
      </c>
    </row>
    <row r="261" spans="1:25" hidden="1" x14ac:dyDescent="0.3">
      <c r="A261" s="5"/>
      <c r="B261" s="6">
        <v>72201000</v>
      </c>
      <c r="C261" t="s">
        <v>287</v>
      </c>
      <c r="D261" s="7">
        <v>-91</v>
      </c>
      <c r="E261" s="8">
        <v>-100</v>
      </c>
      <c r="F261" s="8">
        <v>-140</v>
      </c>
      <c r="G261" s="8">
        <v>-137</v>
      </c>
      <c r="H261" s="8">
        <v>-95</v>
      </c>
      <c r="I261" s="8">
        <v>-26</v>
      </c>
      <c r="J261" s="8">
        <v>-171</v>
      </c>
      <c r="K261" s="8">
        <v>-79</v>
      </c>
      <c r="L261" s="8">
        <v>-148</v>
      </c>
      <c r="M261" s="8">
        <v>-84</v>
      </c>
      <c r="N261" s="8">
        <v>-48</v>
      </c>
      <c r="O261" s="8"/>
      <c r="P261" s="8">
        <v>-1119</v>
      </c>
      <c r="Q261" s="23" t="str">
        <f>VLOOKUP(B261,[1]제품리스트!$A$2:$J$1000,10,FALSE)</f>
        <v>Duller 1 oz.</v>
      </c>
      <c r="R261" s="17">
        <f t="shared" si="15"/>
        <v>-101.72727272727273</v>
      </c>
      <c r="S261" s="19">
        <f t="shared" si="16"/>
        <v>8.4772727272727284</v>
      </c>
      <c r="T261" s="21">
        <f t="shared" si="17"/>
        <v>25.431818181818187</v>
      </c>
      <c r="U261" s="19" t="e">
        <f>VLOOKUP(B261,[1]재고수량!$A$13:$D$651,3,FALSE)</f>
        <v>#N/A</v>
      </c>
      <c r="V261" s="21" t="e">
        <f t="shared" si="18"/>
        <v>#N/A</v>
      </c>
      <c r="X261">
        <f>VLOOKUP(B261,[1]제품리스트!$A$2:$F$1110,5,FALSE)</f>
        <v>30</v>
      </c>
      <c r="Y261" s="19">
        <f t="shared" si="19"/>
        <v>0</v>
      </c>
    </row>
    <row r="262" spans="1:25" hidden="1" x14ac:dyDescent="0.3">
      <c r="A262" s="5"/>
      <c r="B262" s="6">
        <v>72204000</v>
      </c>
      <c r="C262" t="s">
        <v>288</v>
      </c>
      <c r="D262" s="7">
        <v>-6</v>
      </c>
      <c r="E262" s="8">
        <v>-13</v>
      </c>
      <c r="F262" s="8">
        <v>-23</v>
      </c>
      <c r="G262" s="8">
        <v>-15</v>
      </c>
      <c r="H262" s="8">
        <v>-7</v>
      </c>
      <c r="I262" s="8">
        <v>-10</v>
      </c>
      <c r="J262" s="8">
        <v>-36</v>
      </c>
      <c r="K262" s="8">
        <v>-24</v>
      </c>
      <c r="L262" s="8">
        <v>-7</v>
      </c>
      <c r="M262" s="8">
        <v>-21</v>
      </c>
      <c r="N262" s="8">
        <v>-40</v>
      </c>
      <c r="O262" s="8"/>
      <c r="P262" s="8">
        <v>-202</v>
      </c>
      <c r="Q262" s="23" t="str">
        <f>VLOOKUP(B262,[1]제품리스트!$A$2:$J$1000,10,FALSE)</f>
        <v>Duller 4oz</v>
      </c>
      <c r="R262" s="17">
        <f t="shared" si="15"/>
        <v>-18.363636363636363</v>
      </c>
      <c r="S262" s="19">
        <f t="shared" si="16"/>
        <v>1.5303030303030303</v>
      </c>
      <c r="T262" s="21">
        <f t="shared" si="17"/>
        <v>4.5909090909090908</v>
      </c>
      <c r="U262" s="19" t="e">
        <f>VLOOKUP(B262,[1]재고수량!$A$13:$D$651,3,FALSE)</f>
        <v>#N/A</v>
      </c>
      <c r="V262" s="21" t="e">
        <f t="shared" si="18"/>
        <v>#N/A</v>
      </c>
      <c r="X262">
        <f>VLOOKUP(B262,[1]제품리스트!$A$2:$F$1110,5,FALSE)</f>
        <v>54</v>
      </c>
      <c r="Y262" s="19">
        <f t="shared" si="19"/>
        <v>0</v>
      </c>
    </row>
    <row r="263" spans="1:25" hidden="1" x14ac:dyDescent="0.3">
      <c r="A263" s="5"/>
      <c r="B263" s="6" t="s">
        <v>289</v>
      </c>
      <c r="C263" t="s">
        <v>290</v>
      </c>
      <c r="D263" s="7"/>
      <c r="E263" s="8"/>
      <c r="F263" s="8"/>
      <c r="G263" s="8"/>
      <c r="H263" s="8">
        <v>-10</v>
      </c>
      <c r="I263" s="8"/>
      <c r="J263" s="8"/>
      <c r="K263" s="8"/>
      <c r="L263" s="8"/>
      <c r="M263" s="8"/>
      <c r="N263" s="8"/>
      <c r="O263" s="8"/>
      <c r="P263" s="8">
        <v>-10</v>
      </c>
      <c r="Q263" s="23" t="str">
        <f>VLOOKUP(B263,[1]제품리스트!$A$2:$J$1000,10,FALSE)</f>
        <v>2-Thin Pint</v>
      </c>
      <c r="R263" s="17">
        <f t="shared" si="15"/>
        <v>-0.90909090909090906</v>
      </c>
      <c r="S263" s="19">
        <f t="shared" si="16"/>
        <v>7.575757575757576E-2</v>
      </c>
      <c r="T263" s="21">
        <f t="shared" si="17"/>
        <v>0.22727272727272729</v>
      </c>
      <c r="U263" s="19" t="e">
        <f>VLOOKUP(B263,[1]재고수량!$A$13:$D$651,3,FALSE)</f>
        <v>#N/A</v>
      </c>
      <c r="V263" s="21" t="e">
        <f t="shared" si="18"/>
        <v>#N/A</v>
      </c>
      <c r="X263">
        <f>VLOOKUP(B263,[1]제품리스트!$A$2:$F$1110,5,FALSE)</f>
        <v>8.1999999999999993</v>
      </c>
      <c r="Y263" s="19">
        <f t="shared" si="19"/>
        <v>0</v>
      </c>
    </row>
    <row r="264" spans="1:25" hidden="1" x14ac:dyDescent="0.3">
      <c r="A264" s="5"/>
      <c r="B264" s="6" t="s">
        <v>291</v>
      </c>
      <c r="C264" t="s">
        <v>292</v>
      </c>
      <c r="D264" s="7">
        <v>-43</v>
      </c>
      <c r="E264" s="8">
        <v>-62</v>
      </c>
      <c r="F264" s="8">
        <v>-58</v>
      </c>
      <c r="G264" s="8">
        <v>-64</v>
      </c>
      <c r="H264" s="8">
        <v>-85</v>
      </c>
      <c r="I264" s="8">
        <v>-35</v>
      </c>
      <c r="J264" s="8">
        <v>-71</v>
      </c>
      <c r="K264" s="8">
        <v>-83</v>
      </c>
      <c r="L264" s="8">
        <v>-58</v>
      </c>
      <c r="M264" s="8">
        <v>-37</v>
      </c>
      <c r="N264" s="8">
        <v>-53</v>
      </c>
      <c r="O264" s="8"/>
      <c r="P264" s="8">
        <v>-649</v>
      </c>
      <c r="Q264" s="23" t="str">
        <f>VLOOKUP(B264,[1]제품리스트!$A$2:$J$1000,10,FALSE)</f>
        <v>2-Hard Film Hardener 1 oz.</v>
      </c>
      <c r="R264" s="17">
        <f t="shared" ref="R264:R327" si="20">P264/11</f>
        <v>-59</v>
      </c>
      <c r="S264" s="19">
        <f t="shared" ref="S264:S327" si="21">R264/-12</f>
        <v>4.916666666666667</v>
      </c>
      <c r="T264" s="21">
        <f t="shared" ref="T264:T327" si="22">S264*3</f>
        <v>14.75</v>
      </c>
      <c r="U264" s="19" t="e">
        <f>VLOOKUP(B264,[1]재고수량!$A$13:$D$651,3,FALSE)</f>
        <v>#N/A</v>
      </c>
      <c r="V264" s="21" t="e">
        <f t="shared" ref="V264:V327" si="23">U264/12</f>
        <v>#N/A</v>
      </c>
      <c r="X264">
        <f>VLOOKUP(B264,[1]제품리스트!$A$2:$F$1110,5,FALSE)</f>
        <v>20.399999999999999</v>
      </c>
      <c r="Y264" s="19">
        <f t="shared" ref="Y264:Y327" si="24">W264*X264</f>
        <v>0</v>
      </c>
    </row>
    <row r="265" spans="1:25" hidden="1" x14ac:dyDescent="0.3">
      <c r="A265" s="5"/>
      <c r="B265" s="6" t="s">
        <v>293</v>
      </c>
      <c r="C265" t="s">
        <v>294</v>
      </c>
      <c r="D265" s="7">
        <v>-38</v>
      </c>
      <c r="E265" s="8">
        <v>-48</v>
      </c>
      <c r="F265" s="8">
        <v>-83</v>
      </c>
      <c r="G265" s="8">
        <v>-58</v>
      </c>
      <c r="H265" s="8">
        <v>-99</v>
      </c>
      <c r="I265" s="8">
        <v>-19</v>
      </c>
      <c r="J265" s="8">
        <v>-174</v>
      </c>
      <c r="K265" s="8">
        <v>-57</v>
      </c>
      <c r="L265" s="8">
        <v>-52</v>
      </c>
      <c r="M265" s="8">
        <v>-63</v>
      </c>
      <c r="N265" s="8">
        <v>-68</v>
      </c>
      <c r="O265" s="8"/>
      <c r="P265" s="8">
        <v>-759</v>
      </c>
      <c r="Q265" s="23" t="str">
        <f>VLOOKUP(B265,[1]제품리스트!$A$2:$J$1000,10,FALSE)</f>
        <v>2-Soft Fabric Medium 1 oz.</v>
      </c>
      <c r="R265" s="17">
        <f t="shared" si="20"/>
        <v>-69</v>
      </c>
      <c r="S265" s="19">
        <f t="shared" si="21"/>
        <v>5.75</v>
      </c>
      <c r="T265" s="21">
        <f t="shared" si="22"/>
        <v>17.25</v>
      </c>
      <c r="U265" s="19" t="e">
        <f>VLOOKUP(B265,[1]재고수량!$A$13:$D$651,3,FALSE)</f>
        <v>#N/A</v>
      </c>
      <c r="V265" s="21" t="e">
        <f t="shared" si="23"/>
        <v>#N/A</v>
      </c>
      <c r="X265">
        <f>VLOOKUP(B265,[1]제품리스트!$A$2:$F$1110,5,FALSE)</f>
        <v>20.399999999999999</v>
      </c>
      <c r="Y265" s="19">
        <f t="shared" si="24"/>
        <v>0</v>
      </c>
    </row>
    <row r="266" spans="1:25" hidden="1" x14ac:dyDescent="0.3">
      <c r="A266" s="5"/>
      <c r="B266" s="6" t="s">
        <v>295</v>
      </c>
      <c r="C266" t="s">
        <v>296</v>
      </c>
      <c r="D266" s="7">
        <v>-1</v>
      </c>
      <c r="E266" s="8">
        <v>-7</v>
      </c>
      <c r="F266" s="8">
        <v>-5</v>
      </c>
      <c r="G266" s="8">
        <v>-4</v>
      </c>
      <c r="H266" s="8">
        <v>-5</v>
      </c>
      <c r="I266" s="8">
        <v>-6</v>
      </c>
      <c r="J266" s="8">
        <v>-8</v>
      </c>
      <c r="K266" s="8">
        <v>-24</v>
      </c>
      <c r="L266" s="8">
        <v>-11</v>
      </c>
      <c r="M266" s="8">
        <v>-23</v>
      </c>
      <c r="N266" s="8">
        <v>-21</v>
      </c>
      <c r="O266" s="8"/>
      <c r="P266" s="8">
        <v>-115</v>
      </c>
      <c r="Q266" s="23" t="str">
        <f>VLOOKUP(B266,[1]제품리스트!$A$2:$J$1000,10,FALSE)</f>
        <v>2-Hard Film Hardener 4 oz.</v>
      </c>
      <c r="R266" s="17">
        <f t="shared" si="20"/>
        <v>-10.454545454545455</v>
      </c>
      <c r="S266" s="19">
        <f t="shared" si="21"/>
        <v>0.87121212121212122</v>
      </c>
      <c r="T266" s="21">
        <f t="shared" si="22"/>
        <v>2.6136363636363638</v>
      </c>
      <c r="U266" s="19" t="e">
        <f>VLOOKUP(B266,[1]재고수량!$A$13:$D$651,3,FALSE)</f>
        <v>#N/A</v>
      </c>
      <c r="V266" s="21" t="e">
        <f t="shared" si="23"/>
        <v>#N/A</v>
      </c>
      <c r="X266">
        <f>VLOOKUP(B266,[1]제품리스트!$A$2:$F$1110,5,FALSE)</f>
        <v>40.799999999999997</v>
      </c>
      <c r="Y266" s="19">
        <f t="shared" si="24"/>
        <v>0</v>
      </c>
    </row>
    <row r="267" spans="1:25" hidden="1" x14ac:dyDescent="0.3">
      <c r="A267" s="9"/>
      <c r="B267" s="6" t="s">
        <v>297</v>
      </c>
      <c r="C267" t="s">
        <v>298</v>
      </c>
      <c r="D267" s="7">
        <v>-8</v>
      </c>
      <c r="E267" s="8">
        <v>-8</v>
      </c>
      <c r="F267" s="8">
        <v>-9</v>
      </c>
      <c r="G267" s="8">
        <v>-13</v>
      </c>
      <c r="H267" s="8">
        <v>-1</v>
      </c>
      <c r="I267" s="8">
        <v>-5</v>
      </c>
      <c r="J267" s="8">
        <v>-33</v>
      </c>
      <c r="K267" s="8">
        <v>-22</v>
      </c>
      <c r="L267" s="8">
        <v>-12</v>
      </c>
      <c r="M267" s="8">
        <v>-5</v>
      </c>
      <c r="N267" s="8">
        <v>-12</v>
      </c>
      <c r="O267" s="8"/>
      <c r="P267" s="8">
        <v>-128</v>
      </c>
      <c r="Q267" s="23" t="str">
        <f>VLOOKUP(B267,[1]제품리스트!$A$2:$J$1000,10,FALSE)</f>
        <v>2-Soft Fabric Medium 4 oz.</v>
      </c>
      <c r="R267" s="17">
        <f t="shared" si="20"/>
        <v>-11.636363636363637</v>
      </c>
      <c r="S267" s="19">
        <f t="shared" si="21"/>
        <v>0.96969696969696972</v>
      </c>
      <c r="T267" s="21">
        <f t="shared" si="22"/>
        <v>2.9090909090909092</v>
      </c>
      <c r="U267" s="19" t="e">
        <f>VLOOKUP(B267,[1]재고수량!$A$13:$D$651,3,FALSE)</f>
        <v>#N/A</v>
      </c>
      <c r="V267" s="21" t="e">
        <f t="shared" si="23"/>
        <v>#N/A</v>
      </c>
      <c r="X267">
        <f>VLOOKUP(B267,[1]제품리스트!$A$2:$F$1110,5,FALSE)</f>
        <v>40.799999999999997</v>
      </c>
      <c r="Y267" s="19">
        <f t="shared" si="24"/>
        <v>0</v>
      </c>
    </row>
    <row r="268" spans="1:25" x14ac:dyDescent="0.3">
      <c r="A268" s="5" t="s">
        <v>299</v>
      </c>
      <c r="B268" s="6">
        <v>50003002</v>
      </c>
      <c r="C268" t="s">
        <v>300</v>
      </c>
      <c r="D268" s="7">
        <v>0</v>
      </c>
      <c r="E268" s="8">
        <v>0</v>
      </c>
      <c r="F268" s="8">
        <v>-150</v>
      </c>
      <c r="G268" s="8">
        <v>-61</v>
      </c>
      <c r="H268" s="8">
        <v>-91</v>
      </c>
      <c r="I268" s="8">
        <v>-45</v>
      </c>
      <c r="J268" s="8">
        <v>-28</v>
      </c>
      <c r="K268" s="8">
        <v>-59</v>
      </c>
      <c r="L268" s="8">
        <v>-32</v>
      </c>
      <c r="M268" s="8">
        <v>-68</v>
      </c>
      <c r="N268" s="8">
        <v>-56</v>
      </c>
      <c r="O268" s="8"/>
      <c r="P268" s="8">
        <v>-590</v>
      </c>
      <c r="Q268" s="23" t="str">
        <f>VLOOKUP(B268,[1]제품리스트!$A$2:$J$1000,10,FALSE)</f>
        <v>Leather Dye-#002-Jet Black</v>
      </c>
      <c r="R268" s="17">
        <f t="shared" si="20"/>
        <v>-53.636363636363633</v>
      </c>
      <c r="S268" s="19">
        <f t="shared" si="21"/>
        <v>4.4696969696969697</v>
      </c>
      <c r="T268" s="21">
        <f t="shared" si="22"/>
        <v>13.40909090909091</v>
      </c>
      <c r="U268" s="19" t="e">
        <f>VLOOKUP(B268,[1]재고수량!$A$13:$D$651,3,FALSE)</f>
        <v>#N/A</v>
      </c>
      <c r="V268" s="21" t="e">
        <f t="shared" si="23"/>
        <v>#N/A</v>
      </c>
      <c r="W268">
        <v>20</v>
      </c>
      <c r="X268">
        <f>VLOOKUP(B268,[1]제품리스트!$A$2:$F$1110,5,FALSE)</f>
        <v>21</v>
      </c>
      <c r="Y268" s="19">
        <f t="shared" si="24"/>
        <v>420</v>
      </c>
    </row>
    <row r="269" spans="1:25" x14ac:dyDescent="0.3">
      <c r="A269" s="5"/>
      <c r="B269" s="6">
        <v>50003003</v>
      </c>
      <c r="C269" t="s">
        <v>301</v>
      </c>
      <c r="D269" s="7">
        <v>0</v>
      </c>
      <c r="E269" s="8">
        <v>0</v>
      </c>
      <c r="F269" s="8">
        <v>-23</v>
      </c>
      <c r="G269" s="8">
        <v>-9</v>
      </c>
      <c r="H269" s="8">
        <v>-7</v>
      </c>
      <c r="I269" s="8">
        <v>-6</v>
      </c>
      <c r="J269" s="8">
        <v>-9</v>
      </c>
      <c r="K269" s="8">
        <v>-1</v>
      </c>
      <c r="L269" s="8">
        <v>0</v>
      </c>
      <c r="M269" s="8">
        <v>0</v>
      </c>
      <c r="N269" s="8">
        <v>-20</v>
      </c>
      <c r="O269" s="8"/>
      <c r="P269" s="8">
        <v>-75</v>
      </c>
      <c r="Q269" s="23" t="str">
        <f>VLOOKUP(B269,[1]제품리스트!$A$2:$J$1000,10,FALSE)</f>
        <v>Leather Dye-#003-Neutral</v>
      </c>
      <c r="R269" s="17">
        <f t="shared" si="20"/>
        <v>-6.8181818181818183</v>
      </c>
      <c r="S269" s="19">
        <f t="shared" si="21"/>
        <v>0.56818181818181823</v>
      </c>
      <c r="T269" s="21">
        <f t="shared" si="22"/>
        <v>1.7045454545454546</v>
      </c>
      <c r="U269" s="19" t="e">
        <f>VLOOKUP(B269,[1]재고수량!$A$13:$D$651,3,FALSE)</f>
        <v>#N/A</v>
      </c>
      <c r="V269" s="21" t="e">
        <f t="shared" si="23"/>
        <v>#N/A</v>
      </c>
      <c r="W269">
        <v>6</v>
      </c>
      <c r="X269">
        <f>VLOOKUP(B269,[1]제품리스트!$A$2:$F$1110,5,FALSE)</f>
        <v>21</v>
      </c>
      <c r="Y269" s="19">
        <f t="shared" si="24"/>
        <v>126</v>
      </c>
    </row>
    <row r="270" spans="1:25" hidden="1" x14ac:dyDescent="0.3">
      <c r="A270" s="5"/>
      <c r="B270" s="6">
        <v>50003010</v>
      </c>
      <c r="C270" t="s">
        <v>302</v>
      </c>
      <c r="D270" s="7">
        <v>-4</v>
      </c>
      <c r="E270" s="8">
        <v>-1</v>
      </c>
      <c r="F270" s="8">
        <v>-15</v>
      </c>
      <c r="G270" s="8">
        <v>-5</v>
      </c>
      <c r="H270" s="8"/>
      <c r="I270" s="8">
        <v>-6</v>
      </c>
      <c r="J270" s="8">
        <v>-3</v>
      </c>
      <c r="K270" s="8">
        <v>0</v>
      </c>
      <c r="L270" s="8">
        <v>0</v>
      </c>
      <c r="M270" s="8">
        <v>-5</v>
      </c>
      <c r="N270" s="8">
        <v>-5</v>
      </c>
      <c r="O270" s="8"/>
      <c r="P270" s="8">
        <v>-44</v>
      </c>
      <c r="Q270" s="23" t="str">
        <f>VLOOKUP(B270,[1]제품리스트!$A$2:$J$1000,10,FALSE)</f>
        <v>Leather Dye-#010-ArmyTan</v>
      </c>
      <c r="R270" s="17">
        <f t="shared" si="20"/>
        <v>-4</v>
      </c>
      <c r="S270" s="19">
        <f t="shared" si="21"/>
        <v>0.33333333333333331</v>
      </c>
      <c r="T270" s="21">
        <f t="shared" si="22"/>
        <v>1</v>
      </c>
      <c r="U270" s="19" t="e">
        <f>VLOOKUP(B270,[1]재고수량!$A$13:$D$651,3,FALSE)</f>
        <v>#N/A</v>
      </c>
      <c r="V270" s="21" t="e">
        <f t="shared" si="23"/>
        <v>#N/A</v>
      </c>
      <c r="X270">
        <f>VLOOKUP(B270,[1]제품리스트!$A$2:$F$1110,5,FALSE)</f>
        <v>21</v>
      </c>
      <c r="Y270" s="19">
        <f t="shared" si="24"/>
        <v>0</v>
      </c>
    </row>
    <row r="271" spans="1:25" hidden="1" x14ac:dyDescent="0.3">
      <c r="A271" s="5"/>
      <c r="B271" s="6">
        <v>50003011</v>
      </c>
      <c r="C271" t="s">
        <v>303</v>
      </c>
      <c r="D271" s="7"/>
      <c r="E271" s="8">
        <v>0</v>
      </c>
      <c r="F271" s="8">
        <v>-15</v>
      </c>
      <c r="G271" s="8">
        <v>0</v>
      </c>
      <c r="H271" s="8">
        <v>0</v>
      </c>
      <c r="I271" s="8">
        <v>0</v>
      </c>
      <c r="J271" s="8">
        <v>0</v>
      </c>
      <c r="K271" s="8">
        <v>-11</v>
      </c>
      <c r="L271" s="8">
        <v>0</v>
      </c>
      <c r="M271" s="8">
        <v>-21</v>
      </c>
      <c r="N271" s="8">
        <v>-2</v>
      </c>
      <c r="O271" s="8"/>
      <c r="P271" s="8">
        <v>-49</v>
      </c>
      <c r="Q271" s="23" t="str">
        <f>VLOOKUP(B271,[1]제품리스트!$A$2:$J$1000,10,FALSE)</f>
        <v>Leather Dye-#011-Mahogany</v>
      </c>
      <c r="R271" s="17">
        <f t="shared" si="20"/>
        <v>-4.4545454545454541</v>
      </c>
      <c r="S271" s="19">
        <f t="shared" si="21"/>
        <v>0.37121212121212116</v>
      </c>
      <c r="T271" s="21">
        <f t="shared" si="22"/>
        <v>1.1136363636363635</v>
      </c>
      <c r="U271" s="19" t="e">
        <f>VLOOKUP(B271,[1]재고수량!$A$13:$D$651,3,FALSE)</f>
        <v>#N/A</v>
      </c>
      <c r="V271" s="21" t="e">
        <f t="shared" si="23"/>
        <v>#N/A</v>
      </c>
      <c r="X271">
        <f>VLOOKUP(B271,[1]제품리스트!$A$2:$F$1110,5,FALSE)</f>
        <v>21</v>
      </c>
      <c r="Y271" s="19">
        <f t="shared" si="24"/>
        <v>0</v>
      </c>
    </row>
    <row r="272" spans="1:25" hidden="1" x14ac:dyDescent="0.3">
      <c r="A272" s="5"/>
      <c r="B272" s="6">
        <v>50003014</v>
      </c>
      <c r="C272" t="s">
        <v>304</v>
      </c>
      <c r="D272" s="7">
        <v>-6</v>
      </c>
      <c r="E272" s="8">
        <v>-5</v>
      </c>
      <c r="F272" s="8">
        <v>-30</v>
      </c>
      <c r="G272" s="8">
        <v>-10</v>
      </c>
      <c r="H272" s="8">
        <v>-16</v>
      </c>
      <c r="I272" s="8">
        <v>-3</v>
      </c>
      <c r="J272" s="8">
        <v>-8</v>
      </c>
      <c r="K272" s="8">
        <v>-10</v>
      </c>
      <c r="L272" s="8">
        <v>-1</v>
      </c>
      <c r="M272" s="8">
        <v>-17</v>
      </c>
      <c r="N272" s="8">
        <v>-14</v>
      </c>
      <c r="O272" s="8"/>
      <c r="P272" s="8">
        <v>-120</v>
      </c>
      <c r="Q272" s="23" t="str">
        <f>VLOOKUP(B272,[1]제품리스트!$A$2:$J$1000,10,FALSE)</f>
        <v>Leather Dye-#014-Brown</v>
      </c>
      <c r="R272" s="17">
        <f t="shared" si="20"/>
        <v>-10.909090909090908</v>
      </c>
      <c r="S272" s="19">
        <f t="shared" si="21"/>
        <v>0.90909090909090906</v>
      </c>
      <c r="T272" s="21">
        <f t="shared" si="22"/>
        <v>2.7272727272727271</v>
      </c>
      <c r="U272" s="19" t="e">
        <f>VLOOKUP(B272,[1]재고수량!$A$13:$D$651,3,FALSE)</f>
        <v>#N/A</v>
      </c>
      <c r="V272" s="21" t="e">
        <f t="shared" si="23"/>
        <v>#N/A</v>
      </c>
      <c r="X272">
        <f>VLOOKUP(B272,[1]제품리스트!$A$2:$F$1110,5,FALSE)</f>
        <v>21</v>
      </c>
      <c r="Y272" s="19">
        <f t="shared" si="24"/>
        <v>0</v>
      </c>
    </row>
    <row r="273" spans="1:25" x14ac:dyDescent="0.3">
      <c r="A273" s="5"/>
      <c r="B273" s="6">
        <v>50003015</v>
      </c>
      <c r="C273" t="s">
        <v>305</v>
      </c>
      <c r="D273" s="7">
        <v>-6</v>
      </c>
      <c r="E273" s="8">
        <v>-7</v>
      </c>
      <c r="F273" s="8">
        <v>-17</v>
      </c>
      <c r="G273" s="8">
        <v>-12</v>
      </c>
      <c r="H273" s="8">
        <v>-7</v>
      </c>
      <c r="I273" s="8">
        <v>0</v>
      </c>
      <c r="J273" s="8">
        <v>0</v>
      </c>
      <c r="K273" s="8">
        <v>-22</v>
      </c>
      <c r="L273" s="8">
        <v>-6</v>
      </c>
      <c r="M273" s="8">
        <v>-6</v>
      </c>
      <c r="N273" s="8">
        <v>-32</v>
      </c>
      <c r="O273" s="8"/>
      <c r="P273" s="8">
        <v>-115</v>
      </c>
      <c r="Q273" s="23" t="str">
        <f>VLOOKUP(B273,[1]제품리스트!$A$2:$J$1000,10,FALSE)</f>
        <v>Leather Dye-#015-Chocolate</v>
      </c>
      <c r="R273" s="17">
        <f t="shared" si="20"/>
        <v>-10.454545454545455</v>
      </c>
      <c r="S273" s="19">
        <f t="shared" si="21"/>
        <v>0.87121212121212122</v>
      </c>
      <c r="T273" s="21">
        <f t="shared" si="22"/>
        <v>2.6136363636363638</v>
      </c>
      <c r="U273" s="19" t="e">
        <f>VLOOKUP(B273,[1]재고수량!$A$13:$D$651,3,FALSE)</f>
        <v>#N/A</v>
      </c>
      <c r="V273" s="21" t="e">
        <f t="shared" si="23"/>
        <v>#N/A</v>
      </c>
      <c r="W273">
        <v>6</v>
      </c>
      <c r="X273">
        <f>VLOOKUP(B273,[1]제품리스트!$A$2:$F$1110,5,FALSE)</f>
        <v>21</v>
      </c>
      <c r="Y273" s="19">
        <f t="shared" si="24"/>
        <v>126</v>
      </c>
    </row>
    <row r="274" spans="1:25" hidden="1" x14ac:dyDescent="0.3">
      <c r="A274" s="5"/>
      <c r="B274" s="6">
        <v>50003017</v>
      </c>
      <c r="C274" t="s">
        <v>306</v>
      </c>
      <c r="D274" s="7"/>
      <c r="E274" s="8">
        <v>-4</v>
      </c>
      <c r="F274" s="8">
        <v>-2</v>
      </c>
      <c r="G274" s="8">
        <v>-2</v>
      </c>
      <c r="H274" s="8"/>
      <c r="I274" s="8">
        <v>-8</v>
      </c>
      <c r="J274" s="8">
        <v>-15</v>
      </c>
      <c r="K274" s="8">
        <v>-2</v>
      </c>
      <c r="L274" s="8">
        <v>-4</v>
      </c>
      <c r="M274" s="8">
        <v>-5</v>
      </c>
      <c r="N274" s="8">
        <v>-1</v>
      </c>
      <c r="O274" s="8"/>
      <c r="P274" s="8">
        <v>-43</v>
      </c>
      <c r="Q274" s="23" t="str">
        <f>VLOOKUP(B274,[1]제품리스트!$A$2:$J$1000,10,FALSE)</f>
        <v>Leather Dye-#017-Cordovan</v>
      </c>
      <c r="R274" s="17">
        <f t="shared" si="20"/>
        <v>-3.9090909090909092</v>
      </c>
      <c r="S274" s="19">
        <f t="shared" si="21"/>
        <v>0.32575757575757575</v>
      </c>
      <c r="T274" s="21">
        <f t="shared" si="22"/>
        <v>0.97727272727272729</v>
      </c>
      <c r="U274" s="19" t="e">
        <f>VLOOKUP(B274,[1]재고수량!$A$13:$D$651,3,FALSE)</f>
        <v>#N/A</v>
      </c>
      <c r="V274" s="21" t="e">
        <f t="shared" si="23"/>
        <v>#N/A</v>
      </c>
      <c r="X274">
        <f>VLOOKUP(B274,[1]제품리스트!$A$2:$F$1110,5,FALSE)</f>
        <v>21</v>
      </c>
      <c r="Y274" s="19">
        <f t="shared" si="24"/>
        <v>0</v>
      </c>
    </row>
    <row r="275" spans="1:25" x14ac:dyDescent="0.3">
      <c r="A275" s="5"/>
      <c r="B275" s="6">
        <v>50003018</v>
      </c>
      <c r="C275" t="s">
        <v>307</v>
      </c>
      <c r="D275" s="7">
        <v>0</v>
      </c>
      <c r="E275" s="8">
        <v>0</v>
      </c>
      <c r="F275" s="8">
        <v>-81</v>
      </c>
      <c r="G275" s="8">
        <v>-20</v>
      </c>
      <c r="H275" s="8">
        <v>-25</v>
      </c>
      <c r="I275" s="8">
        <v>0</v>
      </c>
      <c r="J275" s="8">
        <v>-23</v>
      </c>
      <c r="K275" s="8">
        <v>-27</v>
      </c>
      <c r="L275" s="8">
        <v>0</v>
      </c>
      <c r="M275" s="8">
        <v>0</v>
      </c>
      <c r="N275" s="8">
        <v>-63</v>
      </c>
      <c r="O275" s="8"/>
      <c r="P275" s="8">
        <v>-239</v>
      </c>
      <c r="Q275" s="23" t="str">
        <f>VLOOKUP(B275,[1]제품리스트!$A$2:$J$1000,10,FALSE)</f>
        <v>Leather Dye-#018-DarkBrown</v>
      </c>
      <c r="R275" s="17">
        <f t="shared" si="20"/>
        <v>-21.727272727272727</v>
      </c>
      <c r="S275" s="19">
        <f t="shared" si="21"/>
        <v>1.8106060606060606</v>
      </c>
      <c r="T275" s="21">
        <f t="shared" si="22"/>
        <v>5.4318181818181817</v>
      </c>
      <c r="U275" s="19" t="e">
        <f>VLOOKUP(B275,[1]재고수량!$A$13:$D$651,3,FALSE)</f>
        <v>#N/A</v>
      </c>
      <c r="V275" s="21" t="e">
        <f t="shared" si="23"/>
        <v>#N/A</v>
      </c>
      <c r="W275">
        <v>9</v>
      </c>
      <c r="X275">
        <f>VLOOKUP(B275,[1]제품리스트!$A$2:$F$1110,5,FALSE)</f>
        <v>21</v>
      </c>
      <c r="Y275" s="19">
        <f t="shared" si="24"/>
        <v>189</v>
      </c>
    </row>
    <row r="276" spans="1:25" hidden="1" x14ac:dyDescent="0.3">
      <c r="A276" s="5"/>
      <c r="B276" s="6">
        <v>50003019</v>
      </c>
      <c r="C276" t="s">
        <v>308</v>
      </c>
      <c r="D276" s="7">
        <v>-3</v>
      </c>
      <c r="E276" s="8"/>
      <c r="F276" s="8">
        <v>-6</v>
      </c>
      <c r="G276" s="8">
        <v>-4</v>
      </c>
      <c r="H276" s="8"/>
      <c r="I276" s="8">
        <v>-2</v>
      </c>
      <c r="J276" s="8">
        <v>-4</v>
      </c>
      <c r="K276" s="8">
        <v>-7</v>
      </c>
      <c r="L276" s="8">
        <v>0</v>
      </c>
      <c r="M276" s="8">
        <v>0</v>
      </c>
      <c r="N276" s="8">
        <v>-10</v>
      </c>
      <c r="O276" s="8"/>
      <c r="P276" s="8">
        <v>-36</v>
      </c>
      <c r="Q276" s="23" t="str">
        <f>VLOOKUP(B276,[1]제품리스트!$A$2:$J$1000,10,FALSE)</f>
        <v>Leather Dye-#019-EnglishTan</v>
      </c>
      <c r="R276" s="17">
        <f t="shared" si="20"/>
        <v>-3.2727272727272729</v>
      </c>
      <c r="S276" s="19">
        <f t="shared" si="21"/>
        <v>0.27272727272727276</v>
      </c>
      <c r="T276" s="21">
        <f t="shared" si="22"/>
        <v>0.81818181818181834</v>
      </c>
      <c r="U276" s="19" t="e">
        <f>VLOOKUP(B276,[1]재고수량!$A$13:$D$651,3,FALSE)</f>
        <v>#N/A</v>
      </c>
      <c r="V276" s="21" t="e">
        <f t="shared" si="23"/>
        <v>#N/A</v>
      </c>
      <c r="X276">
        <f>VLOOKUP(B276,[1]제품리스트!$A$2:$F$1110,5,FALSE)</f>
        <v>21</v>
      </c>
      <c r="Y276" s="19">
        <f t="shared" si="24"/>
        <v>0</v>
      </c>
    </row>
    <row r="277" spans="1:25" hidden="1" x14ac:dyDescent="0.3">
      <c r="A277" s="5"/>
      <c r="B277" s="6">
        <v>50003021</v>
      </c>
      <c r="C277" t="s">
        <v>309</v>
      </c>
      <c r="D277" s="7">
        <v>-8</v>
      </c>
      <c r="E277" s="8">
        <v>-5</v>
      </c>
      <c r="F277" s="8">
        <v>-9</v>
      </c>
      <c r="G277" s="8">
        <v>-14</v>
      </c>
      <c r="H277" s="8">
        <v>-12</v>
      </c>
      <c r="I277" s="8">
        <v>0</v>
      </c>
      <c r="J277" s="8">
        <v>0</v>
      </c>
      <c r="K277" s="8">
        <v>-19</v>
      </c>
      <c r="L277" s="8">
        <v>-10</v>
      </c>
      <c r="M277" s="8">
        <v>-1</v>
      </c>
      <c r="N277" s="8">
        <v>-13</v>
      </c>
      <c r="O277" s="8"/>
      <c r="P277" s="8">
        <v>-91</v>
      </c>
      <c r="Q277" s="23" t="str">
        <f>VLOOKUP(B277,[1]제품리스트!$A$2:$J$1000,10,FALSE)</f>
        <v>Leather Dye-#021-LightBrown</v>
      </c>
      <c r="R277" s="17">
        <f t="shared" si="20"/>
        <v>-8.2727272727272734</v>
      </c>
      <c r="S277" s="19">
        <f t="shared" si="21"/>
        <v>0.68939393939393945</v>
      </c>
      <c r="T277" s="21">
        <f t="shared" si="22"/>
        <v>2.0681818181818183</v>
      </c>
      <c r="U277" s="19" t="e">
        <f>VLOOKUP(B277,[1]재고수량!$A$13:$D$651,3,FALSE)</f>
        <v>#N/A</v>
      </c>
      <c r="V277" s="21" t="e">
        <f t="shared" si="23"/>
        <v>#N/A</v>
      </c>
      <c r="X277">
        <f>VLOOKUP(B277,[1]제품리스트!$A$2:$F$1110,5,FALSE)</f>
        <v>21</v>
      </c>
      <c r="Y277" s="19">
        <f t="shared" si="24"/>
        <v>0</v>
      </c>
    </row>
    <row r="278" spans="1:25" hidden="1" x14ac:dyDescent="0.3">
      <c r="A278" s="5"/>
      <c r="B278" s="6">
        <v>50003022</v>
      </c>
      <c r="C278" t="s">
        <v>310</v>
      </c>
      <c r="D278" s="7">
        <v>0</v>
      </c>
      <c r="E278" s="8">
        <v>-4</v>
      </c>
      <c r="F278" s="8">
        <v>-25</v>
      </c>
      <c r="G278" s="8">
        <v>-1</v>
      </c>
      <c r="H278" s="8">
        <v>0</v>
      </c>
      <c r="I278" s="8"/>
      <c r="J278" s="8">
        <v>0</v>
      </c>
      <c r="K278" s="8">
        <v>-12</v>
      </c>
      <c r="L278" s="8">
        <v>0</v>
      </c>
      <c r="M278" s="8">
        <v>-4</v>
      </c>
      <c r="N278" s="8">
        <v>-4</v>
      </c>
      <c r="O278" s="8"/>
      <c r="P278" s="8">
        <v>-50</v>
      </c>
      <c r="Q278" s="23" t="str">
        <f>VLOOKUP(B278,[1]제품리스트!$A$2:$J$1000,10,FALSE)</f>
        <v>Leather Dye-#022-LightBrown A</v>
      </c>
      <c r="R278" s="17">
        <f t="shared" si="20"/>
        <v>-4.5454545454545459</v>
      </c>
      <c r="S278" s="19">
        <f t="shared" si="21"/>
        <v>0.37878787878787884</v>
      </c>
      <c r="T278" s="21">
        <f t="shared" si="22"/>
        <v>1.1363636363636365</v>
      </c>
      <c r="U278" s="19" t="e">
        <f>VLOOKUP(B278,[1]재고수량!$A$13:$D$651,3,FALSE)</f>
        <v>#N/A</v>
      </c>
      <c r="V278" s="21" t="e">
        <f t="shared" si="23"/>
        <v>#N/A</v>
      </c>
      <c r="X278">
        <f>VLOOKUP(B278,[1]제품리스트!$A$2:$F$1110,5,FALSE)</f>
        <v>21</v>
      </c>
      <c r="Y278" s="19">
        <f t="shared" si="24"/>
        <v>0</v>
      </c>
    </row>
    <row r="279" spans="1:25" hidden="1" x14ac:dyDescent="0.3">
      <c r="A279" s="5"/>
      <c r="B279" s="6">
        <v>50003023</v>
      </c>
      <c r="C279" t="s">
        <v>311</v>
      </c>
      <c r="D279" s="7">
        <v>-1</v>
      </c>
      <c r="E279" s="8">
        <v>0</v>
      </c>
      <c r="F279" s="8">
        <v>-28</v>
      </c>
      <c r="G279" s="8">
        <v>0</v>
      </c>
      <c r="H279" s="8">
        <v>-7</v>
      </c>
      <c r="I279" s="8">
        <v>-2</v>
      </c>
      <c r="J279" s="8">
        <v>0</v>
      </c>
      <c r="K279" s="8">
        <v>-21</v>
      </c>
      <c r="L279" s="8">
        <v>-5</v>
      </c>
      <c r="M279" s="8">
        <v>-3</v>
      </c>
      <c r="N279" s="8">
        <v>-2</v>
      </c>
      <c r="O279" s="8"/>
      <c r="P279" s="8">
        <v>-69</v>
      </c>
      <c r="Q279" s="23" t="str">
        <f>VLOOKUP(B279,[1]제품리스트!$A$2:$J$1000,10,FALSE)</f>
        <v>Leather Dye-#023-Med.Brown</v>
      </c>
      <c r="R279" s="17">
        <f t="shared" si="20"/>
        <v>-6.2727272727272725</v>
      </c>
      <c r="S279" s="19">
        <f t="shared" si="21"/>
        <v>0.52272727272727271</v>
      </c>
      <c r="T279" s="21">
        <f t="shared" si="22"/>
        <v>1.5681818181818181</v>
      </c>
      <c r="U279" s="19" t="e">
        <f>VLOOKUP(B279,[1]재고수량!$A$13:$D$651,3,FALSE)</f>
        <v>#N/A</v>
      </c>
      <c r="V279" s="21" t="e">
        <f t="shared" si="23"/>
        <v>#N/A</v>
      </c>
      <c r="X279">
        <f>VLOOKUP(B279,[1]제품리스트!$A$2:$F$1110,5,FALSE)</f>
        <v>21</v>
      </c>
      <c r="Y279" s="19">
        <f t="shared" si="24"/>
        <v>0</v>
      </c>
    </row>
    <row r="280" spans="1:25" hidden="1" x14ac:dyDescent="0.3">
      <c r="A280" s="5"/>
      <c r="B280" s="6">
        <v>50003024</v>
      </c>
      <c r="C280" t="s">
        <v>312</v>
      </c>
      <c r="D280" s="7"/>
      <c r="E280" s="8">
        <v>0</v>
      </c>
      <c r="F280" s="8">
        <v>-10</v>
      </c>
      <c r="G280" s="8"/>
      <c r="H280" s="8"/>
      <c r="I280" s="8"/>
      <c r="J280" s="8">
        <v>-5</v>
      </c>
      <c r="K280" s="8">
        <v>-7</v>
      </c>
      <c r="L280" s="8">
        <v>0</v>
      </c>
      <c r="M280" s="8">
        <v>-3</v>
      </c>
      <c r="N280" s="8">
        <v>-2</v>
      </c>
      <c r="O280" s="8"/>
      <c r="P280" s="8">
        <v>-27</v>
      </c>
      <c r="Q280" s="23" t="str">
        <f>VLOOKUP(B280,[1]제품리스트!$A$2:$J$1000,10,FALSE)</f>
        <v>Leather Dye-#024-Orange</v>
      </c>
      <c r="R280" s="17">
        <f t="shared" si="20"/>
        <v>-2.4545454545454546</v>
      </c>
      <c r="S280" s="19">
        <f t="shared" si="21"/>
        <v>0.20454545454545456</v>
      </c>
      <c r="T280" s="21">
        <f t="shared" si="22"/>
        <v>0.61363636363636365</v>
      </c>
      <c r="U280" s="19" t="e">
        <f>VLOOKUP(B280,[1]재고수량!$A$13:$D$651,3,FALSE)</f>
        <v>#N/A</v>
      </c>
      <c r="V280" s="21" t="e">
        <f t="shared" si="23"/>
        <v>#N/A</v>
      </c>
      <c r="X280">
        <f>VLOOKUP(B280,[1]제품리스트!$A$2:$F$1110,5,FALSE)</f>
        <v>21</v>
      </c>
      <c r="Y280" s="19">
        <f t="shared" si="24"/>
        <v>0</v>
      </c>
    </row>
    <row r="281" spans="1:25" hidden="1" x14ac:dyDescent="0.3">
      <c r="A281" s="5"/>
      <c r="B281" s="6">
        <v>50003028</v>
      </c>
      <c r="C281" t="s">
        <v>313</v>
      </c>
      <c r="D281" s="7">
        <v>-5</v>
      </c>
      <c r="E281" s="8">
        <v>-7</v>
      </c>
      <c r="F281" s="8">
        <v>-2</v>
      </c>
      <c r="G281" s="8"/>
      <c r="H281" s="8">
        <v>-4</v>
      </c>
      <c r="I281" s="8"/>
      <c r="J281" s="8">
        <v>-3</v>
      </c>
      <c r="K281" s="8">
        <v>-11</v>
      </c>
      <c r="L281" s="8">
        <v>-1</v>
      </c>
      <c r="M281" s="8">
        <v>-3</v>
      </c>
      <c r="N281" s="8">
        <v>-4</v>
      </c>
      <c r="O281" s="8"/>
      <c r="P281" s="8">
        <v>-40</v>
      </c>
      <c r="Q281" s="23" t="str">
        <f>VLOOKUP(B281,[1]제품리스트!$A$2:$J$1000,10,FALSE)</f>
        <v>Leather Dye-#028-SunTan</v>
      </c>
      <c r="R281" s="17">
        <f t="shared" si="20"/>
        <v>-3.6363636363636362</v>
      </c>
      <c r="S281" s="19">
        <f t="shared" si="21"/>
        <v>0.30303030303030304</v>
      </c>
      <c r="T281" s="21">
        <f t="shared" si="22"/>
        <v>0.90909090909090917</v>
      </c>
      <c r="U281" s="19" t="e">
        <f>VLOOKUP(B281,[1]재고수량!$A$13:$D$651,3,FALSE)</f>
        <v>#N/A</v>
      </c>
      <c r="V281" s="21" t="e">
        <f t="shared" si="23"/>
        <v>#N/A</v>
      </c>
      <c r="X281">
        <f>VLOOKUP(B281,[1]제품리스트!$A$2:$F$1110,5,FALSE)</f>
        <v>21</v>
      </c>
      <c r="Y281" s="19">
        <f t="shared" si="24"/>
        <v>0</v>
      </c>
    </row>
    <row r="282" spans="1:25" x14ac:dyDescent="0.3">
      <c r="A282" s="5"/>
      <c r="B282" s="6">
        <v>50003029</v>
      </c>
      <c r="C282" t="s">
        <v>314</v>
      </c>
      <c r="D282" s="7"/>
      <c r="E282" s="8"/>
      <c r="F282" s="8">
        <v>-8</v>
      </c>
      <c r="G282" s="8"/>
      <c r="H282" s="8">
        <v>-5</v>
      </c>
      <c r="I282" s="8">
        <v>-6</v>
      </c>
      <c r="J282" s="8">
        <v>-19</v>
      </c>
      <c r="K282" s="8">
        <v>-5</v>
      </c>
      <c r="L282" s="8">
        <v>0</v>
      </c>
      <c r="M282" s="8">
        <v>0</v>
      </c>
      <c r="N282" s="8">
        <v>-11</v>
      </c>
      <c r="O282" s="8"/>
      <c r="P282" s="8">
        <v>-54</v>
      </c>
      <c r="Q282" s="23" t="str">
        <f>VLOOKUP(B282,[1]제품리스트!$A$2:$J$1000,10,FALSE)</f>
        <v>Leather Dye-#029-Tan</v>
      </c>
      <c r="R282" s="17">
        <f t="shared" si="20"/>
        <v>-4.9090909090909092</v>
      </c>
      <c r="S282" s="19">
        <f t="shared" si="21"/>
        <v>0.40909090909090912</v>
      </c>
      <c r="T282" s="21">
        <f t="shared" si="22"/>
        <v>1.2272727272727273</v>
      </c>
      <c r="U282" s="19" t="e">
        <f>VLOOKUP(B282,[1]재고수량!$A$13:$D$651,3,FALSE)</f>
        <v>#N/A</v>
      </c>
      <c r="V282" s="21" t="e">
        <f t="shared" si="23"/>
        <v>#N/A</v>
      </c>
      <c r="W282">
        <v>3</v>
      </c>
      <c r="X282">
        <f>VLOOKUP(B282,[1]제품리스트!$A$2:$F$1110,5,FALSE)</f>
        <v>21</v>
      </c>
      <c r="Y282" s="19">
        <f t="shared" si="24"/>
        <v>63</v>
      </c>
    </row>
    <row r="283" spans="1:25" x14ac:dyDescent="0.3">
      <c r="A283" s="5"/>
      <c r="B283" s="6">
        <v>50003040</v>
      </c>
      <c r="C283" t="s">
        <v>315</v>
      </c>
      <c r="D283" s="7">
        <v>-18</v>
      </c>
      <c r="E283" s="8">
        <v>-3</v>
      </c>
      <c r="F283" s="8">
        <v>-9</v>
      </c>
      <c r="G283" s="8">
        <v>-6</v>
      </c>
      <c r="H283" s="8">
        <v>-7</v>
      </c>
      <c r="I283" s="8">
        <v>-4</v>
      </c>
      <c r="J283" s="8">
        <v>-15</v>
      </c>
      <c r="K283" s="8">
        <v>-6</v>
      </c>
      <c r="L283" s="8">
        <v>-5</v>
      </c>
      <c r="M283" s="8">
        <v>0</v>
      </c>
      <c r="N283" s="8">
        <v>-10</v>
      </c>
      <c r="O283" s="8"/>
      <c r="P283" s="8">
        <v>-83</v>
      </c>
      <c r="Q283" s="23" t="str">
        <f>VLOOKUP(B283,[1]제품리스트!$A$2:$J$1000,10,FALSE)</f>
        <v>Leather Dye-#040-Blue</v>
      </c>
      <c r="R283" s="17">
        <f t="shared" si="20"/>
        <v>-7.5454545454545459</v>
      </c>
      <c r="S283" s="19">
        <f t="shared" si="21"/>
        <v>0.62878787878787878</v>
      </c>
      <c r="T283" s="21">
        <f t="shared" si="22"/>
        <v>1.8863636363636362</v>
      </c>
      <c r="U283" s="19" t="e">
        <f>VLOOKUP(B283,[1]재고수량!$A$13:$D$651,3,FALSE)</f>
        <v>#N/A</v>
      </c>
      <c r="V283" s="21" t="e">
        <f t="shared" si="23"/>
        <v>#N/A</v>
      </c>
      <c r="W283">
        <v>3</v>
      </c>
      <c r="X283">
        <f>VLOOKUP(B283,[1]제품리스트!$A$2:$F$1110,5,FALSE)</f>
        <v>21</v>
      </c>
      <c r="Y283" s="19">
        <f t="shared" si="24"/>
        <v>63</v>
      </c>
    </row>
    <row r="284" spans="1:25" hidden="1" x14ac:dyDescent="0.3">
      <c r="A284" s="5"/>
      <c r="B284" s="6">
        <v>50003041</v>
      </c>
      <c r="C284" t="s">
        <v>316</v>
      </c>
      <c r="D284" s="7">
        <v>-1</v>
      </c>
      <c r="E284" s="8">
        <v>-4</v>
      </c>
      <c r="F284" s="8"/>
      <c r="G284" s="8">
        <v>-2</v>
      </c>
      <c r="H284" s="8">
        <v>-7</v>
      </c>
      <c r="I284" s="8"/>
      <c r="J284" s="8">
        <v>-5</v>
      </c>
      <c r="K284" s="8">
        <v>-3</v>
      </c>
      <c r="L284" s="8">
        <v>-4</v>
      </c>
      <c r="M284" s="8">
        <v>-2</v>
      </c>
      <c r="N284" s="8">
        <v>-5</v>
      </c>
      <c r="O284" s="8"/>
      <c r="P284" s="8">
        <v>-33</v>
      </c>
      <c r="Q284" s="23" t="str">
        <f>VLOOKUP(B284,[1]제품리스트!$A$2:$J$1000,10,FALSE)</f>
        <v>Leather Dye-#041-LightBlue</v>
      </c>
      <c r="R284" s="17">
        <f t="shared" si="20"/>
        <v>-3</v>
      </c>
      <c r="S284" s="19">
        <f t="shared" si="21"/>
        <v>0.25</v>
      </c>
      <c r="T284" s="21">
        <f t="shared" si="22"/>
        <v>0.75</v>
      </c>
      <c r="U284" s="19" t="e">
        <f>VLOOKUP(B284,[1]재고수량!$A$13:$D$651,3,FALSE)</f>
        <v>#N/A</v>
      </c>
      <c r="V284" s="21" t="e">
        <f t="shared" si="23"/>
        <v>#N/A</v>
      </c>
      <c r="X284">
        <f>VLOOKUP(B284,[1]제품리스트!$A$2:$F$1110,5,FALSE)</f>
        <v>21</v>
      </c>
      <c r="Y284" s="19">
        <f t="shared" si="24"/>
        <v>0</v>
      </c>
    </row>
    <row r="285" spans="1:25" x14ac:dyDescent="0.3">
      <c r="A285" s="5"/>
      <c r="B285" s="6">
        <v>50003042</v>
      </c>
      <c r="C285" t="s">
        <v>317</v>
      </c>
      <c r="D285" s="7">
        <v>0</v>
      </c>
      <c r="E285" s="8">
        <v>0</v>
      </c>
      <c r="F285" s="8">
        <v>-24</v>
      </c>
      <c r="G285" s="8">
        <v>-19</v>
      </c>
      <c r="H285" s="8">
        <v>-8</v>
      </c>
      <c r="I285" s="8">
        <v>-4</v>
      </c>
      <c r="J285" s="8">
        <v>-8</v>
      </c>
      <c r="K285" s="8">
        <v>0</v>
      </c>
      <c r="L285" s="8">
        <v>-2</v>
      </c>
      <c r="M285" s="8">
        <v>0</v>
      </c>
      <c r="N285" s="8">
        <v>-36</v>
      </c>
      <c r="O285" s="8"/>
      <c r="P285" s="8">
        <v>-101</v>
      </c>
      <c r="Q285" s="23" t="str">
        <f>VLOOKUP(B285,[1]제품리스트!$A$2:$J$1000,10,FALSE)</f>
        <v>Leather Dye-#042-NavyBlue</v>
      </c>
      <c r="R285" s="17">
        <f t="shared" si="20"/>
        <v>-9.1818181818181817</v>
      </c>
      <c r="S285" s="19">
        <f t="shared" si="21"/>
        <v>0.76515151515151514</v>
      </c>
      <c r="T285" s="21">
        <f t="shared" si="22"/>
        <v>2.2954545454545454</v>
      </c>
      <c r="U285" s="19" t="e">
        <f>VLOOKUP(B285,[1]재고수량!$A$13:$D$651,3,FALSE)</f>
        <v>#N/A</v>
      </c>
      <c r="V285" s="21" t="e">
        <f t="shared" si="23"/>
        <v>#N/A</v>
      </c>
      <c r="W285">
        <v>6</v>
      </c>
      <c r="X285">
        <f>VLOOKUP(B285,[1]제품리스트!$A$2:$F$1110,5,FALSE)</f>
        <v>21</v>
      </c>
      <c r="Y285" s="19">
        <f t="shared" si="24"/>
        <v>126</v>
      </c>
    </row>
    <row r="286" spans="1:25" hidden="1" x14ac:dyDescent="0.3">
      <c r="A286" s="5"/>
      <c r="B286" s="6">
        <v>50003043</v>
      </c>
      <c r="C286" t="s">
        <v>318</v>
      </c>
      <c r="D286" s="7"/>
      <c r="E286" s="8">
        <v>-5</v>
      </c>
      <c r="F286" s="8">
        <v>-2</v>
      </c>
      <c r="G286" s="8"/>
      <c r="H286" s="8"/>
      <c r="I286" s="8">
        <v>-2</v>
      </c>
      <c r="J286" s="8">
        <v>-4</v>
      </c>
      <c r="K286" s="8">
        <v>-3</v>
      </c>
      <c r="L286" s="8">
        <v>0</v>
      </c>
      <c r="M286" s="8">
        <v>-5</v>
      </c>
      <c r="N286" s="8">
        <v>-1</v>
      </c>
      <c r="O286" s="8"/>
      <c r="P286" s="8">
        <v>-22</v>
      </c>
      <c r="Q286" s="23" t="str">
        <f>VLOOKUP(B286,[1]제품리스트!$A$2:$J$1000,10,FALSE)</f>
        <v>Leather Dye-#043-Turquoise</v>
      </c>
      <c r="R286" s="17">
        <f t="shared" si="20"/>
        <v>-2</v>
      </c>
      <c r="S286" s="19">
        <f t="shared" si="21"/>
        <v>0.16666666666666666</v>
      </c>
      <c r="T286" s="21">
        <f t="shared" si="22"/>
        <v>0.5</v>
      </c>
      <c r="U286" s="19" t="e">
        <f>VLOOKUP(B286,[1]재고수량!$A$13:$D$651,3,FALSE)</f>
        <v>#N/A</v>
      </c>
      <c r="V286" s="21" t="e">
        <f t="shared" si="23"/>
        <v>#N/A</v>
      </c>
      <c r="X286">
        <f>VLOOKUP(B286,[1]제품리스트!$A$2:$F$1110,5,FALSE)</f>
        <v>21</v>
      </c>
      <c r="Y286" s="19">
        <f t="shared" si="24"/>
        <v>0</v>
      </c>
    </row>
    <row r="287" spans="1:25" hidden="1" x14ac:dyDescent="0.3">
      <c r="A287" s="5"/>
      <c r="B287" s="6">
        <v>50003044</v>
      </c>
      <c r="C287" t="s">
        <v>319</v>
      </c>
      <c r="D287" s="7"/>
      <c r="E287" s="8">
        <v>-2</v>
      </c>
      <c r="F287" s="8">
        <v>-3</v>
      </c>
      <c r="G287" s="8">
        <v>-3</v>
      </c>
      <c r="H287" s="8">
        <v>-3</v>
      </c>
      <c r="I287" s="8"/>
      <c r="J287" s="8">
        <v>-5</v>
      </c>
      <c r="K287" s="8">
        <v>0</v>
      </c>
      <c r="L287" s="8">
        <v>-7</v>
      </c>
      <c r="M287" s="8">
        <v>-1</v>
      </c>
      <c r="N287" s="8">
        <v>-4</v>
      </c>
      <c r="O287" s="8"/>
      <c r="P287" s="8">
        <v>-28</v>
      </c>
      <c r="Q287" s="23" t="str">
        <f>VLOOKUP(B287,[1]제품리스트!$A$2:$J$1000,10,FALSE)</f>
        <v>Leather Dye-#044-BlueJean</v>
      </c>
      <c r="R287" s="17">
        <f t="shared" si="20"/>
        <v>-2.5454545454545454</v>
      </c>
      <c r="S287" s="19">
        <f t="shared" si="21"/>
        <v>0.21212121212121213</v>
      </c>
      <c r="T287" s="21">
        <f t="shared" si="22"/>
        <v>0.63636363636363635</v>
      </c>
      <c r="U287" s="19" t="e">
        <f>VLOOKUP(B287,[1]재고수량!$A$13:$D$651,3,FALSE)</f>
        <v>#N/A</v>
      </c>
      <c r="V287" s="21" t="e">
        <f t="shared" si="23"/>
        <v>#N/A</v>
      </c>
      <c r="X287">
        <f>VLOOKUP(B287,[1]제품리스트!$A$2:$F$1110,5,FALSE)</f>
        <v>21</v>
      </c>
      <c r="Y287" s="19">
        <f t="shared" si="24"/>
        <v>0</v>
      </c>
    </row>
    <row r="288" spans="1:25" hidden="1" x14ac:dyDescent="0.3">
      <c r="A288" s="5"/>
      <c r="B288" s="6">
        <v>50003047</v>
      </c>
      <c r="C288" t="s">
        <v>320</v>
      </c>
      <c r="D288" s="7">
        <v>-3</v>
      </c>
      <c r="E288" s="8">
        <v>-1</v>
      </c>
      <c r="F288" s="8">
        <v>-1</v>
      </c>
      <c r="G288" s="8">
        <v>-3</v>
      </c>
      <c r="H288" s="8"/>
      <c r="I288" s="8">
        <v>-3</v>
      </c>
      <c r="J288" s="8">
        <v>-6</v>
      </c>
      <c r="K288" s="8">
        <v>-9</v>
      </c>
      <c r="L288" s="8">
        <v>-3</v>
      </c>
      <c r="M288" s="8">
        <v>-4</v>
      </c>
      <c r="N288" s="8">
        <v>-8</v>
      </c>
      <c r="O288" s="8"/>
      <c r="P288" s="8">
        <v>-41</v>
      </c>
      <c r="Q288" s="23" t="str">
        <f>VLOOKUP(B288,[1]제품리스트!$A$2:$J$1000,10,FALSE)</f>
        <v>Leather Dye-#047-Puple</v>
      </c>
      <c r="R288" s="17">
        <f t="shared" si="20"/>
        <v>-3.7272727272727271</v>
      </c>
      <c r="S288" s="19">
        <f t="shared" si="21"/>
        <v>0.31060606060606061</v>
      </c>
      <c r="T288" s="21">
        <f t="shared" si="22"/>
        <v>0.93181818181818188</v>
      </c>
      <c r="U288" s="19" t="e">
        <f>VLOOKUP(B288,[1]재고수량!$A$13:$D$651,3,FALSE)</f>
        <v>#N/A</v>
      </c>
      <c r="V288" s="21" t="e">
        <f t="shared" si="23"/>
        <v>#N/A</v>
      </c>
      <c r="X288">
        <f>VLOOKUP(B288,[1]제품리스트!$A$2:$F$1110,5,FALSE)</f>
        <v>21</v>
      </c>
      <c r="Y288" s="19">
        <f t="shared" si="24"/>
        <v>0</v>
      </c>
    </row>
    <row r="289" spans="1:25" hidden="1" x14ac:dyDescent="0.3">
      <c r="A289" s="5"/>
      <c r="B289" s="6">
        <v>50003050</v>
      </c>
      <c r="C289" t="s">
        <v>321</v>
      </c>
      <c r="D289" s="7"/>
      <c r="E289" s="8"/>
      <c r="F289" s="8"/>
      <c r="G289" s="8"/>
      <c r="H289" s="8">
        <v>-11</v>
      </c>
      <c r="I289" s="8">
        <v>-2</v>
      </c>
      <c r="J289" s="8">
        <v>-5</v>
      </c>
      <c r="K289" s="8">
        <v>-7</v>
      </c>
      <c r="L289" s="8">
        <v>0</v>
      </c>
      <c r="M289" s="8">
        <v>-2</v>
      </c>
      <c r="N289" s="8">
        <v>-9</v>
      </c>
      <c r="O289" s="8"/>
      <c r="P289" s="8">
        <v>-36</v>
      </c>
      <c r="Q289" s="23" t="str">
        <f>VLOOKUP(B289,[1]제품리스트!$A$2:$J$1000,10,FALSE)</f>
        <v>Leather Dye-#050-Green</v>
      </c>
      <c r="R289" s="17">
        <f t="shared" si="20"/>
        <v>-3.2727272727272729</v>
      </c>
      <c r="S289" s="19">
        <f t="shared" si="21"/>
        <v>0.27272727272727276</v>
      </c>
      <c r="T289" s="21">
        <f t="shared" si="22"/>
        <v>0.81818181818181834</v>
      </c>
      <c r="U289" s="19" t="e">
        <f>VLOOKUP(B289,[1]재고수량!$A$13:$D$651,3,FALSE)</f>
        <v>#N/A</v>
      </c>
      <c r="V289" s="21" t="e">
        <f t="shared" si="23"/>
        <v>#N/A</v>
      </c>
      <c r="X289">
        <f>VLOOKUP(B289,[1]제품리스트!$A$2:$F$1110,5,FALSE)</f>
        <v>21</v>
      </c>
      <c r="Y289" s="19">
        <f t="shared" si="24"/>
        <v>0</v>
      </c>
    </row>
    <row r="290" spans="1:25" hidden="1" x14ac:dyDescent="0.3">
      <c r="A290" s="5"/>
      <c r="B290" s="6">
        <v>50003051</v>
      </c>
      <c r="C290" t="s">
        <v>322</v>
      </c>
      <c r="D290" s="7"/>
      <c r="E290" s="8"/>
      <c r="F290" s="8">
        <v>-3</v>
      </c>
      <c r="G290" s="8">
        <v>-8</v>
      </c>
      <c r="H290" s="8">
        <v>0</v>
      </c>
      <c r="I290" s="8"/>
      <c r="J290" s="8">
        <v>0</v>
      </c>
      <c r="K290" s="8">
        <v>-5</v>
      </c>
      <c r="L290" s="8">
        <v>-6</v>
      </c>
      <c r="M290" s="8">
        <v>-5</v>
      </c>
      <c r="N290" s="8">
        <v>-2</v>
      </c>
      <c r="O290" s="8"/>
      <c r="P290" s="8">
        <v>-29</v>
      </c>
      <c r="Q290" s="23" t="str">
        <f>VLOOKUP(B290,[1]제품리스트!$A$2:$J$1000,10,FALSE)</f>
        <v>Leather Dye-#051-KellyGreen</v>
      </c>
      <c r="R290" s="17">
        <f t="shared" si="20"/>
        <v>-2.6363636363636362</v>
      </c>
      <c r="S290" s="19">
        <f t="shared" si="21"/>
        <v>0.2196969696969697</v>
      </c>
      <c r="T290" s="21">
        <f t="shared" si="22"/>
        <v>0.65909090909090906</v>
      </c>
      <c r="U290" s="19" t="e">
        <f>VLOOKUP(B290,[1]재고수량!$A$13:$D$651,3,FALSE)</f>
        <v>#N/A</v>
      </c>
      <c r="V290" s="21" t="e">
        <f t="shared" si="23"/>
        <v>#N/A</v>
      </c>
      <c r="X290">
        <f>VLOOKUP(B290,[1]제품리스트!$A$2:$F$1110,5,FALSE)</f>
        <v>21</v>
      </c>
      <c r="Y290" s="19">
        <f t="shared" si="24"/>
        <v>0</v>
      </c>
    </row>
    <row r="291" spans="1:25" hidden="1" x14ac:dyDescent="0.3">
      <c r="A291" s="5"/>
      <c r="B291" s="6">
        <v>50003060</v>
      </c>
      <c r="C291" t="s">
        <v>323</v>
      </c>
      <c r="D291" s="7">
        <v>-2</v>
      </c>
      <c r="E291" s="8">
        <v>-3</v>
      </c>
      <c r="F291" s="8"/>
      <c r="G291" s="8">
        <v>-3</v>
      </c>
      <c r="H291" s="8">
        <v>0</v>
      </c>
      <c r="I291" s="8">
        <v>-3</v>
      </c>
      <c r="J291" s="8">
        <v>-6</v>
      </c>
      <c r="K291" s="8">
        <v>-11</v>
      </c>
      <c r="L291" s="8">
        <v>0</v>
      </c>
      <c r="M291" s="8">
        <v>-1</v>
      </c>
      <c r="N291" s="8">
        <v>-16</v>
      </c>
      <c r="O291" s="8"/>
      <c r="P291" s="8">
        <v>-45</v>
      </c>
      <c r="Q291" s="23" t="str">
        <f>VLOOKUP(B291,[1]제품리스트!$A$2:$J$1000,10,FALSE)</f>
        <v>Leather Dye-#060-Burgundy</v>
      </c>
      <c r="R291" s="17">
        <f t="shared" si="20"/>
        <v>-4.0909090909090908</v>
      </c>
      <c r="S291" s="19">
        <f t="shared" si="21"/>
        <v>0.34090909090909088</v>
      </c>
      <c r="T291" s="21">
        <f t="shared" si="22"/>
        <v>1.0227272727272727</v>
      </c>
      <c r="U291" s="19" t="e">
        <f>VLOOKUP(B291,[1]재고수량!$A$13:$D$651,3,FALSE)</f>
        <v>#N/A</v>
      </c>
      <c r="V291" s="21" t="e">
        <f t="shared" si="23"/>
        <v>#N/A</v>
      </c>
      <c r="X291">
        <f>VLOOKUP(B291,[1]제품리스트!$A$2:$F$1110,5,FALSE)</f>
        <v>21</v>
      </c>
      <c r="Y291" s="19">
        <f t="shared" si="24"/>
        <v>0</v>
      </c>
    </row>
    <row r="292" spans="1:25" hidden="1" x14ac:dyDescent="0.3">
      <c r="A292" s="5"/>
      <c r="B292" s="6">
        <v>50003062</v>
      </c>
      <c r="C292" t="s">
        <v>324</v>
      </c>
      <c r="D292" s="7"/>
      <c r="E292" s="8">
        <v>-4</v>
      </c>
      <c r="F292" s="8"/>
      <c r="G292" s="8">
        <v>-5</v>
      </c>
      <c r="H292" s="8">
        <v>-3</v>
      </c>
      <c r="I292" s="8"/>
      <c r="J292" s="8">
        <v>0</v>
      </c>
      <c r="K292" s="8">
        <v>-10</v>
      </c>
      <c r="L292" s="8">
        <v>0</v>
      </c>
      <c r="M292" s="8">
        <v>-3</v>
      </c>
      <c r="N292" s="8">
        <v>-8</v>
      </c>
      <c r="O292" s="8"/>
      <c r="P292" s="8">
        <v>-33</v>
      </c>
      <c r="Q292" s="23" t="str">
        <f>VLOOKUP(B292,[1]제품리스트!$A$2:$J$1000,10,FALSE)</f>
        <v>Leather Dye-#062-OxBlood</v>
      </c>
      <c r="R292" s="17">
        <f t="shared" si="20"/>
        <v>-3</v>
      </c>
      <c r="S292" s="19">
        <f t="shared" si="21"/>
        <v>0.25</v>
      </c>
      <c r="T292" s="21">
        <f t="shared" si="22"/>
        <v>0.75</v>
      </c>
      <c r="U292" s="19" t="e">
        <f>VLOOKUP(B292,[1]재고수량!$A$13:$D$651,3,FALSE)</f>
        <v>#N/A</v>
      </c>
      <c r="V292" s="21" t="e">
        <f t="shared" si="23"/>
        <v>#N/A</v>
      </c>
      <c r="X292">
        <f>VLOOKUP(B292,[1]제품리스트!$A$2:$F$1110,5,FALSE)</f>
        <v>21</v>
      </c>
      <c r="Y292" s="19">
        <f t="shared" si="24"/>
        <v>0</v>
      </c>
    </row>
    <row r="293" spans="1:25" x14ac:dyDescent="0.3">
      <c r="A293" s="5"/>
      <c r="B293" s="6">
        <v>50003064</v>
      </c>
      <c r="C293" t="s">
        <v>325</v>
      </c>
      <c r="D293" s="7">
        <v>-10</v>
      </c>
      <c r="E293" s="8">
        <v>-5</v>
      </c>
      <c r="F293" s="8">
        <v>-14</v>
      </c>
      <c r="G293" s="8">
        <v>-5</v>
      </c>
      <c r="H293" s="8">
        <v>-7</v>
      </c>
      <c r="I293" s="8">
        <v>-2</v>
      </c>
      <c r="J293" s="8">
        <v>-15</v>
      </c>
      <c r="K293" s="8">
        <v>-24</v>
      </c>
      <c r="L293" s="8">
        <v>-13</v>
      </c>
      <c r="M293" s="8">
        <v>-4</v>
      </c>
      <c r="N293" s="8">
        <v>-29</v>
      </c>
      <c r="O293" s="8"/>
      <c r="P293" s="8">
        <v>-128</v>
      </c>
      <c r="Q293" s="23" t="str">
        <f>VLOOKUP(B293,[1]제품리스트!$A$2:$J$1000,10,FALSE)</f>
        <v>Leather Dye-#064-Red</v>
      </c>
      <c r="R293" s="17">
        <f t="shared" si="20"/>
        <v>-11.636363636363637</v>
      </c>
      <c r="S293" s="19">
        <f t="shared" si="21"/>
        <v>0.96969696969696972</v>
      </c>
      <c r="T293" s="21">
        <f t="shared" si="22"/>
        <v>2.9090909090909092</v>
      </c>
      <c r="U293" s="19" t="e">
        <f>VLOOKUP(B293,[1]재고수량!$A$13:$D$651,3,FALSE)</f>
        <v>#N/A</v>
      </c>
      <c r="V293" s="21" t="e">
        <f t="shared" si="23"/>
        <v>#N/A</v>
      </c>
      <c r="W293">
        <v>6</v>
      </c>
      <c r="X293">
        <f>VLOOKUP(B293,[1]제품리스트!$A$2:$F$1110,5,FALSE)</f>
        <v>21</v>
      </c>
      <c r="Y293" s="19">
        <f t="shared" si="24"/>
        <v>126</v>
      </c>
    </row>
    <row r="294" spans="1:25" hidden="1" x14ac:dyDescent="0.3">
      <c r="A294" s="5"/>
      <c r="B294" s="6">
        <v>50003065</v>
      </c>
      <c r="C294" t="s">
        <v>326</v>
      </c>
      <c r="D294" s="7"/>
      <c r="E294" s="8">
        <v>-3</v>
      </c>
      <c r="F294" s="8">
        <v>-3</v>
      </c>
      <c r="G294" s="8">
        <v>-5</v>
      </c>
      <c r="H294" s="8">
        <v>-2</v>
      </c>
      <c r="I294" s="8">
        <v>-1</v>
      </c>
      <c r="J294" s="8">
        <v>-3</v>
      </c>
      <c r="K294" s="8">
        <v>-13</v>
      </c>
      <c r="L294" s="8">
        <v>1</v>
      </c>
      <c r="M294" s="8">
        <v>-3</v>
      </c>
      <c r="N294" s="8">
        <v>-8</v>
      </c>
      <c r="O294" s="8"/>
      <c r="P294" s="8">
        <v>-40</v>
      </c>
      <c r="Q294" s="23" t="str">
        <f>VLOOKUP(B294,[1]제품리스트!$A$2:$J$1000,10,FALSE)</f>
        <v>Leather Dye-#065-Wine-Tone</v>
      </c>
      <c r="R294" s="17">
        <f t="shared" si="20"/>
        <v>-3.6363636363636362</v>
      </c>
      <c r="S294" s="19">
        <f t="shared" si="21"/>
        <v>0.30303030303030304</v>
      </c>
      <c r="T294" s="21">
        <f t="shared" si="22"/>
        <v>0.90909090909090917</v>
      </c>
      <c r="U294" s="19" t="e">
        <f>VLOOKUP(B294,[1]재고수량!$A$13:$D$651,3,FALSE)</f>
        <v>#N/A</v>
      </c>
      <c r="V294" s="21" t="e">
        <f t="shared" si="23"/>
        <v>#N/A</v>
      </c>
      <c r="X294">
        <f>VLOOKUP(B294,[1]제품리스트!$A$2:$F$1110,5,FALSE)</f>
        <v>21</v>
      </c>
      <c r="Y294" s="19">
        <f t="shared" si="24"/>
        <v>0</v>
      </c>
    </row>
    <row r="295" spans="1:25" hidden="1" x14ac:dyDescent="0.3">
      <c r="A295" s="5"/>
      <c r="B295" s="6">
        <v>50003072</v>
      </c>
      <c r="C295" t="s">
        <v>327</v>
      </c>
      <c r="D295" s="7"/>
      <c r="E295" s="8">
        <v>0</v>
      </c>
      <c r="F295" s="8">
        <v>-11</v>
      </c>
      <c r="G295" s="8"/>
      <c r="H295" s="8">
        <v>-6</v>
      </c>
      <c r="I295" s="8">
        <v>-3</v>
      </c>
      <c r="J295" s="8">
        <v>-4</v>
      </c>
      <c r="K295" s="8">
        <v>0</v>
      </c>
      <c r="L295" s="8">
        <v>0</v>
      </c>
      <c r="M295" s="8">
        <v>-4</v>
      </c>
      <c r="N295" s="8">
        <v>-5</v>
      </c>
      <c r="O295" s="8"/>
      <c r="P295" s="8">
        <v>-33</v>
      </c>
      <c r="Q295" s="23" t="str">
        <f>VLOOKUP(B295,[1]제품리스트!$A$2:$J$1000,10,FALSE)</f>
        <v>Leather Dye-#072-Gold</v>
      </c>
      <c r="R295" s="17">
        <f t="shared" si="20"/>
        <v>-3</v>
      </c>
      <c r="S295" s="19">
        <f t="shared" si="21"/>
        <v>0.25</v>
      </c>
      <c r="T295" s="21">
        <f t="shared" si="22"/>
        <v>0.75</v>
      </c>
      <c r="U295" s="19" t="e">
        <f>VLOOKUP(B295,[1]재고수량!$A$13:$D$651,3,FALSE)</f>
        <v>#N/A</v>
      </c>
      <c r="V295" s="21" t="e">
        <f t="shared" si="23"/>
        <v>#N/A</v>
      </c>
      <c r="X295">
        <f>VLOOKUP(B295,[1]제품리스트!$A$2:$F$1110,5,FALSE)</f>
        <v>21</v>
      </c>
      <c r="Y295" s="19">
        <f t="shared" si="24"/>
        <v>0</v>
      </c>
    </row>
    <row r="296" spans="1:25" hidden="1" x14ac:dyDescent="0.3">
      <c r="A296" s="5"/>
      <c r="B296" s="6">
        <v>50003075</v>
      </c>
      <c r="C296" t="s">
        <v>328</v>
      </c>
      <c r="D296" s="7">
        <v>-7</v>
      </c>
      <c r="E296" s="8">
        <v>0</v>
      </c>
      <c r="F296" s="8">
        <v>-4</v>
      </c>
      <c r="G296" s="8">
        <v>-6</v>
      </c>
      <c r="H296" s="8">
        <v>-1</v>
      </c>
      <c r="I296" s="8">
        <v>-1</v>
      </c>
      <c r="J296" s="8">
        <v>-10</v>
      </c>
      <c r="K296" s="8">
        <v>-5</v>
      </c>
      <c r="L296" s="8">
        <v>-3</v>
      </c>
      <c r="M296" s="8">
        <v>-4</v>
      </c>
      <c r="N296" s="8">
        <v>-8</v>
      </c>
      <c r="O296" s="8"/>
      <c r="P296" s="8">
        <v>-49</v>
      </c>
      <c r="Q296" s="23" t="str">
        <f>VLOOKUP(B296,[1]제품리스트!$A$2:$J$1000,10,FALSE)</f>
        <v>Leather Dye-#075-Yellow</v>
      </c>
      <c r="R296" s="17">
        <f t="shared" si="20"/>
        <v>-4.4545454545454541</v>
      </c>
      <c r="S296" s="19">
        <f t="shared" si="21"/>
        <v>0.37121212121212116</v>
      </c>
      <c r="T296" s="21">
        <f t="shared" si="22"/>
        <v>1.1136363636363635</v>
      </c>
      <c r="U296" s="19" t="e">
        <f>VLOOKUP(B296,[1]재고수량!$A$13:$D$651,3,FALSE)</f>
        <v>#N/A</v>
      </c>
      <c r="V296" s="21" t="e">
        <f t="shared" si="23"/>
        <v>#N/A</v>
      </c>
      <c r="X296">
        <f>VLOOKUP(B296,[1]제품리스트!$A$2:$F$1110,5,FALSE)</f>
        <v>21</v>
      </c>
      <c r="Y296" s="19">
        <f t="shared" si="24"/>
        <v>0</v>
      </c>
    </row>
    <row r="297" spans="1:25" hidden="1" x14ac:dyDescent="0.3">
      <c r="A297" s="5"/>
      <c r="B297" s="6">
        <v>50003091</v>
      </c>
      <c r="C297" t="s">
        <v>329</v>
      </c>
      <c r="D297" s="7">
        <v>-3</v>
      </c>
      <c r="E297" s="8">
        <v>0</v>
      </c>
      <c r="F297" s="8">
        <v>0</v>
      </c>
      <c r="G297" s="8">
        <v>0</v>
      </c>
      <c r="H297" s="8">
        <v>-1</v>
      </c>
      <c r="I297" s="8">
        <v>-1</v>
      </c>
      <c r="J297" s="8">
        <v>-3</v>
      </c>
      <c r="K297" s="8">
        <v>-3</v>
      </c>
      <c r="L297" s="8">
        <v>-3</v>
      </c>
      <c r="M297" s="8">
        <v>-4</v>
      </c>
      <c r="N297" s="8">
        <v>-1</v>
      </c>
      <c r="O297" s="8"/>
      <c r="P297" s="8">
        <v>-19</v>
      </c>
      <c r="Q297" s="23" t="str">
        <f>VLOOKUP(B297,[1]제품리스트!$A$2:$J$1000,10,FALSE)</f>
        <v>Leather Dye-#091-BismarkBrown</v>
      </c>
      <c r="R297" s="17">
        <f t="shared" si="20"/>
        <v>-1.7272727272727273</v>
      </c>
      <c r="S297" s="19">
        <f t="shared" si="21"/>
        <v>0.14393939393939395</v>
      </c>
      <c r="T297" s="21">
        <f t="shared" si="22"/>
        <v>0.43181818181818188</v>
      </c>
      <c r="U297" s="19" t="e">
        <f>VLOOKUP(B297,[1]재고수량!$A$13:$D$651,3,FALSE)</f>
        <v>#N/A</v>
      </c>
      <c r="V297" s="21" t="e">
        <f t="shared" si="23"/>
        <v>#N/A</v>
      </c>
      <c r="X297">
        <f>VLOOKUP(B297,[1]제품리스트!$A$2:$F$1110,5,FALSE)</f>
        <v>21</v>
      </c>
      <c r="Y297" s="19">
        <f t="shared" si="24"/>
        <v>0</v>
      </c>
    </row>
    <row r="298" spans="1:25" hidden="1" x14ac:dyDescent="0.3">
      <c r="A298" s="5"/>
      <c r="B298" s="6">
        <v>50003092</v>
      </c>
      <c r="C298" t="s">
        <v>330</v>
      </c>
      <c r="D298" s="7"/>
      <c r="E298" s="8">
        <v>-2</v>
      </c>
      <c r="F298" s="8">
        <v>-7</v>
      </c>
      <c r="G298" s="8"/>
      <c r="H298" s="8"/>
      <c r="I298" s="8"/>
      <c r="J298" s="8">
        <v>-3</v>
      </c>
      <c r="K298" s="8">
        <v>0</v>
      </c>
      <c r="L298" s="8">
        <v>0</v>
      </c>
      <c r="M298" s="8">
        <v>-3</v>
      </c>
      <c r="N298" s="8">
        <v>-2</v>
      </c>
      <c r="O298" s="8"/>
      <c r="P298" s="8">
        <v>-17</v>
      </c>
      <c r="Q298" s="23" t="str">
        <f>VLOOKUP(B298,[1]제품리스트!$A$2:$J$1000,10,FALSE)</f>
        <v>Leather Dye-#092-Brandy</v>
      </c>
      <c r="R298" s="17">
        <f t="shared" si="20"/>
        <v>-1.5454545454545454</v>
      </c>
      <c r="S298" s="19">
        <f t="shared" si="21"/>
        <v>0.12878787878787878</v>
      </c>
      <c r="T298" s="21">
        <f t="shared" si="22"/>
        <v>0.38636363636363635</v>
      </c>
      <c r="U298" s="19" t="e">
        <f>VLOOKUP(B298,[1]재고수량!$A$13:$D$651,3,FALSE)</f>
        <v>#N/A</v>
      </c>
      <c r="V298" s="21" t="e">
        <f t="shared" si="23"/>
        <v>#N/A</v>
      </c>
      <c r="X298">
        <f>VLOOKUP(B298,[1]제품리스트!$A$2:$F$1110,5,FALSE)</f>
        <v>21</v>
      </c>
      <c r="Y298" s="19">
        <f t="shared" si="24"/>
        <v>0</v>
      </c>
    </row>
    <row r="299" spans="1:25" hidden="1" x14ac:dyDescent="0.3">
      <c r="A299" s="5"/>
      <c r="B299" s="6">
        <v>50003093</v>
      </c>
      <c r="C299" t="s">
        <v>331</v>
      </c>
      <c r="D299" s="7">
        <v>-3</v>
      </c>
      <c r="E299" s="8">
        <v>0</v>
      </c>
      <c r="F299" s="8">
        <v>0</v>
      </c>
      <c r="G299" s="8">
        <v>-1</v>
      </c>
      <c r="H299" s="8">
        <v>-3</v>
      </c>
      <c r="I299" s="8">
        <v>-6</v>
      </c>
      <c r="J299" s="8">
        <v>-4</v>
      </c>
      <c r="K299" s="8">
        <v>0</v>
      </c>
      <c r="L299" s="8">
        <v>0</v>
      </c>
      <c r="M299" s="8">
        <v>-3</v>
      </c>
      <c r="N299" s="8">
        <v>-2</v>
      </c>
      <c r="O299" s="8"/>
      <c r="P299" s="8">
        <v>-22</v>
      </c>
      <c r="Q299" s="23" t="str">
        <f>VLOOKUP(B299,[1]제품리스트!$A$2:$J$1000,10,FALSE)</f>
        <v>Leather Dye-#093-Brick</v>
      </c>
      <c r="R299" s="17">
        <f t="shared" si="20"/>
        <v>-2</v>
      </c>
      <c r="S299" s="19">
        <f t="shared" si="21"/>
        <v>0.16666666666666666</v>
      </c>
      <c r="T299" s="21">
        <f t="shared" si="22"/>
        <v>0.5</v>
      </c>
      <c r="U299" s="19" t="e">
        <f>VLOOKUP(B299,[1]재고수량!$A$13:$D$651,3,FALSE)</f>
        <v>#N/A</v>
      </c>
      <c r="V299" s="21" t="e">
        <f t="shared" si="23"/>
        <v>#N/A</v>
      </c>
      <c r="X299">
        <f>VLOOKUP(B299,[1]제품리스트!$A$2:$F$1110,5,FALSE)</f>
        <v>21</v>
      </c>
      <c r="Y299" s="19">
        <f t="shared" si="24"/>
        <v>0</v>
      </c>
    </row>
    <row r="300" spans="1:25" hidden="1" x14ac:dyDescent="0.3">
      <c r="A300" s="5"/>
      <c r="B300" s="6">
        <v>50003094</v>
      </c>
      <c r="C300" t="s">
        <v>332</v>
      </c>
      <c r="D300" s="7">
        <v>-2</v>
      </c>
      <c r="E300" s="8">
        <v>-1</v>
      </c>
      <c r="F300" s="8">
        <v>-1</v>
      </c>
      <c r="G300" s="8"/>
      <c r="H300" s="8">
        <v>-1</v>
      </c>
      <c r="I300" s="8">
        <v>-3</v>
      </c>
      <c r="J300" s="8">
        <v>-6</v>
      </c>
      <c r="K300" s="8">
        <v>-3</v>
      </c>
      <c r="L300" s="8">
        <v>0</v>
      </c>
      <c r="M300" s="8">
        <v>-3</v>
      </c>
      <c r="N300" s="8">
        <v>-2</v>
      </c>
      <c r="O300" s="8"/>
      <c r="P300" s="8">
        <v>-22</v>
      </c>
      <c r="Q300" s="23" t="str">
        <f>VLOOKUP(B300,[1]제품리스트!$A$2:$J$1000,10,FALSE)</f>
        <v>Leather Dye-#094-Honey</v>
      </c>
      <c r="R300" s="17">
        <f t="shared" si="20"/>
        <v>-2</v>
      </c>
      <c r="S300" s="19">
        <f t="shared" si="21"/>
        <v>0.16666666666666666</v>
      </c>
      <c r="T300" s="21">
        <f t="shared" si="22"/>
        <v>0.5</v>
      </c>
      <c r="U300" s="19" t="e">
        <f>VLOOKUP(B300,[1]재고수량!$A$13:$D$651,3,FALSE)</f>
        <v>#N/A</v>
      </c>
      <c r="V300" s="21" t="e">
        <f t="shared" si="23"/>
        <v>#N/A</v>
      </c>
      <c r="X300">
        <f>VLOOKUP(B300,[1]제품리스트!$A$2:$F$1110,5,FALSE)</f>
        <v>21</v>
      </c>
      <c r="Y300" s="19">
        <f t="shared" si="24"/>
        <v>0</v>
      </c>
    </row>
    <row r="301" spans="1:25" hidden="1" x14ac:dyDescent="0.3">
      <c r="A301" s="5"/>
      <c r="B301" s="6">
        <v>50003095</v>
      </c>
      <c r="C301" t="s">
        <v>333</v>
      </c>
      <c r="D301" s="7">
        <v>0</v>
      </c>
      <c r="E301" s="8">
        <v>-3</v>
      </c>
      <c r="F301" s="8">
        <v>0</v>
      </c>
      <c r="G301" s="8">
        <v>0</v>
      </c>
      <c r="H301" s="8">
        <v>0</v>
      </c>
      <c r="I301" s="8"/>
      <c r="J301" s="8">
        <v>-3</v>
      </c>
      <c r="K301" s="8">
        <v>-3</v>
      </c>
      <c r="L301" s="8">
        <v>0</v>
      </c>
      <c r="M301" s="8">
        <v>-3</v>
      </c>
      <c r="N301" s="8">
        <v>-2</v>
      </c>
      <c r="O301" s="8"/>
      <c r="P301" s="8">
        <v>-14</v>
      </c>
      <c r="Q301" s="23" t="str">
        <f>VLOOKUP(B301,[1]제품리스트!$A$2:$J$1000,10,FALSE)</f>
        <v>Leather Dye-#095-Russet</v>
      </c>
      <c r="R301" s="17">
        <f t="shared" si="20"/>
        <v>-1.2727272727272727</v>
      </c>
      <c r="S301" s="19">
        <f t="shared" si="21"/>
        <v>0.10606060606060606</v>
      </c>
      <c r="T301" s="21">
        <f t="shared" si="22"/>
        <v>0.31818181818181818</v>
      </c>
      <c r="U301" s="19" t="e">
        <f>VLOOKUP(B301,[1]재고수량!$A$13:$D$651,3,FALSE)</f>
        <v>#N/A</v>
      </c>
      <c r="V301" s="21" t="e">
        <f t="shared" si="23"/>
        <v>#N/A</v>
      </c>
      <c r="X301">
        <f>VLOOKUP(B301,[1]제품리스트!$A$2:$F$1110,5,FALSE)</f>
        <v>21</v>
      </c>
      <c r="Y301" s="19">
        <f t="shared" si="24"/>
        <v>0</v>
      </c>
    </row>
    <row r="302" spans="1:25" hidden="1" x14ac:dyDescent="0.3">
      <c r="A302" s="5"/>
      <c r="B302" s="6">
        <v>50003096</v>
      </c>
      <c r="C302" t="s">
        <v>334</v>
      </c>
      <c r="D302" s="7"/>
      <c r="E302" s="8"/>
      <c r="F302" s="8">
        <v>-3</v>
      </c>
      <c r="G302" s="8">
        <v>-4</v>
      </c>
      <c r="H302" s="8">
        <v>-1</v>
      </c>
      <c r="I302" s="8"/>
      <c r="J302" s="8">
        <v>-9</v>
      </c>
      <c r="K302" s="8">
        <v>-8</v>
      </c>
      <c r="L302" s="8">
        <v>0</v>
      </c>
      <c r="M302" s="8">
        <v>-3</v>
      </c>
      <c r="N302" s="8">
        <v>-2</v>
      </c>
      <c r="O302" s="8"/>
      <c r="P302" s="8">
        <v>-30</v>
      </c>
      <c r="Q302" s="23" t="str">
        <f>VLOOKUP(B302,[1]제품리스트!$A$2:$J$1000,10,FALSE)</f>
        <v>Leather Dye-#096-Spice</v>
      </c>
      <c r="R302" s="17">
        <f t="shared" si="20"/>
        <v>-2.7272727272727271</v>
      </c>
      <c r="S302" s="19">
        <f t="shared" si="21"/>
        <v>0.22727272727272727</v>
      </c>
      <c r="T302" s="21">
        <f t="shared" si="22"/>
        <v>0.68181818181818177</v>
      </c>
      <c r="U302" s="19" t="e">
        <f>VLOOKUP(B302,[1]재고수량!$A$13:$D$651,3,FALSE)</f>
        <v>#N/A</v>
      </c>
      <c r="V302" s="21" t="e">
        <f t="shared" si="23"/>
        <v>#N/A</v>
      </c>
      <c r="X302">
        <f>VLOOKUP(B302,[1]제품리스트!$A$2:$F$1110,5,FALSE)</f>
        <v>21</v>
      </c>
      <c r="Y302" s="19">
        <f t="shared" si="24"/>
        <v>0</v>
      </c>
    </row>
    <row r="303" spans="1:25" hidden="1" x14ac:dyDescent="0.3">
      <c r="A303" s="5"/>
      <c r="B303" s="6">
        <v>50003097</v>
      </c>
      <c r="C303" t="s">
        <v>335</v>
      </c>
      <c r="D303" s="7">
        <v>-1</v>
      </c>
      <c r="E303" s="8">
        <v>-5</v>
      </c>
      <c r="F303" s="8"/>
      <c r="G303" s="8">
        <v>-6</v>
      </c>
      <c r="H303" s="8">
        <v>-8</v>
      </c>
      <c r="I303" s="8">
        <v>-3</v>
      </c>
      <c r="J303" s="8">
        <v>-13</v>
      </c>
      <c r="K303" s="8">
        <v>-4</v>
      </c>
      <c r="L303" s="8">
        <v>0</v>
      </c>
      <c r="M303" s="8">
        <v>0</v>
      </c>
      <c r="N303" s="8">
        <v>-7</v>
      </c>
      <c r="O303" s="8"/>
      <c r="P303" s="8">
        <v>-47</v>
      </c>
      <c r="Q303" s="23" t="str">
        <f>VLOOKUP(B303,[1]제품리스트!$A$2:$J$1000,10,FALSE)</f>
        <v>Leather Dye-#097-Coffee</v>
      </c>
      <c r="R303" s="17">
        <f t="shared" si="20"/>
        <v>-4.2727272727272725</v>
      </c>
      <c r="S303" s="19">
        <f t="shared" si="21"/>
        <v>0.35606060606060602</v>
      </c>
      <c r="T303" s="21">
        <f t="shared" si="22"/>
        <v>1.0681818181818181</v>
      </c>
      <c r="U303" s="19" t="e">
        <f>VLOOKUP(B303,[1]재고수량!$A$13:$D$651,3,FALSE)</f>
        <v>#N/A</v>
      </c>
      <c r="V303" s="21" t="e">
        <f t="shared" si="23"/>
        <v>#N/A</v>
      </c>
      <c r="X303">
        <f>VLOOKUP(B303,[1]제품리스트!$A$2:$F$1110,5,FALSE)</f>
        <v>21</v>
      </c>
      <c r="Y303" s="19">
        <f t="shared" si="24"/>
        <v>0</v>
      </c>
    </row>
    <row r="304" spans="1:25" hidden="1" x14ac:dyDescent="0.3">
      <c r="A304" s="5"/>
      <c r="B304" s="6">
        <v>50003173</v>
      </c>
      <c r="C304" t="s">
        <v>336</v>
      </c>
      <c r="D304" s="7">
        <v>-2</v>
      </c>
      <c r="E304" s="8">
        <v>0</v>
      </c>
      <c r="F304" s="8">
        <v>0</v>
      </c>
      <c r="G304" s="8">
        <v>0</v>
      </c>
      <c r="H304" s="8">
        <v>-1</v>
      </c>
      <c r="I304" s="8">
        <v>-2</v>
      </c>
      <c r="J304" s="8">
        <v>-3</v>
      </c>
      <c r="K304" s="8">
        <v>-9</v>
      </c>
      <c r="L304" s="8">
        <v>0</v>
      </c>
      <c r="M304" s="8">
        <v>-3</v>
      </c>
      <c r="N304" s="8">
        <v>-5</v>
      </c>
      <c r="O304" s="8"/>
      <c r="P304" s="8">
        <v>-25</v>
      </c>
      <c r="Q304" s="23" t="str">
        <f>VLOOKUP(B304,[1]제품리스트!$A$2:$J$1000,10,FALSE)</f>
        <v>Leather Dye-#173-Jade</v>
      </c>
      <c r="R304" s="17">
        <f t="shared" si="20"/>
        <v>-2.2727272727272729</v>
      </c>
      <c r="S304" s="19">
        <f t="shared" si="21"/>
        <v>0.18939393939393942</v>
      </c>
      <c r="T304" s="21">
        <f t="shared" si="22"/>
        <v>0.56818181818181823</v>
      </c>
      <c r="U304" s="19" t="e">
        <f>VLOOKUP(B304,[1]재고수량!$A$13:$D$651,3,FALSE)</f>
        <v>#N/A</v>
      </c>
      <c r="V304" s="21" t="e">
        <f t="shared" si="23"/>
        <v>#N/A</v>
      </c>
      <c r="X304">
        <f>VLOOKUP(B304,[1]제품리스트!$A$2:$F$1110,5,FALSE)</f>
        <v>21</v>
      </c>
      <c r="Y304" s="19">
        <f t="shared" si="24"/>
        <v>0</v>
      </c>
    </row>
    <row r="305" spans="1:25" hidden="1" x14ac:dyDescent="0.3">
      <c r="A305" s="5"/>
      <c r="B305" s="6">
        <v>50003192</v>
      </c>
      <c r="C305" t="s">
        <v>337</v>
      </c>
      <c r="D305" s="7">
        <v>-2</v>
      </c>
      <c r="E305" s="8">
        <v>0</v>
      </c>
      <c r="F305" s="8">
        <v>-4</v>
      </c>
      <c r="G305" s="8"/>
      <c r="H305" s="8"/>
      <c r="I305" s="8">
        <v>-5</v>
      </c>
      <c r="J305" s="8">
        <v>-3</v>
      </c>
      <c r="K305" s="8">
        <v>-14</v>
      </c>
      <c r="L305" s="8">
        <v>0</v>
      </c>
      <c r="M305" s="8">
        <v>-3</v>
      </c>
      <c r="N305" s="8">
        <v>-2</v>
      </c>
      <c r="O305" s="8"/>
      <c r="P305" s="8">
        <v>-33</v>
      </c>
      <c r="Q305" s="23" t="str">
        <f>VLOOKUP(B305,[1]제품리스트!$A$2:$J$1000,10,FALSE)</f>
        <v>Leather Dye-#192-Rose</v>
      </c>
      <c r="R305" s="17">
        <f t="shared" si="20"/>
        <v>-3</v>
      </c>
      <c r="S305" s="19">
        <f t="shared" si="21"/>
        <v>0.25</v>
      </c>
      <c r="T305" s="21">
        <f t="shared" si="22"/>
        <v>0.75</v>
      </c>
      <c r="U305" s="19" t="e">
        <f>VLOOKUP(B305,[1]재고수량!$A$13:$D$651,3,FALSE)</f>
        <v>#N/A</v>
      </c>
      <c r="V305" s="21" t="e">
        <f t="shared" si="23"/>
        <v>#N/A</v>
      </c>
      <c r="X305">
        <f>VLOOKUP(B305,[1]제품리스트!$A$2:$F$1110,5,FALSE)</f>
        <v>21</v>
      </c>
      <c r="Y305" s="19">
        <f t="shared" si="24"/>
        <v>0</v>
      </c>
    </row>
    <row r="306" spans="1:25" hidden="1" x14ac:dyDescent="0.3">
      <c r="A306" s="5"/>
      <c r="B306" s="6">
        <v>50003193</v>
      </c>
      <c r="C306" t="s">
        <v>338</v>
      </c>
      <c r="D306" s="7"/>
      <c r="E306" s="8"/>
      <c r="F306" s="8"/>
      <c r="G306" s="8"/>
      <c r="H306" s="8">
        <v>-4</v>
      </c>
      <c r="I306" s="8"/>
      <c r="J306" s="8">
        <v>-6</v>
      </c>
      <c r="K306" s="8">
        <v>-1</v>
      </c>
      <c r="L306" s="8">
        <v>0</v>
      </c>
      <c r="M306" s="8">
        <v>-4</v>
      </c>
      <c r="N306" s="8">
        <v>-2</v>
      </c>
      <c r="O306" s="8"/>
      <c r="P306" s="8">
        <v>-17</v>
      </c>
      <c r="Q306" s="23" t="str">
        <f>VLOOKUP(B306,[1]제품리스트!$A$2:$J$1000,10,FALSE)</f>
        <v>Leather Dye-#193-Lt.Rose</v>
      </c>
      <c r="R306" s="17">
        <f t="shared" si="20"/>
        <v>-1.5454545454545454</v>
      </c>
      <c r="S306" s="19">
        <f t="shared" si="21"/>
        <v>0.12878787878787878</v>
      </c>
      <c r="T306" s="21">
        <f t="shared" si="22"/>
        <v>0.38636363636363635</v>
      </c>
      <c r="U306" s="19" t="e">
        <f>VLOOKUP(B306,[1]재고수량!$A$13:$D$651,3,FALSE)</f>
        <v>#N/A</v>
      </c>
      <c r="V306" s="21" t="e">
        <f t="shared" si="23"/>
        <v>#N/A</v>
      </c>
      <c r="X306">
        <f>VLOOKUP(B306,[1]제품리스트!$A$2:$F$1110,5,FALSE)</f>
        <v>21</v>
      </c>
      <c r="Y306" s="19">
        <f t="shared" si="24"/>
        <v>0</v>
      </c>
    </row>
    <row r="307" spans="1:25" x14ac:dyDescent="0.3">
      <c r="A307" s="5"/>
      <c r="B307" s="10">
        <v>50003507</v>
      </c>
      <c r="C307" s="11" t="s">
        <v>339</v>
      </c>
      <c r="D307" s="7">
        <v>-69</v>
      </c>
      <c r="E307" s="8">
        <v>-1</v>
      </c>
      <c r="F307" s="8">
        <v>-203</v>
      </c>
      <c r="G307" s="8">
        <v>-100</v>
      </c>
      <c r="H307" s="8">
        <v>-122</v>
      </c>
      <c r="I307" s="8">
        <v>-42</v>
      </c>
      <c r="J307" s="8">
        <v>-42</v>
      </c>
      <c r="K307" s="8">
        <v>-87</v>
      </c>
      <c r="L307" s="8">
        <v>-64</v>
      </c>
      <c r="M307" s="8">
        <v>-119</v>
      </c>
      <c r="N307" s="8">
        <v>-108</v>
      </c>
      <c r="O307" s="8"/>
      <c r="P307" s="8">
        <v>-957</v>
      </c>
      <c r="Q307" s="23" t="str">
        <f>VLOOKUP(B307,[1]제품리스트!$A$2:$J$1000,10,FALSE)</f>
        <v>Leather Dye Special Black</v>
      </c>
      <c r="R307" s="17">
        <f t="shared" si="20"/>
        <v>-87</v>
      </c>
      <c r="S307" s="19">
        <f t="shared" si="21"/>
        <v>7.25</v>
      </c>
      <c r="T307" s="21">
        <f t="shared" si="22"/>
        <v>21.75</v>
      </c>
      <c r="U307" s="19" t="e">
        <f>VLOOKUP(B307,[1]재고수량!$A$13:$D$651,3,FALSE)</f>
        <v>#N/A</v>
      </c>
      <c r="V307" s="21" t="e">
        <f t="shared" si="23"/>
        <v>#N/A</v>
      </c>
      <c r="W307">
        <v>40</v>
      </c>
      <c r="X307">
        <f>VLOOKUP(B307,[1]제품리스트!$A$2:$F$1110,5,FALSE)</f>
        <v>21</v>
      </c>
      <c r="Y307" s="19">
        <f t="shared" si="24"/>
        <v>840</v>
      </c>
    </row>
    <row r="308" spans="1:25" hidden="1" x14ac:dyDescent="0.3">
      <c r="A308" s="9"/>
      <c r="B308" s="6">
        <v>50703001</v>
      </c>
      <c r="C308" t="s">
        <v>339</v>
      </c>
      <c r="D308" s="7"/>
      <c r="E308" s="8"/>
      <c r="F308" s="8"/>
      <c r="G308" s="8">
        <v>1</v>
      </c>
      <c r="H308" s="8">
        <v>6</v>
      </c>
      <c r="I308" s="8">
        <v>-1</v>
      </c>
      <c r="J308" s="8">
        <v>-6</v>
      </c>
      <c r="K308" s="8"/>
      <c r="L308" s="8"/>
      <c r="M308" s="8"/>
      <c r="N308" s="8"/>
      <c r="O308" s="8"/>
      <c r="P308" s="8">
        <v>0</v>
      </c>
      <c r="Q308" s="23" t="str">
        <f>VLOOKUP(B308,[1]제품리스트!$A$2:$J$1000,10,FALSE)</f>
        <v>Leather Dye Special Black</v>
      </c>
      <c r="R308" s="17">
        <f t="shared" si="20"/>
        <v>0</v>
      </c>
      <c r="S308" s="19">
        <f t="shared" si="21"/>
        <v>0</v>
      </c>
      <c r="T308" s="21">
        <f t="shared" si="22"/>
        <v>0</v>
      </c>
      <c r="U308" s="19" t="e">
        <f>VLOOKUP(B308,[1]재고수량!$A$13:$D$651,3,FALSE)</f>
        <v>#N/A</v>
      </c>
      <c r="V308" s="21" t="e">
        <f t="shared" si="23"/>
        <v>#N/A</v>
      </c>
      <c r="X308">
        <f>VLOOKUP(B308,[1]제품리스트!$A$2:$F$1110,5,FALSE)</f>
        <v>21</v>
      </c>
      <c r="Y308" s="19">
        <f t="shared" si="24"/>
        <v>0</v>
      </c>
    </row>
    <row r="309" spans="1:25" x14ac:dyDescent="0.3">
      <c r="A309" s="5" t="s">
        <v>340</v>
      </c>
      <c r="B309" s="6">
        <v>52003001</v>
      </c>
      <c r="C309" t="s">
        <v>341</v>
      </c>
      <c r="D309" s="7">
        <v>0</v>
      </c>
      <c r="E309" s="8">
        <v>0</v>
      </c>
      <c r="F309" s="8">
        <v>-299</v>
      </c>
      <c r="G309" s="8">
        <v>-106</v>
      </c>
      <c r="H309" s="8">
        <v>-74</v>
      </c>
      <c r="I309" s="8">
        <v>-23</v>
      </c>
      <c r="J309" s="8">
        <v>-39</v>
      </c>
      <c r="K309" s="8">
        <v>-119</v>
      </c>
      <c r="L309" s="8">
        <v>-72</v>
      </c>
      <c r="M309" s="8">
        <v>-22</v>
      </c>
      <c r="N309" s="8">
        <v>-255</v>
      </c>
      <c r="O309" s="8"/>
      <c r="P309" s="8">
        <v>-1009</v>
      </c>
      <c r="Q309" s="23" t="str">
        <f>VLOOKUP(B309,[1]제품리스트!$A$2:$J$1000,10,FALSE)</f>
        <v>Suede Dye &amp; Dressing #001-Black</v>
      </c>
      <c r="R309" s="17">
        <f t="shared" si="20"/>
        <v>-91.727272727272734</v>
      </c>
      <c r="S309" s="19">
        <f t="shared" si="21"/>
        <v>7.6439393939393945</v>
      </c>
      <c r="T309" s="21">
        <f t="shared" si="22"/>
        <v>22.931818181818183</v>
      </c>
      <c r="U309" s="19" t="e">
        <f>VLOOKUP(B309,[1]재고수량!$A$13:$D$651,3,FALSE)</f>
        <v>#N/A</v>
      </c>
      <c r="V309" s="21" t="e">
        <f t="shared" si="23"/>
        <v>#N/A</v>
      </c>
      <c r="W309">
        <v>40</v>
      </c>
      <c r="X309">
        <f>VLOOKUP(B309,[1]제품리스트!$A$2:$F$1110,5,FALSE)</f>
        <v>21</v>
      </c>
      <c r="Y309" s="19">
        <f t="shared" si="24"/>
        <v>840</v>
      </c>
    </row>
    <row r="310" spans="1:25" hidden="1" x14ac:dyDescent="0.3">
      <c r="A310" s="5"/>
      <c r="B310" s="6">
        <v>52003004</v>
      </c>
      <c r="C310" t="s">
        <v>342</v>
      </c>
      <c r="D310" s="7">
        <v>-1</v>
      </c>
      <c r="E310" s="8"/>
      <c r="F310" s="8">
        <v>-13</v>
      </c>
      <c r="G310" s="8">
        <v>-1</v>
      </c>
      <c r="H310" s="8">
        <v>-3</v>
      </c>
      <c r="I310" s="8">
        <v>-7</v>
      </c>
      <c r="J310" s="8">
        <v>-17</v>
      </c>
      <c r="K310" s="8">
        <v>-9</v>
      </c>
      <c r="L310" s="8">
        <v>-8</v>
      </c>
      <c r="M310" s="8">
        <v>-5</v>
      </c>
      <c r="N310" s="8">
        <v>-6</v>
      </c>
      <c r="O310" s="8"/>
      <c r="P310" s="8">
        <v>-70</v>
      </c>
      <c r="Q310" s="23" t="str">
        <f>VLOOKUP(B310,[1]제품리스트!$A$2:$J$1000,10,FALSE)</f>
        <v>Suede Dye &amp; Dressing #004-Neutral</v>
      </c>
      <c r="R310" s="17">
        <f t="shared" si="20"/>
        <v>-6.3636363636363633</v>
      </c>
      <c r="S310" s="19">
        <f t="shared" si="21"/>
        <v>0.53030303030303028</v>
      </c>
      <c r="T310" s="21">
        <f t="shared" si="22"/>
        <v>1.5909090909090908</v>
      </c>
      <c r="U310" s="19" t="e">
        <f>VLOOKUP(B310,[1]재고수량!$A$13:$D$651,3,FALSE)</f>
        <v>#N/A</v>
      </c>
      <c r="V310" s="21" t="e">
        <f t="shared" si="23"/>
        <v>#N/A</v>
      </c>
      <c r="X310">
        <f>VLOOKUP(B310,[1]제품리스트!$A$2:$F$1110,5,FALSE)</f>
        <v>21</v>
      </c>
      <c r="Y310" s="19">
        <f t="shared" si="24"/>
        <v>0</v>
      </c>
    </row>
    <row r="311" spans="1:25" hidden="1" x14ac:dyDescent="0.3">
      <c r="A311" s="5"/>
      <c r="B311" s="6">
        <v>52003014</v>
      </c>
      <c r="C311" t="s">
        <v>343</v>
      </c>
      <c r="D311" s="7">
        <v>-1</v>
      </c>
      <c r="E311" s="8">
        <v>0</v>
      </c>
      <c r="F311" s="8">
        <v>-15</v>
      </c>
      <c r="G311" s="8">
        <v>-13</v>
      </c>
      <c r="H311" s="8">
        <v>-11</v>
      </c>
      <c r="I311" s="8">
        <v>-6</v>
      </c>
      <c r="J311" s="8">
        <v>-6</v>
      </c>
      <c r="K311" s="8">
        <v>-5</v>
      </c>
      <c r="L311" s="8">
        <v>-12</v>
      </c>
      <c r="M311" s="8">
        <v>-8</v>
      </c>
      <c r="N311" s="8">
        <v>-9</v>
      </c>
      <c r="O311" s="8"/>
      <c r="P311" s="8">
        <v>-86</v>
      </c>
      <c r="Q311" s="23" t="str">
        <f>VLOOKUP(B311,[1]제품리스트!$A$2:$J$1000,10,FALSE)</f>
        <v>Suede Dye &amp; Dressing #014-Brown</v>
      </c>
      <c r="R311" s="17">
        <f t="shared" si="20"/>
        <v>-7.8181818181818183</v>
      </c>
      <c r="S311" s="19">
        <f t="shared" si="21"/>
        <v>0.65151515151515149</v>
      </c>
      <c r="T311" s="21">
        <f t="shared" si="22"/>
        <v>1.9545454545454546</v>
      </c>
      <c r="U311" s="19" t="e">
        <f>VLOOKUP(B311,[1]재고수량!$A$13:$D$651,3,FALSE)</f>
        <v>#N/A</v>
      </c>
      <c r="V311" s="21" t="e">
        <f t="shared" si="23"/>
        <v>#N/A</v>
      </c>
      <c r="X311">
        <f>VLOOKUP(B311,[1]제품리스트!$A$2:$F$1110,5,FALSE)</f>
        <v>21</v>
      </c>
      <c r="Y311" s="19">
        <f t="shared" si="24"/>
        <v>0</v>
      </c>
    </row>
    <row r="312" spans="1:25" hidden="1" x14ac:dyDescent="0.3">
      <c r="A312" s="5"/>
      <c r="B312" s="6">
        <v>52003018</v>
      </c>
      <c r="C312" t="s">
        <v>344</v>
      </c>
      <c r="D312" s="7">
        <v>0</v>
      </c>
      <c r="E312" s="8">
        <v>0</v>
      </c>
      <c r="F312" s="8">
        <v>-38</v>
      </c>
      <c r="G312" s="8">
        <v>-10</v>
      </c>
      <c r="H312" s="8">
        <v>-8</v>
      </c>
      <c r="I312" s="8">
        <v>-13</v>
      </c>
      <c r="J312" s="8">
        <v>-15</v>
      </c>
      <c r="K312" s="8">
        <v>-7</v>
      </c>
      <c r="L312" s="8">
        <v>-11</v>
      </c>
      <c r="M312" s="8">
        <v>-12</v>
      </c>
      <c r="N312" s="8">
        <v>-17</v>
      </c>
      <c r="O312" s="8"/>
      <c r="P312" s="8">
        <v>-131</v>
      </c>
      <c r="Q312" s="23" t="str">
        <f>VLOOKUP(B312,[1]제품리스트!$A$2:$J$1000,10,FALSE)</f>
        <v>Suede Dye &amp; Dressing #018-DarkBrown</v>
      </c>
      <c r="R312" s="17">
        <f t="shared" si="20"/>
        <v>-11.909090909090908</v>
      </c>
      <c r="S312" s="19">
        <f t="shared" si="21"/>
        <v>0.99242424242424232</v>
      </c>
      <c r="T312" s="21">
        <f t="shared" si="22"/>
        <v>2.9772727272727271</v>
      </c>
      <c r="U312" s="19" t="e">
        <f>VLOOKUP(B312,[1]재고수량!$A$13:$D$651,3,FALSE)</f>
        <v>#N/A</v>
      </c>
      <c r="V312" s="21" t="e">
        <f t="shared" si="23"/>
        <v>#N/A</v>
      </c>
      <c r="X312">
        <f>VLOOKUP(B312,[1]제품리스트!$A$2:$F$1110,5,FALSE)</f>
        <v>21</v>
      </c>
      <c r="Y312" s="19">
        <f t="shared" si="24"/>
        <v>0</v>
      </c>
    </row>
    <row r="313" spans="1:25" hidden="1" x14ac:dyDescent="0.3">
      <c r="A313" s="5"/>
      <c r="B313" s="6">
        <v>52003021</v>
      </c>
      <c r="C313" t="s">
        <v>345</v>
      </c>
      <c r="D313" s="7">
        <v>0</v>
      </c>
      <c r="E313" s="8">
        <v>0</v>
      </c>
      <c r="F313" s="8">
        <v>-6</v>
      </c>
      <c r="G313" s="8">
        <v>-11</v>
      </c>
      <c r="H313" s="8">
        <v>-3</v>
      </c>
      <c r="I313" s="8">
        <v>-8</v>
      </c>
      <c r="J313" s="8">
        <v>-7</v>
      </c>
      <c r="K313" s="8">
        <v>-14</v>
      </c>
      <c r="L313" s="8">
        <v>-5</v>
      </c>
      <c r="M313" s="8">
        <v>-5</v>
      </c>
      <c r="N313" s="8">
        <v>-2</v>
      </c>
      <c r="O313" s="8"/>
      <c r="P313" s="8">
        <v>-61</v>
      </c>
      <c r="Q313" s="23" t="str">
        <f>VLOOKUP(B313,[1]제품리스트!$A$2:$J$1000,10,FALSE)</f>
        <v>Suede Dye &amp; Dressing #021-LightBrown</v>
      </c>
      <c r="R313" s="17">
        <f t="shared" si="20"/>
        <v>-5.5454545454545459</v>
      </c>
      <c r="S313" s="19">
        <f t="shared" si="21"/>
        <v>0.46212121212121215</v>
      </c>
      <c r="T313" s="21">
        <f t="shared" si="22"/>
        <v>1.3863636363636365</v>
      </c>
      <c r="U313" s="19" t="e">
        <f>VLOOKUP(B313,[1]재고수량!$A$13:$D$651,3,FALSE)</f>
        <v>#N/A</v>
      </c>
      <c r="V313" s="21" t="e">
        <f t="shared" si="23"/>
        <v>#N/A</v>
      </c>
      <c r="X313">
        <f>VLOOKUP(B313,[1]제품리스트!$A$2:$F$1110,5,FALSE)</f>
        <v>21</v>
      </c>
      <c r="Y313" s="19">
        <f t="shared" si="24"/>
        <v>0</v>
      </c>
    </row>
    <row r="314" spans="1:25" hidden="1" x14ac:dyDescent="0.3">
      <c r="A314" s="5"/>
      <c r="B314" s="6">
        <v>52003026</v>
      </c>
      <c r="C314" t="s">
        <v>346</v>
      </c>
      <c r="D314" s="7">
        <v>-3</v>
      </c>
      <c r="E314" s="8">
        <v>-3</v>
      </c>
      <c r="F314" s="8">
        <v>-2</v>
      </c>
      <c r="G314" s="8"/>
      <c r="H314" s="8"/>
      <c r="I314" s="8">
        <v>-5</v>
      </c>
      <c r="J314" s="8">
        <v>-3</v>
      </c>
      <c r="K314" s="8">
        <v>-4</v>
      </c>
      <c r="L314" s="8">
        <v>0</v>
      </c>
      <c r="M314" s="8">
        <v>-2</v>
      </c>
      <c r="N314" s="8">
        <v>-10</v>
      </c>
      <c r="O314" s="8"/>
      <c r="P314" s="8">
        <v>-32</v>
      </c>
      <c r="Q314" s="23" t="str">
        <f>VLOOKUP(B314,[1]제품리스트!$A$2:$J$1000,10,FALSE)</f>
        <v>Suede Dye &amp; Dressing #026-Rust</v>
      </c>
      <c r="R314" s="17">
        <f t="shared" si="20"/>
        <v>-2.9090909090909092</v>
      </c>
      <c r="S314" s="19">
        <f t="shared" si="21"/>
        <v>0.24242424242424243</v>
      </c>
      <c r="T314" s="21">
        <f t="shared" si="22"/>
        <v>0.72727272727272729</v>
      </c>
      <c r="U314" s="19" t="e">
        <f>VLOOKUP(B314,[1]재고수량!$A$13:$D$651,3,FALSE)</f>
        <v>#N/A</v>
      </c>
      <c r="V314" s="21" t="e">
        <f t="shared" si="23"/>
        <v>#N/A</v>
      </c>
      <c r="X314">
        <f>VLOOKUP(B314,[1]제품리스트!$A$2:$F$1110,5,FALSE)</f>
        <v>21</v>
      </c>
      <c r="Y314" s="19">
        <f t="shared" si="24"/>
        <v>0</v>
      </c>
    </row>
    <row r="315" spans="1:25" hidden="1" x14ac:dyDescent="0.3">
      <c r="A315" s="5"/>
      <c r="B315" s="10">
        <v>52003029</v>
      </c>
      <c r="C315" s="11" t="s">
        <v>347</v>
      </c>
      <c r="D315" s="7">
        <v>-2</v>
      </c>
      <c r="E315" s="8">
        <v>0</v>
      </c>
      <c r="F315" s="8">
        <v>-17</v>
      </c>
      <c r="G315" s="8">
        <v>-1</v>
      </c>
      <c r="H315" s="8"/>
      <c r="I315" s="8">
        <v>-6</v>
      </c>
      <c r="J315" s="8">
        <v>-6</v>
      </c>
      <c r="K315" s="8">
        <v>-3</v>
      </c>
      <c r="L315" s="8">
        <v>-1</v>
      </c>
      <c r="M315" s="8">
        <v>-4</v>
      </c>
      <c r="N315" s="8">
        <v>2</v>
      </c>
      <c r="O315" s="8"/>
      <c r="P315" s="8">
        <v>-38</v>
      </c>
      <c r="Q315" s="23" t="str">
        <f>VLOOKUP(B315,[1]제품리스트!$A$2:$J$1000,10,FALSE)</f>
        <v>Suede Dye &amp; Dressing #029-Tan</v>
      </c>
      <c r="R315" s="17">
        <f t="shared" si="20"/>
        <v>-3.4545454545454546</v>
      </c>
      <c r="S315" s="19">
        <f t="shared" si="21"/>
        <v>0.2878787878787879</v>
      </c>
      <c r="T315" s="21">
        <f t="shared" si="22"/>
        <v>0.86363636363636376</v>
      </c>
      <c r="U315" s="19" t="e">
        <f>VLOOKUP(B315,[1]재고수량!$A$13:$D$651,3,FALSE)</f>
        <v>#N/A</v>
      </c>
      <c r="V315" s="21" t="e">
        <f t="shared" si="23"/>
        <v>#N/A</v>
      </c>
      <c r="X315">
        <f>VLOOKUP(B315,[1]제품리스트!$A$2:$F$1110,5,FALSE)</f>
        <v>21</v>
      </c>
      <c r="Y315" s="19">
        <f t="shared" si="24"/>
        <v>0</v>
      </c>
    </row>
    <row r="316" spans="1:25" hidden="1" x14ac:dyDescent="0.3">
      <c r="A316" s="5"/>
      <c r="B316" s="6">
        <v>52003040</v>
      </c>
      <c r="C316" t="s">
        <v>348</v>
      </c>
      <c r="D316" s="7"/>
      <c r="E316" s="8">
        <v>-5</v>
      </c>
      <c r="F316" s="8">
        <v>-6</v>
      </c>
      <c r="G316" s="8">
        <v>-3</v>
      </c>
      <c r="H316" s="8">
        <v>-2</v>
      </c>
      <c r="I316" s="8">
        <v>-6</v>
      </c>
      <c r="J316" s="8">
        <v>-10</v>
      </c>
      <c r="K316" s="8">
        <v>-8</v>
      </c>
      <c r="L316" s="8">
        <v>0</v>
      </c>
      <c r="M316" s="8">
        <v>-7</v>
      </c>
      <c r="N316" s="8">
        <v>-2</v>
      </c>
      <c r="O316" s="8"/>
      <c r="P316" s="8">
        <v>-49</v>
      </c>
      <c r="Q316" s="23" t="str">
        <f>VLOOKUP(B316,[1]제품리스트!$A$2:$J$1000,10,FALSE)</f>
        <v>Suede Dye &amp; Dressing #040-Blue</v>
      </c>
      <c r="R316" s="17">
        <f t="shared" si="20"/>
        <v>-4.4545454545454541</v>
      </c>
      <c r="S316" s="19">
        <f t="shared" si="21"/>
        <v>0.37121212121212116</v>
      </c>
      <c r="T316" s="21">
        <f t="shared" si="22"/>
        <v>1.1136363636363635</v>
      </c>
      <c r="U316" s="19" t="e">
        <f>VLOOKUP(B316,[1]재고수량!$A$13:$D$651,3,FALSE)</f>
        <v>#N/A</v>
      </c>
      <c r="V316" s="21" t="e">
        <f t="shared" si="23"/>
        <v>#N/A</v>
      </c>
      <c r="X316">
        <f>VLOOKUP(B316,[1]제품리스트!$A$2:$F$1110,5,FALSE)</f>
        <v>21</v>
      </c>
      <c r="Y316" s="19">
        <f t="shared" si="24"/>
        <v>0</v>
      </c>
    </row>
    <row r="317" spans="1:25" hidden="1" x14ac:dyDescent="0.3">
      <c r="A317" s="5"/>
      <c r="B317" s="6">
        <v>52003041</v>
      </c>
      <c r="C317" t="s">
        <v>349</v>
      </c>
      <c r="D317" s="7"/>
      <c r="E317" s="8">
        <v>-4</v>
      </c>
      <c r="F317" s="8">
        <v>-5</v>
      </c>
      <c r="G317" s="8">
        <v>0</v>
      </c>
      <c r="H317" s="8">
        <v>-1</v>
      </c>
      <c r="I317" s="8">
        <v>-4</v>
      </c>
      <c r="J317" s="8">
        <v>-5</v>
      </c>
      <c r="K317" s="8">
        <v>-6</v>
      </c>
      <c r="L317" s="8">
        <v>-11</v>
      </c>
      <c r="M317" s="8">
        <v>-6</v>
      </c>
      <c r="N317" s="8">
        <v>-14</v>
      </c>
      <c r="O317" s="8"/>
      <c r="P317" s="8">
        <v>-56</v>
      </c>
      <c r="Q317" s="23" t="str">
        <f>VLOOKUP(B317,[1]제품리스트!$A$2:$J$1000,10,FALSE)</f>
        <v>Suede Dye &amp; Dressing #041-LightBlue</v>
      </c>
      <c r="R317" s="17">
        <f t="shared" si="20"/>
        <v>-5.0909090909090908</v>
      </c>
      <c r="S317" s="19">
        <f t="shared" si="21"/>
        <v>0.42424242424242425</v>
      </c>
      <c r="T317" s="21">
        <f t="shared" si="22"/>
        <v>1.2727272727272727</v>
      </c>
      <c r="U317" s="19" t="e">
        <f>VLOOKUP(B317,[1]재고수량!$A$13:$D$651,3,FALSE)</f>
        <v>#N/A</v>
      </c>
      <c r="V317" s="21" t="e">
        <f t="shared" si="23"/>
        <v>#N/A</v>
      </c>
      <c r="X317">
        <f>VLOOKUP(B317,[1]제품리스트!$A$2:$F$1110,5,FALSE)</f>
        <v>21</v>
      </c>
      <c r="Y317" s="19">
        <f t="shared" si="24"/>
        <v>0</v>
      </c>
    </row>
    <row r="318" spans="1:25" x14ac:dyDescent="0.3">
      <c r="A318" s="5"/>
      <c r="B318" s="6">
        <v>52003042</v>
      </c>
      <c r="C318" t="s">
        <v>350</v>
      </c>
      <c r="D318" s="7">
        <v>0</v>
      </c>
      <c r="E318" s="8">
        <v>0</v>
      </c>
      <c r="F318" s="8">
        <v>-25</v>
      </c>
      <c r="G318" s="8">
        <v>-10</v>
      </c>
      <c r="H318" s="8">
        <v>-19</v>
      </c>
      <c r="I318" s="8">
        <v>-6</v>
      </c>
      <c r="J318" s="8">
        <v>-18</v>
      </c>
      <c r="K318" s="8">
        <v>-16</v>
      </c>
      <c r="L318" s="8">
        <v>-4</v>
      </c>
      <c r="M318" s="8">
        <v>-1</v>
      </c>
      <c r="N318" s="8">
        <v>-36</v>
      </c>
      <c r="O318" s="8"/>
      <c r="P318" s="8">
        <v>-135</v>
      </c>
      <c r="Q318" s="23" t="str">
        <f>VLOOKUP(B318,[1]제품리스트!$A$2:$J$1000,10,FALSE)</f>
        <v>Suede Dye &amp; Dressing #042-NavyBlue</v>
      </c>
      <c r="R318" s="17">
        <f t="shared" si="20"/>
        <v>-12.272727272727273</v>
      </c>
      <c r="S318" s="19">
        <f t="shared" si="21"/>
        <v>1.0227272727272727</v>
      </c>
      <c r="T318" s="21">
        <f t="shared" si="22"/>
        <v>3.0681818181818183</v>
      </c>
      <c r="U318" s="19" t="e">
        <f>VLOOKUP(B318,[1]재고수량!$A$13:$D$651,3,FALSE)</f>
        <v>#N/A</v>
      </c>
      <c r="V318" s="21" t="e">
        <f t="shared" si="23"/>
        <v>#N/A</v>
      </c>
      <c r="W318">
        <v>6</v>
      </c>
      <c r="X318">
        <f>VLOOKUP(B318,[1]제품리스트!$A$2:$F$1110,5,FALSE)</f>
        <v>21</v>
      </c>
      <c r="Y318" s="19">
        <f t="shared" si="24"/>
        <v>126</v>
      </c>
    </row>
    <row r="319" spans="1:25" hidden="1" x14ac:dyDescent="0.3">
      <c r="A319" s="5"/>
      <c r="B319" s="6">
        <v>52003047</v>
      </c>
      <c r="C319" t="s">
        <v>351</v>
      </c>
      <c r="D319" s="7">
        <v>-1</v>
      </c>
      <c r="E319" s="8">
        <v>-3</v>
      </c>
      <c r="F319" s="8"/>
      <c r="G319" s="8">
        <v>-3</v>
      </c>
      <c r="H319" s="8"/>
      <c r="I319" s="8">
        <v>-6</v>
      </c>
      <c r="J319" s="8">
        <v>-3</v>
      </c>
      <c r="K319" s="8">
        <v>-4</v>
      </c>
      <c r="L319" s="8">
        <v>0</v>
      </c>
      <c r="M319" s="8">
        <v>-4</v>
      </c>
      <c r="N319" s="8">
        <v>-2</v>
      </c>
      <c r="O319" s="8"/>
      <c r="P319" s="8">
        <v>-26</v>
      </c>
      <c r="Q319" s="23" t="str">
        <f>VLOOKUP(B319,[1]제품리스트!$A$2:$J$1000,10,FALSE)</f>
        <v>Suede Dye &amp; Dressing #047-Puple</v>
      </c>
      <c r="R319" s="17">
        <f t="shared" si="20"/>
        <v>-2.3636363636363638</v>
      </c>
      <c r="S319" s="19">
        <f t="shared" si="21"/>
        <v>0.19696969696969699</v>
      </c>
      <c r="T319" s="21">
        <f t="shared" si="22"/>
        <v>0.59090909090909094</v>
      </c>
      <c r="U319" s="19" t="e">
        <f>VLOOKUP(B319,[1]재고수량!$A$13:$D$651,3,FALSE)</f>
        <v>#N/A</v>
      </c>
      <c r="V319" s="21" t="e">
        <f t="shared" si="23"/>
        <v>#N/A</v>
      </c>
      <c r="X319">
        <f>VLOOKUP(B319,[1]제품리스트!$A$2:$F$1110,5,FALSE)</f>
        <v>21</v>
      </c>
      <c r="Y319" s="19">
        <f t="shared" si="24"/>
        <v>0</v>
      </c>
    </row>
    <row r="320" spans="1:25" hidden="1" x14ac:dyDescent="0.3">
      <c r="A320" s="5"/>
      <c r="B320" s="6">
        <v>52003050</v>
      </c>
      <c r="C320" t="s">
        <v>352</v>
      </c>
      <c r="D320" s="7"/>
      <c r="E320" s="8">
        <v>-1</v>
      </c>
      <c r="F320" s="8">
        <v>-3</v>
      </c>
      <c r="G320" s="8">
        <v>-1</v>
      </c>
      <c r="H320" s="8"/>
      <c r="I320" s="8">
        <v>-11</v>
      </c>
      <c r="J320" s="8">
        <v>-3</v>
      </c>
      <c r="K320" s="8">
        <v>-5</v>
      </c>
      <c r="L320" s="8">
        <v>0</v>
      </c>
      <c r="M320" s="8">
        <v>-4</v>
      </c>
      <c r="N320" s="8">
        <v>-14</v>
      </c>
      <c r="O320" s="8"/>
      <c r="P320" s="8">
        <v>-42</v>
      </c>
      <c r="Q320" s="23" t="str">
        <f>VLOOKUP(B320,[1]제품리스트!$A$2:$J$1000,10,FALSE)</f>
        <v>Suede Dye &amp; Dressing #050-Green</v>
      </c>
      <c r="R320" s="17">
        <f t="shared" si="20"/>
        <v>-3.8181818181818183</v>
      </c>
      <c r="S320" s="19">
        <f t="shared" si="21"/>
        <v>0.31818181818181818</v>
      </c>
      <c r="T320" s="21">
        <f t="shared" si="22"/>
        <v>0.95454545454545459</v>
      </c>
      <c r="U320" s="19" t="e">
        <f>VLOOKUP(B320,[1]재고수량!$A$13:$D$651,3,FALSE)</f>
        <v>#N/A</v>
      </c>
      <c r="V320" s="21" t="e">
        <f t="shared" si="23"/>
        <v>#N/A</v>
      </c>
      <c r="X320">
        <f>VLOOKUP(B320,[1]제품리스트!$A$2:$F$1110,5,FALSE)</f>
        <v>21</v>
      </c>
      <c r="Y320" s="19">
        <f t="shared" si="24"/>
        <v>0</v>
      </c>
    </row>
    <row r="321" spans="1:25" hidden="1" x14ac:dyDescent="0.3">
      <c r="A321" s="5"/>
      <c r="B321" s="6">
        <v>52003051</v>
      </c>
      <c r="C321" t="s">
        <v>353</v>
      </c>
      <c r="D321" s="7">
        <v>-2</v>
      </c>
      <c r="E321" s="8"/>
      <c r="F321" s="8">
        <v>-3</v>
      </c>
      <c r="G321" s="8">
        <v>-4</v>
      </c>
      <c r="H321" s="8"/>
      <c r="I321" s="8">
        <v>-4</v>
      </c>
      <c r="J321" s="8">
        <v>-4</v>
      </c>
      <c r="K321" s="8">
        <v>-5</v>
      </c>
      <c r="L321" s="8">
        <v>-2</v>
      </c>
      <c r="M321" s="8">
        <v>-5</v>
      </c>
      <c r="N321" s="8">
        <v>-2</v>
      </c>
      <c r="O321" s="8"/>
      <c r="P321" s="8">
        <v>-31</v>
      </c>
      <c r="Q321" s="23" t="str">
        <f>VLOOKUP(B321,[1]제품리스트!$A$2:$J$1000,10,FALSE)</f>
        <v>Suede Dye &amp; Dressing #051-KellyGreen</v>
      </c>
      <c r="R321" s="17">
        <f t="shared" si="20"/>
        <v>-2.8181818181818183</v>
      </c>
      <c r="S321" s="19">
        <f t="shared" si="21"/>
        <v>0.23484848484848486</v>
      </c>
      <c r="T321" s="21">
        <f t="shared" si="22"/>
        <v>0.70454545454545459</v>
      </c>
      <c r="U321" s="19" t="e">
        <f>VLOOKUP(B321,[1]재고수량!$A$13:$D$651,3,FALSE)</f>
        <v>#N/A</v>
      </c>
      <c r="V321" s="21" t="e">
        <f t="shared" si="23"/>
        <v>#N/A</v>
      </c>
      <c r="X321">
        <f>VLOOKUP(B321,[1]제품리스트!$A$2:$F$1110,5,FALSE)</f>
        <v>21</v>
      </c>
      <c r="Y321" s="19">
        <f t="shared" si="24"/>
        <v>0</v>
      </c>
    </row>
    <row r="322" spans="1:25" hidden="1" x14ac:dyDescent="0.3">
      <c r="A322" s="5"/>
      <c r="B322" s="6">
        <v>52003060</v>
      </c>
      <c r="C322" t="s">
        <v>354</v>
      </c>
      <c r="D322" s="7">
        <v>-6</v>
      </c>
      <c r="E322" s="8">
        <v>-1</v>
      </c>
      <c r="F322" s="8">
        <v>-3</v>
      </c>
      <c r="G322" s="8">
        <v>0</v>
      </c>
      <c r="H322" s="8">
        <v>-3</v>
      </c>
      <c r="I322" s="8">
        <v>-4</v>
      </c>
      <c r="J322" s="8">
        <v>-3</v>
      </c>
      <c r="K322" s="8">
        <v>-4</v>
      </c>
      <c r="L322" s="8">
        <v>0</v>
      </c>
      <c r="M322" s="8">
        <v>-5</v>
      </c>
      <c r="N322" s="8">
        <v>-3</v>
      </c>
      <c r="O322" s="8"/>
      <c r="P322" s="8">
        <v>-32</v>
      </c>
      <c r="Q322" s="23" t="str">
        <f>VLOOKUP(B322,[1]제품리스트!$A$2:$J$1000,10,FALSE)</f>
        <v>Suede Dye &amp; Dressing #060-Burgundy</v>
      </c>
      <c r="R322" s="17">
        <f t="shared" si="20"/>
        <v>-2.9090909090909092</v>
      </c>
      <c r="S322" s="19">
        <f t="shared" si="21"/>
        <v>0.24242424242424243</v>
      </c>
      <c r="T322" s="21">
        <f t="shared" si="22"/>
        <v>0.72727272727272729</v>
      </c>
      <c r="U322" s="19" t="e">
        <f>VLOOKUP(B322,[1]재고수량!$A$13:$D$651,3,FALSE)</f>
        <v>#N/A</v>
      </c>
      <c r="V322" s="21" t="e">
        <f t="shared" si="23"/>
        <v>#N/A</v>
      </c>
      <c r="X322">
        <f>VLOOKUP(B322,[1]제품리스트!$A$2:$F$1110,5,FALSE)</f>
        <v>21</v>
      </c>
      <c r="Y322" s="19">
        <f t="shared" si="24"/>
        <v>0</v>
      </c>
    </row>
    <row r="323" spans="1:25" hidden="1" x14ac:dyDescent="0.3">
      <c r="A323" s="5"/>
      <c r="B323" s="6">
        <v>52003061</v>
      </c>
      <c r="C323" t="s">
        <v>355</v>
      </c>
      <c r="D323" s="7">
        <v>-1</v>
      </c>
      <c r="E323" s="8">
        <v>0</v>
      </c>
      <c r="F323" s="8">
        <v>-6</v>
      </c>
      <c r="G323" s="8"/>
      <c r="H323" s="8"/>
      <c r="I323" s="8">
        <v>-7</v>
      </c>
      <c r="J323" s="8">
        <v>-3</v>
      </c>
      <c r="K323" s="8">
        <v>-8</v>
      </c>
      <c r="L323" s="8">
        <v>-1</v>
      </c>
      <c r="M323" s="8">
        <v>-8</v>
      </c>
      <c r="N323" s="8">
        <v>-5</v>
      </c>
      <c r="O323" s="8"/>
      <c r="P323" s="8">
        <v>-39</v>
      </c>
      <c r="Q323" s="23" t="str">
        <f>VLOOKUP(B323,[1]제품리스트!$A$2:$J$1000,10,FALSE)</f>
        <v>Suede Dye &amp; Dressing #061-DarkRed</v>
      </c>
      <c r="R323" s="17">
        <f t="shared" si="20"/>
        <v>-3.5454545454545454</v>
      </c>
      <c r="S323" s="19">
        <f t="shared" si="21"/>
        <v>0.29545454545454547</v>
      </c>
      <c r="T323" s="21">
        <f t="shared" si="22"/>
        <v>0.88636363636363646</v>
      </c>
      <c r="U323" s="19" t="e">
        <f>VLOOKUP(B323,[1]재고수량!$A$13:$D$651,3,FALSE)</f>
        <v>#N/A</v>
      </c>
      <c r="V323" s="21" t="e">
        <f t="shared" si="23"/>
        <v>#N/A</v>
      </c>
      <c r="X323">
        <f>VLOOKUP(B323,[1]제품리스트!$A$2:$F$1110,5,FALSE)</f>
        <v>21</v>
      </c>
      <c r="Y323" s="19">
        <f t="shared" si="24"/>
        <v>0</v>
      </c>
    </row>
    <row r="324" spans="1:25" x14ac:dyDescent="0.3">
      <c r="A324" s="5"/>
      <c r="B324" s="6">
        <v>52003064</v>
      </c>
      <c r="C324" t="s">
        <v>356</v>
      </c>
      <c r="D324" s="7">
        <v>-5</v>
      </c>
      <c r="E324" s="8">
        <v>0</v>
      </c>
      <c r="F324" s="8">
        <v>-6</v>
      </c>
      <c r="G324" s="8">
        <v>-8</v>
      </c>
      <c r="H324" s="8">
        <v>-5</v>
      </c>
      <c r="I324" s="8">
        <v>-11</v>
      </c>
      <c r="J324" s="8">
        <v>-11</v>
      </c>
      <c r="K324" s="8">
        <v>-18</v>
      </c>
      <c r="L324" s="8">
        <v>-1</v>
      </c>
      <c r="M324" s="8">
        <v>0</v>
      </c>
      <c r="N324" s="8">
        <v>-59</v>
      </c>
      <c r="O324" s="8"/>
      <c r="P324" s="8">
        <v>-124</v>
      </c>
      <c r="Q324" s="23" t="str">
        <f>VLOOKUP(B324,[1]제품리스트!$A$2:$J$1000,10,FALSE)</f>
        <v>Suede Dye &amp; Dressing #064-Red</v>
      </c>
      <c r="R324" s="17">
        <f t="shared" si="20"/>
        <v>-11.272727272727273</v>
      </c>
      <c r="S324" s="19">
        <f t="shared" si="21"/>
        <v>0.93939393939393945</v>
      </c>
      <c r="T324" s="21">
        <f t="shared" si="22"/>
        <v>2.8181818181818183</v>
      </c>
      <c r="U324" s="19" t="e">
        <f>VLOOKUP(B324,[1]재고수량!$A$13:$D$651,3,FALSE)</f>
        <v>#N/A</v>
      </c>
      <c r="V324" s="21" t="e">
        <f t="shared" si="23"/>
        <v>#N/A</v>
      </c>
      <c r="W324">
        <v>9</v>
      </c>
      <c r="X324">
        <f>VLOOKUP(B324,[1]제품리스트!$A$2:$F$1110,5,FALSE)</f>
        <v>21</v>
      </c>
      <c r="Y324" s="19">
        <f t="shared" si="24"/>
        <v>189</v>
      </c>
    </row>
    <row r="325" spans="1:25" hidden="1" x14ac:dyDescent="0.3">
      <c r="A325" s="5"/>
      <c r="B325" s="6">
        <v>52003065</v>
      </c>
      <c r="C325" t="s">
        <v>357</v>
      </c>
      <c r="D325" s="7"/>
      <c r="E325" s="8">
        <v>-3</v>
      </c>
      <c r="F325" s="8"/>
      <c r="G325" s="8"/>
      <c r="H325" s="8"/>
      <c r="I325" s="8">
        <v>-3</v>
      </c>
      <c r="J325" s="8">
        <v>-3</v>
      </c>
      <c r="K325" s="8">
        <v>-6</v>
      </c>
      <c r="L325" s="8">
        <v>0</v>
      </c>
      <c r="M325" s="8">
        <v>-3</v>
      </c>
      <c r="N325" s="8">
        <v>-2</v>
      </c>
      <c r="O325" s="8"/>
      <c r="P325" s="8">
        <v>-20</v>
      </c>
      <c r="Q325" s="23" t="str">
        <f>VLOOKUP(B325,[1]제품리스트!$A$2:$J$1000,10,FALSE)</f>
        <v>Suede Dye &amp; Dressing #065-Wine-Tone</v>
      </c>
      <c r="R325" s="17">
        <f t="shared" si="20"/>
        <v>-1.8181818181818181</v>
      </c>
      <c r="S325" s="19">
        <f t="shared" si="21"/>
        <v>0.15151515151515152</v>
      </c>
      <c r="T325" s="21">
        <f t="shared" si="22"/>
        <v>0.45454545454545459</v>
      </c>
      <c r="U325" s="19" t="e">
        <f>VLOOKUP(B325,[1]재고수량!$A$13:$D$651,3,FALSE)</f>
        <v>#N/A</v>
      </c>
      <c r="V325" s="21" t="e">
        <f t="shared" si="23"/>
        <v>#N/A</v>
      </c>
      <c r="X325">
        <f>VLOOKUP(B325,[1]제품리스트!$A$2:$F$1110,5,FALSE)</f>
        <v>21</v>
      </c>
      <c r="Y325" s="19">
        <f t="shared" si="24"/>
        <v>0</v>
      </c>
    </row>
    <row r="326" spans="1:25" hidden="1" x14ac:dyDescent="0.3">
      <c r="A326" s="5"/>
      <c r="B326" s="6">
        <v>52003070</v>
      </c>
      <c r="C326" t="s">
        <v>358</v>
      </c>
      <c r="D326" s="7">
        <v>-5</v>
      </c>
      <c r="E326" s="8">
        <v>-2</v>
      </c>
      <c r="F326" s="8">
        <v>-14</v>
      </c>
      <c r="G326" s="8">
        <v>-4</v>
      </c>
      <c r="H326" s="8">
        <v>-5</v>
      </c>
      <c r="I326" s="8">
        <v>-4</v>
      </c>
      <c r="J326" s="8">
        <v>-6</v>
      </c>
      <c r="K326" s="8">
        <v>-9</v>
      </c>
      <c r="L326" s="8">
        <v>-2</v>
      </c>
      <c r="M326" s="8">
        <v>-8</v>
      </c>
      <c r="N326" s="8">
        <v>-5</v>
      </c>
      <c r="O326" s="8"/>
      <c r="P326" s="8">
        <v>-64</v>
      </c>
      <c r="Q326" s="23" t="str">
        <f>VLOOKUP(B326,[1]제품리스트!$A$2:$J$1000,10,FALSE)</f>
        <v>Suede Dye &amp; Dressing #070-Beige</v>
      </c>
      <c r="R326" s="17">
        <f t="shared" si="20"/>
        <v>-5.8181818181818183</v>
      </c>
      <c r="S326" s="19">
        <f t="shared" si="21"/>
        <v>0.48484848484848486</v>
      </c>
      <c r="T326" s="21">
        <f t="shared" si="22"/>
        <v>1.4545454545454546</v>
      </c>
      <c r="U326" s="19" t="e">
        <f>VLOOKUP(B326,[1]재고수량!$A$13:$D$651,3,FALSE)</f>
        <v>#N/A</v>
      </c>
      <c r="V326" s="21" t="e">
        <f t="shared" si="23"/>
        <v>#N/A</v>
      </c>
      <c r="X326">
        <f>VLOOKUP(B326,[1]제품리스트!$A$2:$F$1110,5,FALSE)</f>
        <v>21</v>
      </c>
      <c r="Y326" s="19">
        <f t="shared" si="24"/>
        <v>0</v>
      </c>
    </row>
    <row r="327" spans="1:25" hidden="1" x14ac:dyDescent="0.3">
      <c r="A327" s="5"/>
      <c r="B327" s="6">
        <v>52003071</v>
      </c>
      <c r="C327" t="s">
        <v>359</v>
      </c>
      <c r="D327" s="7">
        <v>-2</v>
      </c>
      <c r="E327" s="8"/>
      <c r="F327" s="8"/>
      <c r="G327" s="8">
        <v>-6</v>
      </c>
      <c r="H327" s="8"/>
      <c r="I327" s="8">
        <v>-5</v>
      </c>
      <c r="J327" s="8">
        <v>-3</v>
      </c>
      <c r="K327" s="8">
        <v>-6</v>
      </c>
      <c r="L327" s="8">
        <v>-1</v>
      </c>
      <c r="M327" s="8">
        <v>-3</v>
      </c>
      <c r="N327" s="8">
        <v>-2</v>
      </c>
      <c r="O327" s="8"/>
      <c r="P327" s="8">
        <v>-28</v>
      </c>
      <c r="Q327" s="23" t="str">
        <f>VLOOKUP(B327,[1]제품리스트!$A$2:$J$1000,10,FALSE)</f>
        <v>Suede Dye &amp; Dressing #071-Chamois</v>
      </c>
      <c r="R327" s="17">
        <f t="shared" si="20"/>
        <v>-2.5454545454545454</v>
      </c>
      <c r="S327" s="19">
        <f t="shared" si="21"/>
        <v>0.21212121212121213</v>
      </c>
      <c r="T327" s="21">
        <f t="shared" si="22"/>
        <v>0.63636363636363635</v>
      </c>
      <c r="U327" s="19" t="e">
        <f>VLOOKUP(B327,[1]재고수량!$A$13:$D$651,3,FALSE)</f>
        <v>#N/A</v>
      </c>
      <c r="V327" s="21" t="e">
        <f t="shared" si="23"/>
        <v>#N/A</v>
      </c>
      <c r="X327">
        <f>VLOOKUP(B327,[1]제품리스트!$A$2:$F$1110,5,FALSE)</f>
        <v>21</v>
      </c>
      <c r="Y327" s="19">
        <f t="shared" si="24"/>
        <v>0</v>
      </c>
    </row>
    <row r="328" spans="1:25" hidden="1" x14ac:dyDescent="0.3">
      <c r="A328" s="5"/>
      <c r="B328" s="6">
        <v>52003075</v>
      </c>
      <c r="C328" t="s">
        <v>360</v>
      </c>
      <c r="D328" s="7">
        <v>-1</v>
      </c>
      <c r="E328" s="8">
        <v>-1</v>
      </c>
      <c r="F328" s="8">
        <v>-1</v>
      </c>
      <c r="G328" s="8"/>
      <c r="H328" s="8">
        <v>-2</v>
      </c>
      <c r="I328" s="8">
        <v>-7</v>
      </c>
      <c r="J328" s="8">
        <v>-4</v>
      </c>
      <c r="K328" s="8">
        <v>-11</v>
      </c>
      <c r="L328" s="8">
        <v>-6</v>
      </c>
      <c r="M328" s="8">
        <v>-4</v>
      </c>
      <c r="N328" s="8">
        <v>-2</v>
      </c>
      <c r="O328" s="8"/>
      <c r="P328" s="8">
        <v>-39</v>
      </c>
      <c r="Q328" s="23" t="str">
        <f>VLOOKUP(B328,[1]제품리스트!$A$2:$J$1000,10,FALSE)</f>
        <v>Suede Dye &amp; Dressing #075-Yellow</v>
      </c>
      <c r="R328" s="17">
        <f t="shared" ref="R328:R391" si="25">P328/11</f>
        <v>-3.5454545454545454</v>
      </c>
      <c r="S328" s="19">
        <f t="shared" ref="S328:S391" si="26">R328/-12</f>
        <v>0.29545454545454547</v>
      </c>
      <c r="T328" s="21">
        <f t="shared" ref="T328:T391" si="27">S328*3</f>
        <v>0.88636363636363646</v>
      </c>
      <c r="U328" s="19" t="e">
        <f>VLOOKUP(B328,[1]재고수량!$A$13:$D$651,3,FALSE)</f>
        <v>#N/A</v>
      </c>
      <c r="V328" s="21" t="e">
        <f t="shared" ref="V328:V391" si="28">U328/12</f>
        <v>#N/A</v>
      </c>
      <c r="X328">
        <f>VLOOKUP(B328,[1]제품리스트!$A$2:$F$1110,5,FALSE)</f>
        <v>21</v>
      </c>
      <c r="Y328" s="19">
        <f t="shared" ref="Y328:Y391" si="29">W328*X328</f>
        <v>0</v>
      </c>
    </row>
    <row r="329" spans="1:25" hidden="1" x14ac:dyDescent="0.3">
      <c r="A329" s="5"/>
      <c r="B329" s="6">
        <v>52003080</v>
      </c>
      <c r="C329" t="s">
        <v>361</v>
      </c>
      <c r="D329" s="7">
        <v>-8</v>
      </c>
      <c r="E329" s="8">
        <v>-1</v>
      </c>
      <c r="F329" s="8">
        <v>-15</v>
      </c>
      <c r="G329" s="8">
        <v>-6</v>
      </c>
      <c r="H329" s="8">
        <v>-10</v>
      </c>
      <c r="I329" s="8">
        <v>-9</v>
      </c>
      <c r="J329" s="8">
        <v>-12</v>
      </c>
      <c r="K329" s="8">
        <v>-4</v>
      </c>
      <c r="L329" s="8">
        <v>-6</v>
      </c>
      <c r="M329" s="8">
        <v>-5</v>
      </c>
      <c r="N329" s="8">
        <v>-19</v>
      </c>
      <c r="O329" s="8"/>
      <c r="P329" s="8">
        <v>-95</v>
      </c>
      <c r="Q329" s="23" t="str">
        <f>VLOOKUP(B329,[1]제품리스트!$A$2:$J$1000,10,FALSE)</f>
        <v>Suede Dye &amp; Dressing #080-DarkGrey</v>
      </c>
      <c r="R329" s="17">
        <f t="shared" si="25"/>
        <v>-8.6363636363636367</v>
      </c>
      <c r="S329" s="19">
        <f t="shared" si="26"/>
        <v>0.71969696969696972</v>
      </c>
      <c r="T329" s="21">
        <f t="shared" si="27"/>
        <v>2.1590909090909092</v>
      </c>
      <c r="U329" s="19" t="e">
        <f>VLOOKUP(B329,[1]재고수량!$A$13:$D$651,3,FALSE)</f>
        <v>#N/A</v>
      </c>
      <c r="V329" s="21" t="e">
        <f t="shared" si="28"/>
        <v>#N/A</v>
      </c>
      <c r="X329">
        <f>VLOOKUP(B329,[1]제품리스트!$A$2:$F$1110,5,FALSE)</f>
        <v>21</v>
      </c>
      <c r="Y329" s="19">
        <f t="shared" si="29"/>
        <v>0</v>
      </c>
    </row>
    <row r="330" spans="1:25" hidden="1" x14ac:dyDescent="0.3">
      <c r="A330" s="5"/>
      <c r="B330" s="6">
        <v>52003081</v>
      </c>
      <c r="C330" t="s">
        <v>362</v>
      </c>
      <c r="D330" s="7">
        <v>-7</v>
      </c>
      <c r="E330" s="8">
        <v>-7</v>
      </c>
      <c r="F330" s="8">
        <v>-18</v>
      </c>
      <c r="G330" s="8">
        <v>-3</v>
      </c>
      <c r="H330" s="8">
        <v>-3</v>
      </c>
      <c r="I330" s="8">
        <v>-10</v>
      </c>
      <c r="J330" s="8">
        <v>-3</v>
      </c>
      <c r="K330" s="8">
        <v>-6</v>
      </c>
      <c r="L330" s="8">
        <v>-6</v>
      </c>
      <c r="M330" s="8">
        <v>-8</v>
      </c>
      <c r="N330" s="8">
        <v>-7</v>
      </c>
      <c r="O330" s="8"/>
      <c r="P330" s="8">
        <v>-78</v>
      </c>
      <c r="Q330" s="23" t="str">
        <f>VLOOKUP(B330,[1]제품리스트!$A$2:$J$1000,10,FALSE)</f>
        <v>Suede Dye &amp; Dressing #081-Grey</v>
      </c>
      <c r="R330" s="17">
        <f t="shared" si="25"/>
        <v>-7.0909090909090908</v>
      </c>
      <c r="S330" s="19">
        <f t="shared" si="26"/>
        <v>0.59090909090909094</v>
      </c>
      <c r="T330" s="21">
        <f t="shared" si="27"/>
        <v>1.7727272727272729</v>
      </c>
      <c r="U330" s="19" t="e">
        <f>VLOOKUP(B330,[1]재고수량!$A$13:$D$651,3,FALSE)</f>
        <v>#N/A</v>
      </c>
      <c r="V330" s="21" t="e">
        <f t="shared" si="28"/>
        <v>#N/A</v>
      </c>
      <c r="X330">
        <f>VLOOKUP(B330,[1]제품리스트!$A$2:$F$1110,5,FALSE)</f>
        <v>21</v>
      </c>
      <c r="Y330" s="19">
        <f t="shared" si="29"/>
        <v>0</v>
      </c>
    </row>
    <row r="331" spans="1:25" hidden="1" x14ac:dyDescent="0.3">
      <c r="A331" s="5"/>
      <c r="B331" s="6">
        <v>52003082</v>
      </c>
      <c r="C331" t="s">
        <v>363</v>
      </c>
      <c r="D331" s="7">
        <v>-2</v>
      </c>
      <c r="E331" s="8">
        <v>-2</v>
      </c>
      <c r="F331" s="8">
        <v>-9</v>
      </c>
      <c r="G331" s="8">
        <v>-6</v>
      </c>
      <c r="H331" s="8">
        <v>-8</v>
      </c>
      <c r="I331" s="8">
        <v>-13</v>
      </c>
      <c r="J331" s="8">
        <v>-12</v>
      </c>
      <c r="K331" s="8">
        <v>-12</v>
      </c>
      <c r="L331" s="8">
        <v>-3</v>
      </c>
      <c r="M331" s="8">
        <v>-9</v>
      </c>
      <c r="N331" s="8">
        <v>-6</v>
      </c>
      <c r="O331" s="8"/>
      <c r="P331" s="8">
        <v>-82</v>
      </c>
      <c r="Q331" s="23" t="str">
        <f>VLOOKUP(B331,[1]제품리스트!$A$2:$J$1000,10,FALSE)</f>
        <v>Suede Dye &amp; Dressing #082-LightGrey</v>
      </c>
      <c r="R331" s="17">
        <f t="shared" si="25"/>
        <v>-7.4545454545454541</v>
      </c>
      <c r="S331" s="19">
        <f t="shared" si="26"/>
        <v>0.62121212121212122</v>
      </c>
      <c r="T331" s="21">
        <f t="shared" si="27"/>
        <v>1.8636363636363638</v>
      </c>
      <c r="U331" s="19" t="e">
        <f>VLOOKUP(B331,[1]재고수량!$A$13:$D$651,3,FALSE)</f>
        <v>#N/A</v>
      </c>
      <c r="V331" s="21" t="e">
        <f t="shared" si="28"/>
        <v>#N/A</v>
      </c>
      <c r="X331">
        <f>VLOOKUP(B331,[1]제품리스트!$A$2:$F$1110,5,FALSE)</f>
        <v>21</v>
      </c>
      <c r="Y331" s="19">
        <f t="shared" si="29"/>
        <v>0</v>
      </c>
    </row>
    <row r="332" spans="1:25" hidden="1" x14ac:dyDescent="0.3">
      <c r="A332" s="5"/>
      <c r="B332" s="6">
        <v>52003175</v>
      </c>
      <c r="C332" t="s">
        <v>364</v>
      </c>
      <c r="D332" s="7">
        <v>-3</v>
      </c>
      <c r="E332" s="8">
        <v>-3</v>
      </c>
      <c r="F332" s="8"/>
      <c r="G332" s="8"/>
      <c r="H332" s="8">
        <v>-1</v>
      </c>
      <c r="I332" s="8">
        <v>-6</v>
      </c>
      <c r="J332" s="8">
        <v>-3</v>
      </c>
      <c r="K332" s="8">
        <v>-1</v>
      </c>
      <c r="L332" s="8">
        <v>0</v>
      </c>
      <c r="M332" s="8">
        <v>-3</v>
      </c>
      <c r="N332" s="8">
        <v>-1</v>
      </c>
      <c r="O332" s="8"/>
      <c r="P332" s="8">
        <v>-21</v>
      </c>
      <c r="Q332" s="23" t="str">
        <f>VLOOKUP(B332,[1]제품리스트!$A$2:$J$1000,10,FALSE)</f>
        <v>Suede Dye &amp; Dressing #175-Lilac</v>
      </c>
      <c r="R332" s="17">
        <f t="shared" si="25"/>
        <v>-1.9090909090909092</v>
      </c>
      <c r="S332" s="19">
        <f t="shared" si="26"/>
        <v>0.15909090909090909</v>
      </c>
      <c r="T332" s="21">
        <f t="shared" si="27"/>
        <v>0.47727272727272729</v>
      </c>
      <c r="U332" s="19" t="e">
        <f>VLOOKUP(B332,[1]재고수량!$A$13:$D$651,3,FALSE)</f>
        <v>#N/A</v>
      </c>
      <c r="V332" s="21" t="e">
        <f t="shared" si="28"/>
        <v>#N/A</v>
      </c>
      <c r="X332">
        <f>VLOOKUP(B332,[1]제품리스트!$A$2:$F$1110,5,FALSE)</f>
        <v>21</v>
      </c>
      <c r="Y332" s="19">
        <f t="shared" si="29"/>
        <v>0</v>
      </c>
    </row>
    <row r="333" spans="1:25" hidden="1" x14ac:dyDescent="0.3">
      <c r="A333" s="9"/>
      <c r="B333" s="6">
        <v>52003188</v>
      </c>
      <c r="C333" t="s">
        <v>365</v>
      </c>
      <c r="D333" s="7"/>
      <c r="E333" s="8">
        <v>-4</v>
      </c>
      <c r="F333" s="8"/>
      <c r="G333" s="8">
        <v>-8</v>
      </c>
      <c r="H333" s="8"/>
      <c r="I333" s="8">
        <v>-4</v>
      </c>
      <c r="J333" s="8">
        <v>-6</v>
      </c>
      <c r="K333" s="8">
        <v>-1</v>
      </c>
      <c r="L333" s="8">
        <v>0</v>
      </c>
      <c r="M333" s="8">
        <v>-4</v>
      </c>
      <c r="N333" s="8">
        <v>-2</v>
      </c>
      <c r="O333" s="8"/>
      <c r="P333" s="8">
        <v>-29</v>
      </c>
      <c r="Q333" s="23" t="str">
        <f>VLOOKUP(B333,[1]제품리스트!$A$2:$J$1000,10,FALSE)</f>
        <v>Suede Dye &amp; Dressing #188-Pink</v>
      </c>
      <c r="R333" s="17">
        <f t="shared" si="25"/>
        <v>-2.6363636363636362</v>
      </c>
      <c r="S333" s="19">
        <f t="shared" si="26"/>
        <v>0.2196969696969697</v>
      </c>
      <c r="T333" s="21">
        <f t="shared" si="27"/>
        <v>0.65909090909090906</v>
      </c>
      <c r="U333" s="19" t="e">
        <f>VLOOKUP(B333,[1]재고수량!$A$13:$D$651,3,FALSE)</f>
        <v>#N/A</v>
      </c>
      <c r="V333" s="21" t="e">
        <f t="shared" si="28"/>
        <v>#N/A</v>
      </c>
      <c r="X333">
        <f>VLOOKUP(B333,[1]제품리스트!$A$2:$F$1110,5,FALSE)</f>
        <v>21</v>
      </c>
      <c r="Y333" s="19">
        <f t="shared" si="29"/>
        <v>0</v>
      </c>
    </row>
    <row r="334" spans="1:25" x14ac:dyDescent="0.3">
      <c r="A334" s="5" t="s">
        <v>366</v>
      </c>
      <c r="B334" s="10">
        <v>82004000</v>
      </c>
      <c r="C334" s="11" t="s">
        <v>367</v>
      </c>
      <c r="D334" s="7">
        <v>-320</v>
      </c>
      <c r="E334" s="8">
        <v>-6</v>
      </c>
      <c r="F334" s="8">
        <v>-819</v>
      </c>
      <c r="G334" s="8">
        <v>-582</v>
      </c>
      <c r="H334" s="8">
        <v>-466</v>
      </c>
      <c r="I334" s="8">
        <v>-35</v>
      </c>
      <c r="J334" s="8">
        <v>-527</v>
      </c>
      <c r="K334" s="8">
        <v>-855</v>
      </c>
      <c r="L334" s="8">
        <v>-412</v>
      </c>
      <c r="M334" s="8">
        <v>-390</v>
      </c>
      <c r="N334" s="8">
        <v>-391</v>
      </c>
      <c r="O334" s="8"/>
      <c r="P334" s="8">
        <v>-4803</v>
      </c>
      <c r="Q334" s="23" t="str">
        <f>VLOOKUP(B334,[1]제품리스트!$A$2:$J$1000,10,FALSE)</f>
        <v>Leather Preparer/Deglazer 4 oz</v>
      </c>
      <c r="R334" s="17">
        <f t="shared" si="25"/>
        <v>-436.63636363636363</v>
      </c>
      <c r="S334" s="19">
        <f t="shared" si="26"/>
        <v>36.386363636363633</v>
      </c>
      <c r="T334" s="21">
        <f t="shared" si="27"/>
        <v>109.15909090909091</v>
      </c>
      <c r="U334" s="19" t="e">
        <f>VLOOKUP(B334,[1]재고수량!$A$13:$D$651,3,FALSE)</f>
        <v>#N/A</v>
      </c>
      <c r="V334" s="21" t="e">
        <f t="shared" si="28"/>
        <v>#N/A</v>
      </c>
      <c r="W334">
        <v>100</v>
      </c>
      <c r="X334">
        <f>VLOOKUP(B334,[1]제품리스트!$A$2:$F$1110,5,FALSE)</f>
        <v>20</v>
      </c>
      <c r="Y334" s="19">
        <f t="shared" si="29"/>
        <v>2000</v>
      </c>
    </row>
    <row r="335" spans="1:25" x14ac:dyDescent="0.3">
      <c r="A335" s="9"/>
      <c r="B335" s="6" t="s">
        <v>368</v>
      </c>
      <c r="C335" t="s">
        <v>369</v>
      </c>
      <c r="D335" s="7">
        <v>-44</v>
      </c>
      <c r="E335" s="8">
        <v>0</v>
      </c>
      <c r="F335" s="8">
        <v>-62</v>
      </c>
      <c r="G335" s="8">
        <v>-37</v>
      </c>
      <c r="H335" s="8">
        <v>-50</v>
      </c>
      <c r="I335" s="8">
        <v>-56</v>
      </c>
      <c r="J335" s="8">
        <v>-92</v>
      </c>
      <c r="K335" s="8">
        <v>-14</v>
      </c>
      <c r="L335" s="8">
        <v>-5</v>
      </c>
      <c r="M335" s="8">
        <v>-3</v>
      </c>
      <c r="N335" s="8">
        <v>-80</v>
      </c>
      <c r="O335" s="8"/>
      <c r="P335" s="8">
        <v>-443</v>
      </c>
      <c r="Q335" s="23" t="str">
        <f>VLOOKUP(B335,[1]제품리스트!$A$2:$J$1000,10,FALSE)</f>
        <v>Leather Preparer/Deglazer Pint</v>
      </c>
      <c r="R335" s="17">
        <f t="shared" si="25"/>
        <v>-40.272727272727273</v>
      </c>
      <c r="S335" s="19">
        <f t="shared" si="26"/>
        <v>3.356060606060606</v>
      </c>
      <c r="T335" s="21">
        <f t="shared" si="27"/>
        <v>10.068181818181818</v>
      </c>
      <c r="U335" s="19" t="e">
        <f>VLOOKUP(B335,[1]재고수량!$A$13:$D$651,3,FALSE)</f>
        <v>#N/A</v>
      </c>
      <c r="V335" s="21" t="e">
        <f t="shared" si="28"/>
        <v>#N/A</v>
      </c>
      <c r="W335">
        <v>120</v>
      </c>
      <c r="X335">
        <f>VLOOKUP(B335,[1]제품리스트!$A$2:$F$1110,5,FALSE)</f>
        <v>5.7</v>
      </c>
      <c r="Y335" s="19">
        <f t="shared" si="29"/>
        <v>684</v>
      </c>
    </row>
    <row r="336" spans="1:25" x14ac:dyDescent="0.3">
      <c r="A336" s="5" t="s">
        <v>370</v>
      </c>
      <c r="B336" s="6">
        <v>60004000</v>
      </c>
      <c r="C336" t="s">
        <v>371</v>
      </c>
      <c r="D336" s="7">
        <v>-181</v>
      </c>
      <c r="E336" s="8">
        <v>-123</v>
      </c>
      <c r="F336" s="8">
        <v>-191</v>
      </c>
      <c r="G336" s="8">
        <v>-241</v>
      </c>
      <c r="H336" s="8">
        <v>-87</v>
      </c>
      <c r="I336" s="8">
        <v>-190</v>
      </c>
      <c r="J336" s="8">
        <v>-387</v>
      </c>
      <c r="K336" s="8">
        <v>-168</v>
      </c>
      <c r="L336" s="8">
        <v>-90</v>
      </c>
      <c r="M336" s="8">
        <v>-150</v>
      </c>
      <c r="N336" s="8">
        <v>-99</v>
      </c>
      <c r="O336" s="8"/>
      <c r="P336" s="8">
        <v>-1907</v>
      </c>
      <c r="Q336" s="23" t="str">
        <f>VLOOKUP(B336,[1]제품리스트!$A$2:$J$1000,10,FALSE)</f>
        <v>Acrylic Finisher 4 oz</v>
      </c>
      <c r="R336" s="17">
        <f t="shared" si="25"/>
        <v>-173.36363636363637</v>
      </c>
      <c r="S336" s="19">
        <f t="shared" si="26"/>
        <v>14.446969696969697</v>
      </c>
      <c r="T336" s="21">
        <f t="shared" si="27"/>
        <v>43.340909090909093</v>
      </c>
      <c r="U336" s="19" t="e">
        <f>VLOOKUP(B336,[1]재고수량!$A$13:$D$651,3,FALSE)</f>
        <v>#N/A</v>
      </c>
      <c r="V336" s="21" t="e">
        <f t="shared" si="28"/>
        <v>#N/A</v>
      </c>
      <c r="W336">
        <v>50</v>
      </c>
      <c r="X336">
        <f>VLOOKUP(B336,[1]제품리스트!$A$2:$F$1110,5,FALSE)</f>
        <v>22.2</v>
      </c>
      <c r="Y336" s="19">
        <f t="shared" si="29"/>
        <v>1110</v>
      </c>
    </row>
    <row r="337" spans="1:25" x14ac:dyDescent="0.3">
      <c r="A337" s="5"/>
      <c r="B337" s="10">
        <v>60504000</v>
      </c>
      <c r="C337" t="s">
        <v>372</v>
      </c>
      <c r="D337" s="7">
        <v>-89</v>
      </c>
      <c r="E337" s="8">
        <v>-64</v>
      </c>
      <c r="F337" s="8">
        <v>-120</v>
      </c>
      <c r="G337" s="8">
        <v>-117</v>
      </c>
      <c r="H337" s="8">
        <v>-88</v>
      </c>
      <c r="I337" s="8">
        <v>-134</v>
      </c>
      <c r="J337" s="8">
        <v>-204</v>
      </c>
      <c r="K337" s="8">
        <v>-170</v>
      </c>
      <c r="L337" s="8">
        <v>-82</v>
      </c>
      <c r="M337" s="8">
        <v>-74</v>
      </c>
      <c r="N337" s="8">
        <v>-82</v>
      </c>
      <c r="O337" s="8"/>
      <c r="P337" s="8">
        <v>-1224</v>
      </c>
      <c r="Q337" s="23" t="str">
        <f>VLOOKUP(B337,[1]제품리스트!$A$2:$J$1000,10,FALSE)</f>
        <v>Satin Acrylic Finisher 4 oz</v>
      </c>
      <c r="R337" s="17">
        <f t="shared" si="25"/>
        <v>-111.27272727272727</v>
      </c>
      <c r="S337" s="19">
        <f t="shared" si="26"/>
        <v>9.2727272727272716</v>
      </c>
      <c r="T337" s="21">
        <f t="shared" si="27"/>
        <v>27.818181818181813</v>
      </c>
      <c r="U337" s="19" t="e">
        <f>VLOOKUP(B337,[1]재고수량!$A$13:$D$651,3,FALSE)</f>
        <v>#N/A</v>
      </c>
      <c r="V337" s="21" t="e">
        <f t="shared" si="28"/>
        <v>#N/A</v>
      </c>
      <c r="W337">
        <v>30</v>
      </c>
      <c r="X337">
        <f>VLOOKUP(B337,[1]제품리스트!$A$2:$F$1110,5,FALSE)</f>
        <v>22.2</v>
      </c>
      <c r="Y337" s="19">
        <f t="shared" si="29"/>
        <v>666</v>
      </c>
    </row>
    <row r="338" spans="1:25" hidden="1" x14ac:dyDescent="0.3">
      <c r="A338" s="5"/>
      <c r="B338" s="6">
        <v>61004000</v>
      </c>
      <c r="C338" t="s">
        <v>373</v>
      </c>
      <c r="D338" s="7">
        <v>-43</v>
      </c>
      <c r="E338" s="8">
        <v>-32</v>
      </c>
      <c r="F338" s="8">
        <v>-39</v>
      </c>
      <c r="G338" s="8">
        <v>-73</v>
      </c>
      <c r="H338" s="8">
        <v>-32</v>
      </c>
      <c r="I338" s="8">
        <v>-63</v>
      </c>
      <c r="J338" s="8">
        <v>-91</v>
      </c>
      <c r="K338" s="8">
        <v>-23</v>
      </c>
      <c r="L338" s="8">
        <v>-21</v>
      </c>
      <c r="M338" s="8">
        <v>-31</v>
      </c>
      <c r="N338" s="8">
        <v>-37</v>
      </c>
      <c r="O338" s="8"/>
      <c r="P338" s="8">
        <v>-485</v>
      </c>
      <c r="Q338" s="23" t="str">
        <f>VLOOKUP(B338,[1]제품리스트!$A$2:$J$1000,10,FALSE)</f>
        <v>Acrylic Finisher HI-GLOSS 4oz</v>
      </c>
      <c r="R338" s="17">
        <f t="shared" si="25"/>
        <v>-44.090909090909093</v>
      </c>
      <c r="S338" s="19">
        <f t="shared" si="26"/>
        <v>3.6742424242424243</v>
      </c>
      <c r="T338" s="21">
        <f t="shared" si="27"/>
        <v>11.022727272727273</v>
      </c>
      <c r="U338" s="19" t="e">
        <f>VLOOKUP(B338,[1]재고수량!$A$13:$D$651,3,FALSE)</f>
        <v>#N/A</v>
      </c>
      <c r="V338" s="21" t="e">
        <f t="shared" si="28"/>
        <v>#N/A</v>
      </c>
      <c r="X338">
        <f>VLOOKUP(B338,[1]제품리스트!$A$2:$F$1110,5,FALSE)</f>
        <v>22.2</v>
      </c>
      <c r="Y338" s="19">
        <f t="shared" si="29"/>
        <v>0</v>
      </c>
    </row>
    <row r="339" spans="1:25" hidden="1" x14ac:dyDescent="0.3">
      <c r="A339" s="5"/>
      <c r="B339" s="6">
        <v>61504000</v>
      </c>
      <c r="C339" t="s">
        <v>374</v>
      </c>
      <c r="D339" s="7">
        <v>-28</v>
      </c>
      <c r="E339" s="8">
        <v>-44</v>
      </c>
      <c r="F339" s="8">
        <v>-8</v>
      </c>
      <c r="G339" s="8">
        <v>0</v>
      </c>
      <c r="H339" s="8">
        <v>-67</v>
      </c>
      <c r="I339" s="8">
        <v>-43</v>
      </c>
      <c r="J339" s="8">
        <v>-90</v>
      </c>
      <c r="K339" s="8">
        <v>-114</v>
      </c>
      <c r="L339" s="8">
        <v>-43</v>
      </c>
      <c r="M339" s="8">
        <v>-28</v>
      </c>
      <c r="N339" s="8">
        <v>-52</v>
      </c>
      <c r="O339" s="8"/>
      <c r="P339" s="8">
        <v>-517</v>
      </c>
      <c r="Q339" s="23" t="str">
        <f>VLOOKUP(B339,[1]제품리스트!$A$2:$J$1000,10,FALSE)</f>
        <v>Satin Acrylic Finisher HI-GLOSS 4oz</v>
      </c>
      <c r="R339" s="17">
        <f t="shared" si="25"/>
        <v>-47</v>
      </c>
      <c r="S339" s="19">
        <f t="shared" si="26"/>
        <v>3.9166666666666665</v>
      </c>
      <c r="T339" s="21">
        <f t="shared" si="27"/>
        <v>11.75</v>
      </c>
      <c r="U339" s="19" t="e">
        <f>VLOOKUP(B339,[1]재고수량!$A$13:$D$651,3,FALSE)</f>
        <v>#N/A</v>
      </c>
      <c r="V339" s="21" t="e">
        <f t="shared" si="28"/>
        <v>#N/A</v>
      </c>
      <c r="X339">
        <f>VLOOKUP(B339,[1]제품리스트!$A$2:$F$1110,5,FALSE)</f>
        <v>22.2</v>
      </c>
      <c r="Y339" s="19">
        <f t="shared" si="29"/>
        <v>0</v>
      </c>
    </row>
    <row r="340" spans="1:25" x14ac:dyDescent="0.3">
      <c r="A340" s="9"/>
      <c r="B340" s="10">
        <v>62004000</v>
      </c>
      <c r="C340" t="s">
        <v>375</v>
      </c>
      <c r="D340" s="7">
        <v>-242</v>
      </c>
      <c r="E340" s="8">
        <v>-361</v>
      </c>
      <c r="F340" s="8">
        <v>-496</v>
      </c>
      <c r="G340" s="8">
        <v>-481</v>
      </c>
      <c r="H340" s="8">
        <v>-281</v>
      </c>
      <c r="I340" s="8">
        <v>-264</v>
      </c>
      <c r="J340" s="8">
        <v>-726</v>
      </c>
      <c r="K340" s="8">
        <v>-431</v>
      </c>
      <c r="L340" s="8">
        <v>-376</v>
      </c>
      <c r="M340" s="8">
        <v>-207</v>
      </c>
      <c r="N340" s="8">
        <v>-201</v>
      </c>
      <c r="O340" s="8"/>
      <c r="P340" s="8">
        <v>-4066</v>
      </c>
      <c r="Q340" s="23" t="str">
        <f>VLOOKUP(B340,[1]제품리스트!$A$2:$J$1000,10,FALSE)</f>
        <v>Acrylic Finisher Matte 4 oz.</v>
      </c>
      <c r="R340" s="17">
        <f t="shared" si="25"/>
        <v>-369.63636363636363</v>
      </c>
      <c r="S340" s="19">
        <f t="shared" si="26"/>
        <v>30.803030303030301</v>
      </c>
      <c r="T340" s="21">
        <f t="shared" si="27"/>
        <v>92.409090909090907</v>
      </c>
      <c r="U340" s="19" t="e">
        <f>VLOOKUP(B340,[1]재고수량!$A$13:$D$651,3,FALSE)</f>
        <v>#N/A</v>
      </c>
      <c r="V340" s="21" t="e">
        <f t="shared" si="28"/>
        <v>#N/A</v>
      </c>
      <c r="W340">
        <v>100</v>
      </c>
      <c r="X340">
        <f>VLOOKUP(B340,[1]제품리스트!$A$2:$F$1110,5,FALSE)</f>
        <v>22.2</v>
      </c>
      <c r="Y340" s="19">
        <f t="shared" si="29"/>
        <v>2220</v>
      </c>
    </row>
    <row r="341" spans="1:25" x14ac:dyDescent="0.3">
      <c r="A341" s="5" t="s">
        <v>376</v>
      </c>
      <c r="B341" s="6">
        <v>60001000</v>
      </c>
      <c r="C341" t="s">
        <v>377</v>
      </c>
      <c r="D341" s="7">
        <v>-130</v>
      </c>
      <c r="E341" s="8">
        <v>-123</v>
      </c>
      <c r="F341" s="8">
        <v>-186</v>
      </c>
      <c r="G341" s="8">
        <v>-201</v>
      </c>
      <c r="H341" s="8">
        <v>-142</v>
      </c>
      <c r="I341" s="8">
        <v>-38</v>
      </c>
      <c r="J341" s="8">
        <v>-188</v>
      </c>
      <c r="K341" s="8">
        <v>-198</v>
      </c>
      <c r="L341" s="8">
        <v>-173</v>
      </c>
      <c r="M341" s="8">
        <v>-210</v>
      </c>
      <c r="N341" s="8">
        <v>-124</v>
      </c>
      <c r="O341" s="8"/>
      <c r="P341" s="8">
        <v>-1713</v>
      </c>
      <c r="Q341" s="23" t="str">
        <f>VLOOKUP(B341,[1]제품리스트!$A$2:$J$1000,10,FALSE)</f>
        <v>Acrylic Finisher 1 oz.</v>
      </c>
      <c r="R341" s="17">
        <f t="shared" si="25"/>
        <v>-155.72727272727272</v>
      </c>
      <c r="S341" s="19">
        <f t="shared" si="26"/>
        <v>12.977272727272727</v>
      </c>
      <c r="T341" s="21">
        <f t="shared" si="27"/>
        <v>38.93181818181818</v>
      </c>
      <c r="U341" s="19" t="e">
        <f>VLOOKUP(B341,[1]재고수량!$A$13:$D$651,3,FALSE)</f>
        <v>#N/A</v>
      </c>
      <c r="V341" s="21" t="e">
        <f t="shared" si="28"/>
        <v>#N/A</v>
      </c>
      <c r="W341">
        <v>40</v>
      </c>
      <c r="X341">
        <f>VLOOKUP(B341,[1]제품리스트!$A$2:$F$1110,5,FALSE)</f>
        <v>22.2</v>
      </c>
      <c r="Y341" s="19">
        <f t="shared" si="29"/>
        <v>888</v>
      </c>
    </row>
    <row r="342" spans="1:25" x14ac:dyDescent="0.3">
      <c r="A342" s="5"/>
      <c r="B342" s="6">
        <v>60501000</v>
      </c>
      <c r="C342" t="s">
        <v>378</v>
      </c>
      <c r="D342" s="7">
        <v>-57</v>
      </c>
      <c r="E342" s="8">
        <v>-42</v>
      </c>
      <c r="F342" s="8">
        <v>-80</v>
      </c>
      <c r="G342" s="8">
        <v>-43</v>
      </c>
      <c r="H342" s="8">
        <v>-45</v>
      </c>
      <c r="I342" s="8">
        <v>-70</v>
      </c>
      <c r="J342" s="8">
        <v>-123</v>
      </c>
      <c r="K342" s="8">
        <v>-86</v>
      </c>
      <c r="L342" s="8">
        <v>-73</v>
      </c>
      <c r="M342" s="8">
        <v>-138</v>
      </c>
      <c r="N342" s="8">
        <v>-54</v>
      </c>
      <c r="O342" s="8"/>
      <c r="P342" s="8">
        <v>-811</v>
      </c>
      <c r="Q342" s="23" t="str">
        <f>VLOOKUP(B342,[1]제품리스트!$A$2:$J$1000,10,FALSE)</f>
        <v>Satin Acrylic Finisher 1 oz</v>
      </c>
      <c r="R342" s="17">
        <f t="shared" si="25"/>
        <v>-73.727272727272734</v>
      </c>
      <c r="S342" s="19">
        <f t="shared" si="26"/>
        <v>6.1439393939393945</v>
      </c>
      <c r="T342" s="21">
        <f t="shared" si="27"/>
        <v>18.431818181818183</v>
      </c>
      <c r="U342" s="19" t="e">
        <f>VLOOKUP(B342,[1]재고수량!$A$13:$D$651,3,FALSE)</f>
        <v>#N/A</v>
      </c>
      <c r="V342" s="21" t="e">
        <f t="shared" si="28"/>
        <v>#N/A</v>
      </c>
      <c r="W342">
        <v>30</v>
      </c>
      <c r="X342">
        <f>VLOOKUP(B342,[1]제품리스트!$A$2:$F$1110,5,FALSE)</f>
        <v>22.2</v>
      </c>
      <c r="Y342" s="19">
        <f t="shared" si="29"/>
        <v>666</v>
      </c>
    </row>
    <row r="343" spans="1:25" hidden="1" x14ac:dyDescent="0.3">
      <c r="A343" s="5"/>
      <c r="B343" s="6">
        <v>61001000</v>
      </c>
      <c r="C343" t="s">
        <v>379</v>
      </c>
      <c r="D343" s="7">
        <v>-16</v>
      </c>
      <c r="E343" s="8">
        <v>-18</v>
      </c>
      <c r="F343" s="8">
        <v>-11</v>
      </c>
      <c r="G343" s="8">
        <v>-23</v>
      </c>
      <c r="H343" s="8">
        <v>-4</v>
      </c>
      <c r="I343" s="8">
        <v>-28</v>
      </c>
      <c r="J343" s="8">
        <v>-39</v>
      </c>
      <c r="K343" s="8">
        <v>-16</v>
      </c>
      <c r="L343" s="8">
        <v>-5</v>
      </c>
      <c r="M343" s="8">
        <v>-7</v>
      </c>
      <c r="N343" s="8">
        <v>-33</v>
      </c>
      <c r="O343" s="8"/>
      <c r="P343" s="8">
        <v>-200</v>
      </c>
      <c r="Q343" s="23" t="str">
        <f>VLOOKUP(B343,[1]제품리스트!$A$2:$J$1000,10,FALSE)</f>
        <v>High Gloss Acrylic Finisher 1oz.</v>
      </c>
      <c r="R343" s="17">
        <f t="shared" si="25"/>
        <v>-18.181818181818183</v>
      </c>
      <c r="S343" s="19">
        <f t="shared" si="26"/>
        <v>1.5151515151515154</v>
      </c>
      <c r="T343" s="21">
        <f t="shared" si="27"/>
        <v>4.5454545454545459</v>
      </c>
      <c r="U343" s="19" t="e">
        <f>VLOOKUP(B343,[1]재고수량!$A$13:$D$651,3,FALSE)</f>
        <v>#N/A</v>
      </c>
      <c r="V343" s="21" t="e">
        <f t="shared" si="28"/>
        <v>#N/A</v>
      </c>
      <c r="X343">
        <f>VLOOKUP(B343,[1]제품리스트!$A$2:$F$1110,5,FALSE)</f>
        <v>22.2</v>
      </c>
      <c r="Y343" s="19">
        <f t="shared" si="29"/>
        <v>0</v>
      </c>
    </row>
    <row r="344" spans="1:25" hidden="1" x14ac:dyDescent="0.3">
      <c r="A344" s="5"/>
      <c r="B344" s="6">
        <v>61501000</v>
      </c>
      <c r="C344" t="s">
        <v>380</v>
      </c>
      <c r="D344" s="7">
        <v>-17</v>
      </c>
      <c r="E344" s="8">
        <v>-20</v>
      </c>
      <c r="F344" s="8">
        <v>-7</v>
      </c>
      <c r="G344" s="8">
        <v>-30</v>
      </c>
      <c r="H344" s="8">
        <v>-14</v>
      </c>
      <c r="I344" s="8">
        <v>-17</v>
      </c>
      <c r="J344" s="8">
        <v>-63</v>
      </c>
      <c r="K344" s="8">
        <v>-22</v>
      </c>
      <c r="L344" s="8">
        <v>-58</v>
      </c>
      <c r="M344" s="8">
        <v>-28</v>
      </c>
      <c r="N344" s="8">
        <v>-24</v>
      </c>
      <c r="O344" s="8"/>
      <c r="P344" s="8">
        <v>-300</v>
      </c>
      <c r="Q344" s="23" t="str">
        <f>VLOOKUP(B344,[1]제품리스트!$A$2:$J$1000,10,FALSE)</f>
        <v>Satin Hi-Gloss Acrylic Finish 1 oz.</v>
      </c>
      <c r="R344" s="17">
        <f t="shared" si="25"/>
        <v>-27.272727272727273</v>
      </c>
      <c r="S344" s="19">
        <f t="shared" si="26"/>
        <v>2.2727272727272729</v>
      </c>
      <c r="T344" s="21">
        <f t="shared" si="27"/>
        <v>6.8181818181818183</v>
      </c>
      <c r="U344" s="19" t="e">
        <f>VLOOKUP(B344,[1]재고수량!$A$13:$D$651,3,FALSE)</f>
        <v>#N/A</v>
      </c>
      <c r="V344" s="21" t="e">
        <f t="shared" si="28"/>
        <v>#N/A</v>
      </c>
      <c r="X344">
        <f>VLOOKUP(B344,[1]제품리스트!$A$2:$F$1110,5,FALSE)</f>
        <v>22.2</v>
      </c>
      <c r="Y344" s="19">
        <f t="shared" si="29"/>
        <v>0</v>
      </c>
    </row>
    <row r="345" spans="1:25" x14ac:dyDescent="0.3">
      <c r="A345" s="9"/>
      <c r="B345" s="6">
        <v>62001000</v>
      </c>
      <c r="C345" t="s">
        <v>381</v>
      </c>
      <c r="D345" s="7">
        <v>-282</v>
      </c>
      <c r="E345" s="8">
        <v>-251</v>
      </c>
      <c r="F345" s="8">
        <v>-360</v>
      </c>
      <c r="G345" s="8">
        <v>-289</v>
      </c>
      <c r="H345" s="8">
        <v>-295</v>
      </c>
      <c r="I345" s="8">
        <v>-162</v>
      </c>
      <c r="J345" s="8">
        <v>-349</v>
      </c>
      <c r="K345" s="8">
        <v>-343</v>
      </c>
      <c r="L345" s="8">
        <v>-332</v>
      </c>
      <c r="M345" s="8">
        <v>-289</v>
      </c>
      <c r="N345" s="8">
        <v>-167</v>
      </c>
      <c r="O345" s="8"/>
      <c r="P345" s="8">
        <v>-3119</v>
      </c>
      <c r="Q345" s="23" t="str">
        <f>VLOOKUP(B345,[1]제품리스트!$A$2:$J$1000,10,FALSE)</f>
        <v>Matte Acrylic Finisher 1 oz.</v>
      </c>
      <c r="R345" s="17">
        <f t="shared" si="25"/>
        <v>-283.54545454545456</v>
      </c>
      <c r="S345" s="19">
        <f t="shared" si="26"/>
        <v>23.628787878787879</v>
      </c>
      <c r="T345" s="21">
        <f t="shared" si="27"/>
        <v>70.88636363636364</v>
      </c>
      <c r="U345" s="19" t="e">
        <f>VLOOKUP(B345,[1]재고수량!$A$13:$D$651,3,FALSE)</f>
        <v>#N/A</v>
      </c>
      <c r="V345" s="21" t="e">
        <f t="shared" si="28"/>
        <v>#N/A</v>
      </c>
      <c r="W345">
        <v>100</v>
      </c>
      <c r="X345">
        <f>VLOOKUP(B345,[1]제품리스트!$A$2:$F$1110,5,FALSE)</f>
        <v>22.2</v>
      </c>
      <c r="Y345" s="19">
        <f t="shared" si="29"/>
        <v>2220</v>
      </c>
    </row>
    <row r="346" spans="1:25" x14ac:dyDescent="0.3">
      <c r="A346" s="5" t="s">
        <v>382</v>
      </c>
      <c r="B346" s="10">
        <v>84008000</v>
      </c>
      <c r="C346" s="11" t="s">
        <v>383</v>
      </c>
      <c r="D346" s="7">
        <v>-49</v>
      </c>
      <c r="E346" s="8">
        <v>-68</v>
      </c>
      <c r="F346" s="8">
        <v>-99</v>
      </c>
      <c r="G346" s="8">
        <v>-55</v>
      </c>
      <c r="H346" s="8">
        <v>-105</v>
      </c>
      <c r="I346" s="8">
        <v>-6</v>
      </c>
      <c r="J346" s="8">
        <v>-23</v>
      </c>
      <c r="K346" s="8">
        <v>-102</v>
      </c>
      <c r="L346" s="8">
        <v>-51</v>
      </c>
      <c r="M346" s="8">
        <v>-64</v>
      </c>
      <c r="N346" s="8">
        <v>-21</v>
      </c>
      <c r="O346" s="8"/>
      <c r="P346" s="8">
        <v>-643</v>
      </c>
      <c r="Q346" s="23" t="str">
        <f>VLOOKUP(B346,[1]제품리스트!$A$2:$J$1000,10,FALSE)</f>
        <v>Easy Cleaner 8 oz</v>
      </c>
      <c r="R346" s="17">
        <f t="shared" si="25"/>
        <v>-58.454545454545453</v>
      </c>
      <c r="S346" s="19">
        <f t="shared" si="26"/>
        <v>4.8712121212121211</v>
      </c>
      <c r="T346" s="21">
        <f t="shared" si="27"/>
        <v>14.613636363636363</v>
      </c>
      <c r="U346" s="19" t="e">
        <f>VLOOKUP(B346,[1]재고수량!$A$13:$D$651,3,FALSE)</f>
        <v>#N/A</v>
      </c>
      <c r="V346" s="21" t="e">
        <f t="shared" si="28"/>
        <v>#N/A</v>
      </c>
      <c r="W346">
        <v>20</v>
      </c>
      <c r="X346">
        <f>VLOOKUP(B346,[1]제품리스트!$A$2:$F$1110,5,FALSE)</f>
        <v>19.2</v>
      </c>
      <c r="Y346" s="19">
        <f t="shared" si="29"/>
        <v>384</v>
      </c>
    </row>
    <row r="347" spans="1:25" hidden="1" x14ac:dyDescent="0.3">
      <c r="A347" s="5"/>
      <c r="B347" s="6">
        <v>84205000</v>
      </c>
      <c r="C347" t="s">
        <v>384</v>
      </c>
      <c r="D347" s="7">
        <v>-22</v>
      </c>
      <c r="E347" s="8">
        <v>-36</v>
      </c>
      <c r="F347" s="8">
        <v>-20</v>
      </c>
      <c r="G347" s="8">
        <v>-29</v>
      </c>
      <c r="H347" s="8">
        <v>-28</v>
      </c>
      <c r="I347" s="8">
        <v>-25</v>
      </c>
      <c r="J347" s="8">
        <v>-1</v>
      </c>
      <c r="K347" s="8">
        <v>-6</v>
      </c>
      <c r="L347" s="8">
        <v>-1</v>
      </c>
      <c r="M347" s="8">
        <v>-35</v>
      </c>
      <c r="N347" s="8">
        <v>-19</v>
      </c>
      <c r="O347" s="8"/>
      <c r="P347" s="8">
        <v>-222</v>
      </c>
      <c r="Q347" s="23" t="str">
        <f>VLOOKUP(B347,[1]제품리스트!$A$2:$J$1000,10,FALSE)</f>
        <v>Foam Tex 5oz</v>
      </c>
      <c r="R347" s="17">
        <f t="shared" si="25"/>
        <v>-20.181818181818183</v>
      </c>
      <c r="S347" s="19">
        <f t="shared" si="26"/>
        <v>1.6818181818181819</v>
      </c>
      <c r="T347" s="21">
        <f t="shared" si="27"/>
        <v>5.0454545454545459</v>
      </c>
      <c r="U347" s="19" t="e">
        <f>VLOOKUP(B347,[1]재고수량!$A$13:$D$651,3,FALSE)</f>
        <v>#N/A</v>
      </c>
      <c r="V347" s="21" t="e">
        <f t="shared" si="28"/>
        <v>#N/A</v>
      </c>
      <c r="X347">
        <f>VLOOKUP(B347,[1]제품리스트!$A$2:$F$1110,5,FALSE)</f>
        <v>13.2</v>
      </c>
      <c r="Y347" s="19">
        <f t="shared" si="29"/>
        <v>0</v>
      </c>
    </row>
    <row r="348" spans="1:25" hidden="1" x14ac:dyDescent="0.3">
      <c r="A348" s="5"/>
      <c r="B348" s="6">
        <v>85205000</v>
      </c>
      <c r="C348" t="s">
        <v>385</v>
      </c>
      <c r="D348" s="7"/>
      <c r="E348" s="8"/>
      <c r="F348" s="8">
        <v>-2</v>
      </c>
      <c r="G348" s="8">
        <v>-6</v>
      </c>
      <c r="H348" s="8">
        <v>-24</v>
      </c>
      <c r="I348" s="8"/>
      <c r="J348" s="8">
        <v>-3</v>
      </c>
      <c r="K348" s="8"/>
      <c r="L348" s="8"/>
      <c r="M348" s="8">
        <v>-3</v>
      </c>
      <c r="N348" s="8">
        <v>-11</v>
      </c>
      <c r="O348" s="8"/>
      <c r="P348" s="8">
        <v>-49</v>
      </c>
      <c r="Q348" s="23" t="str">
        <f>VLOOKUP(B348,[1]제품리스트!$A$2:$J$1000,10,FALSE)</f>
        <v>Boot Spray 5.5 oz</v>
      </c>
      <c r="R348" s="17">
        <f t="shared" si="25"/>
        <v>-4.4545454545454541</v>
      </c>
      <c r="S348" s="19">
        <f t="shared" si="26"/>
        <v>0.37121212121212116</v>
      </c>
      <c r="T348" s="21">
        <f t="shared" si="27"/>
        <v>1.1136363636363635</v>
      </c>
      <c r="U348" s="19" t="e">
        <f>VLOOKUP(B348,[1]재고수량!$A$13:$D$651,3,FALSE)</f>
        <v>#N/A</v>
      </c>
      <c r="V348" s="21" t="e">
        <f t="shared" si="28"/>
        <v>#N/A</v>
      </c>
      <c r="X348">
        <f>VLOOKUP(B348,[1]제품리스트!$A$2:$F$1110,5,FALSE)</f>
        <v>28</v>
      </c>
      <c r="Y348" s="19">
        <f t="shared" si="29"/>
        <v>0</v>
      </c>
    </row>
    <row r="349" spans="1:25" x14ac:dyDescent="0.3">
      <c r="A349" s="5"/>
      <c r="B349" s="6" t="s">
        <v>386</v>
      </c>
      <c r="C349" t="s">
        <v>387</v>
      </c>
      <c r="D349" s="7">
        <v>0</v>
      </c>
      <c r="E349" s="8"/>
      <c r="F349" s="8">
        <v>-76</v>
      </c>
      <c r="G349" s="8">
        <v>-49</v>
      </c>
      <c r="H349" s="8">
        <v>-48</v>
      </c>
      <c r="I349" s="8">
        <v>-29</v>
      </c>
      <c r="J349" s="8">
        <v>-9</v>
      </c>
      <c r="K349" s="8">
        <v>-25</v>
      </c>
      <c r="L349" s="8">
        <v>-11</v>
      </c>
      <c r="M349" s="8">
        <v>-15</v>
      </c>
      <c r="N349" s="8">
        <v>-11</v>
      </c>
      <c r="O349" s="8"/>
      <c r="P349" s="8">
        <v>-273</v>
      </c>
      <c r="Q349" s="23" t="str">
        <f>VLOOKUP(B349,[1]제품리스트!$A$2:$J$1000,10,FALSE)</f>
        <v>Easy Cleaner Kit 8 oz</v>
      </c>
      <c r="R349" s="17">
        <f t="shared" si="25"/>
        <v>-24.818181818181817</v>
      </c>
      <c r="S349" s="19">
        <f t="shared" si="26"/>
        <v>2.0681818181818179</v>
      </c>
      <c r="T349" s="21">
        <f t="shared" si="27"/>
        <v>6.2045454545454533</v>
      </c>
      <c r="U349" s="19" t="e">
        <f>VLOOKUP(B349,[1]재고수량!$A$13:$D$651,3,FALSE)</f>
        <v>#N/A</v>
      </c>
      <c r="V349" s="21" t="e">
        <f t="shared" si="28"/>
        <v>#N/A</v>
      </c>
      <c r="W349">
        <v>20</v>
      </c>
      <c r="X349">
        <f>VLOOKUP(B349,[1]제품리스트!$A$2:$F$1110,5,FALSE)</f>
        <v>5</v>
      </c>
      <c r="Y349" s="19">
        <f t="shared" si="29"/>
        <v>100</v>
      </c>
    </row>
    <row r="350" spans="1:25" x14ac:dyDescent="0.3">
      <c r="A350" s="5"/>
      <c r="B350" s="6" t="s">
        <v>388</v>
      </c>
      <c r="C350" t="s">
        <v>389</v>
      </c>
      <c r="D350" s="7">
        <v>-6</v>
      </c>
      <c r="E350" s="8">
        <v>-3</v>
      </c>
      <c r="F350" s="8">
        <v>-44</v>
      </c>
      <c r="G350" s="8">
        <v>-22</v>
      </c>
      <c r="H350" s="8">
        <v>-19</v>
      </c>
      <c r="I350" s="8">
        <v>-16</v>
      </c>
      <c r="J350" s="8">
        <v>-12</v>
      </c>
      <c r="K350" s="8">
        <v>-15</v>
      </c>
      <c r="L350" s="8">
        <v>-17</v>
      </c>
      <c r="M350" s="8">
        <v>-16</v>
      </c>
      <c r="N350" s="8">
        <v>-6</v>
      </c>
      <c r="O350" s="8"/>
      <c r="P350" s="8">
        <v>-176</v>
      </c>
      <c r="Q350" s="23" t="str">
        <f>VLOOKUP(B350,[1]제품리스트!$A$2:$J$1000,10,FALSE)</f>
        <v>Foam Tex Kit</v>
      </c>
      <c r="R350" s="17">
        <f t="shared" si="25"/>
        <v>-16</v>
      </c>
      <c r="S350" s="19">
        <f t="shared" si="26"/>
        <v>1.3333333333333333</v>
      </c>
      <c r="T350" s="21">
        <f t="shared" si="27"/>
        <v>4</v>
      </c>
      <c r="U350" s="19" t="e">
        <f>VLOOKUP(B350,[1]재고수량!$A$13:$D$651,3,FALSE)</f>
        <v>#N/A</v>
      </c>
      <c r="V350" s="21" t="e">
        <f t="shared" si="28"/>
        <v>#N/A</v>
      </c>
      <c r="W350">
        <v>20</v>
      </c>
      <c r="X350">
        <f>VLOOKUP(B350,[1]제품리스트!$A$2:$F$1110,5,FALSE)</f>
        <v>6.5</v>
      </c>
      <c r="Y350" s="19">
        <f t="shared" si="29"/>
        <v>130</v>
      </c>
    </row>
    <row r="351" spans="1:25" x14ac:dyDescent="0.3">
      <c r="A351" s="5"/>
      <c r="B351" s="6" t="s">
        <v>390</v>
      </c>
      <c r="C351" t="s">
        <v>391</v>
      </c>
      <c r="D351" s="7">
        <v>0</v>
      </c>
      <c r="E351" s="8">
        <v>-4</v>
      </c>
      <c r="F351" s="8">
        <v>-8</v>
      </c>
      <c r="G351" s="8"/>
      <c r="H351" s="8"/>
      <c r="I351" s="8">
        <v>0</v>
      </c>
      <c r="J351" s="8">
        <v>0</v>
      </c>
      <c r="K351" s="8">
        <v>-7</v>
      </c>
      <c r="L351" s="8">
        <v>-13</v>
      </c>
      <c r="M351" s="8">
        <v>-35</v>
      </c>
      <c r="N351" s="8">
        <v>-16</v>
      </c>
      <c r="O351" s="8"/>
      <c r="P351" s="8">
        <v>-83</v>
      </c>
      <c r="Q351" s="23" t="s">
        <v>485</v>
      </c>
      <c r="R351" s="17">
        <f t="shared" si="25"/>
        <v>-7.5454545454545459</v>
      </c>
      <c r="S351" s="19">
        <f t="shared" si="26"/>
        <v>0.62878787878787878</v>
      </c>
      <c r="T351" s="21">
        <f t="shared" si="27"/>
        <v>1.8863636363636362</v>
      </c>
      <c r="U351" s="19" t="e">
        <f>VLOOKUP(B351,[1]재고수량!$A$13:$D$651,3,FALSE)</f>
        <v>#N/A</v>
      </c>
      <c r="V351" s="21" t="e">
        <f t="shared" si="28"/>
        <v>#N/A</v>
      </c>
      <c r="W351">
        <v>10</v>
      </c>
      <c r="X351">
        <f>VLOOKUP(B351,[1]제품리스트!$A$2:$F$1110,5,FALSE)</f>
        <v>26</v>
      </c>
      <c r="Y351" s="19">
        <f t="shared" si="29"/>
        <v>260</v>
      </c>
    </row>
    <row r="352" spans="1:25" x14ac:dyDescent="0.3">
      <c r="A352" s="9"/>
      <c r="B352" s="6" t="s">
        <v>392</v>
      </c>
      <c r="C352" t="s">
        <v>393</v>
      </c>
      <c r="D352" s="7">
        <v>-51</v>
      </c>
      <c r="E352" s="8">
        <v>-2</v>
      </c>
      <c r="F352" s="8">
        <v>-128</v>
      </c>
      <c r="G352" s="8">
        <v>-45</v>
      </c>
      <c r="H352" s="8">
        <v>-116</v>
      </c>
      <c r="I352" s="8">
        <v>-77</v>
      </c>
      <c r="J352" s="8">
        <v>-70</v>
      </c>
      <c r="K352" s="8">
        <v>-73</v>
      </c>
      <c r="L352" s="8">
        <v>-94</v>
      </c>
      <c r="M352" s="8">
        <v>-79</v>
      </c>
      <c r="N352" s="8">
        <v>-41</v>
      </c>
      <c r="O352" s="8"/>
      <c r="P352" s="8">
        <v>-776</v>
      </c>
      <c r="Q352" s="23" t="str">
        <f>VLOOKUP(B352,[1]제품리스트!$A$2:$J$1000,10,FALSE)</f>
        <v>Water &amp; Stain Repellant Aerosol</v>
      </c>
      <c r="R352" s="17">
        <f t="shared" si="25"/>
        <v>-70.545454545454547</v>
      </c>
      <c r="S352" s="19">
        <f t="shared" si="26"/>
        <v>5.8787878787878789</v>
      </c>
      <c r="T352" s="21">
        <f t="shared" si="27"/>
        <v>17.636363636363637</v>
      </c>
      <c r="U352" s="19" t="e">
        <f>VLOOKUP(B352,[1]재고수량!$A$13:$D$651,3,FALSE)</f>
        <v>#N/A</v>
      </c>
      <c r="V352" s="21" t="e">
        <f t="shared" si="28"/>
        <v>#N/A</v>
      </c>
      <c r="W352">
        <v>40</v>
      </c>
      <c r="X352">
        <f>VLOOKUP(B352,[1]제품리스트!$A$2:$F$1110,5,FALSE)</f>
        <v>26</v>
      </c>
      <c r="Y352" s="19">
        <f t="shared" si="29"/>
        <v>1040</v>
      </c>
    </row>
    <row r="353" spans="1:25" hidden="1" x14ac:dyDescent="0.3">
      <c r="A353" s="5" t="s">
        <v>394</v>
      </c>
      <c r="B353" s="6">
        <v>21004000</v>
      </c>
      <c r="C353" t="s">
        <v>395</v>
      </c>
      <c r="D353" s="7"/>
      <c r="E353" s="8">
        <v>0</v>
      </c>
      <c r="F353" s="8"/>
      <c r="G353" s="8"/>
      <c r="H353" s="8"/>
      <c r="I353" s="8"/>
      <c r="J353" s="8"/>
      <c r="K353" s="8"/>
      <c r="L353" s="8"/>
      <c r="M353" s="8">
        <v>0</v>
      </c>
      <c r="N353" s="8"/>
      <c r="O353" s="8"/>
      <c r="P353" s="8">
        <v>0</v>
      </c>
      <c r="Q353" s="23">
        <f>VLOOKUP(B353,[1]제품리스트!$A$2:$J$1000,10,FALSE)</f>
        <v>0</v>
      </c>
      <c r="R353" s="17">
        <f t="shared" si="25"/>
        <v>0</v>
      </c>
      <c r="S353" s="19">
        <f t="shared" si="26"/>
        <v>0</v>
      </c>
      <c r="T353" s="21">
        <f t="shared" si="27"/>
        <v>0</v>
      </c>
      <c r="U353" s="19" t="e">
        <f>VLOOKUP(B353,[1]재고수량!$A$13:$D$651,3,FALSE)</f>
        <v>#N/A</v>
      </c>
      <c r="V353" s="21" t="e">
        <f t="shared" si="28"/>
        <v>#N/A</v>
      </c>
      <c r="X353">
        <f>VLOOKUP(B353,[1]제품리스트!$A$2:$F$1110,5,FALSE)</f>
        <v>21</v>
      </c>
      <c r="Y353" s="19">
        <f t="shared" si="29"/>
        <v>0</v>
      </c>
    </row>
    <row r="354" spans="1:25" x14ac:dyDescent="0.3">
      <c r="A354" s="5"/>
      <c r="B354" s="6">
        <v>30203005</v>
      </c>
      <c r="C354" t="s">
        <v>396</v>
      </c>
      <c r="D354" s="7">
        <v>-11</v>
      </c>
      <c r="E354" s="8">
        <v>-120</v>
      </c>
      <c r="F354" s="8">
        <v>-153</v>
      </c>
      <c r="G354" s="8">
        <v>-103</v>
      </c>
      <c r="H354" s="8">
        <v>-158</v>
      </c>
      <c r="I354" s="8">
        <v>-115</v>
      </c>
      <c r="J354" s="8">
        <v>-89</v>
      </c>
      <c r="K354" s="8">
        <v>-44</v>
      </c>
      <c r="L354" s="8">
        <v>-78</v>
      </c>
      <c r="M354" s="8">
        <v>-59</v>
      </c>
      <c r="N354" s="8">
        <v>-116</v>
      </c>
      <c r="O354" s="8"/>
      <c r="P354" s="8">
        <v>-1046</v>
      </c>
      <c r="Q354" s="23" t="str">
        <f>VLOOKUP(B354,[1]제품리스트!$A$2:$J$1000,10,FALSE)</f>
        <v>WhiteApplicatorAceTopSupreme3 oz</v>
      </c>
      <c r="R354" s="17">
        <f t="shared" si="25"/>
        <v>-95.090909090909093</v>
      </c>
      <c r="S354" s="19">
        <f t="shared" si="26"/>
        <v>7.9242424242424248</v>
      </c>
      <c r="T354" s="21">
        <f t="shared" si="27"/>
        <v>23.772727272727273</v>
      </c>
      <c r="U354" s="19" t="e">
        <f>VLOOKUP(B354,[1]재고수량!$A$13:$D$651,3,FALSE)</f>
        <v>#N/A</v>
      </c>
      <c r="V354" s="21" t="e">
        <f t="shared" si="28"/>
        <v>#N/A</v>
      </c>
      <c r="W354">
        <v>40</v>
      </c>
      <c r="X354">
        <f>VLOOKUP(B354,[1]제품리스트!$A$2:$F$1110,5,FALSE)</f>
        <v>16.8</v>
      </c>
      <c r="Y354" s="19">
        <f t="shared" si="29"/>
        <v>672</v>
      </c>
    </row>
    <row r="355" spans="1:25" hidden="1" x14ac:dyDescent="0.3">
      <c r="A355" s="5"/>
      <c r="B355" s="6" t="s">
        <v>397</v>
      </c>
      <c r="C355" t="s">
        <v>398</v>
      </c>
      <c r="D355" s="7">
        <v>1</v>
      </c>
      <c r="E355" s="8">
        <v>-1</v>
      </c>
      <c r="F355" s="8"/>
      <c r="G355" s="8"/>
      <c r="H355" s="8"/>
      <c r="I355" s="8"/>
      <c r="J355" s="8"/>
      <c r="K355" s="8"/>
      <c r="L355" s="8">
        <v>-30</v>
      </c>
      <c r="M355" s="8"/>
      <c r="N355" s="8"/>
      <c r="O355" s="8"/>
      <c r="P355" s="8">
        <v>-30</v>
      </c>
      <c r="Q355" s="23" t="str">
        <f>VLOOKUP(B355,[1]제품리스트!$A$2:$J$1000,10,FALSE)</f>
        <v>Mink Oil 3 oz. Metal Tin</v>
      </c>
      <c r="R355" s="17">
        <f t="shared" si="25"/>
        <v>-2.7272727272727271</v>
      </c>
      <c r="S355" s="19">
        <f t="shared" si="26"/>
        <v>0.22727272727272727</v>
      </c>
      <c r="T355" s="21">
        <f t="shared" si="27"/>
        <v>0.68181818181818177</v>
      </c>
      <c r="U355" s="19" t="e">
        <f>VLOOKUP(B355,[1]재고수량!$A$13:$D$651,3,FALSE)</f>
        <v>#N/A</v>
      </c>
      <c r="V355" s="21" t="e">
        <f t="shared" si="28"/>
        <v>#N/A</v>
      </c>
      <c r="X355">
        <f>VLOOKUP(B355,[1]제품리스트!$A$2:$F$1110,5,FALSE)</f>
        <v>16.399999999999999</v>
      </c>
      <c r="Y355" s="19">
        <f t="shared" si="29"/>
        <v>0</v>
      </c>
    </row>
    <row r="356" spans="1:25" x14ac:dyDescent="0.3">
      <c r="A356" s="9"/>
      <c r="B356" s="6" t="s">
        <v>399</v>
      </c>
      <c r="C356" t="s">
        <v>398</v>
      </c>
      <c r="D356" s="7">
        <v>-29</v>
      </c>
      <c r="E356" s="8">
        <v>-51</v>
      </c>
      <c r="F356" s="8">
        <v>-78</v>
      </c>
      <c r="G356" s="8">
        <v>-40</v>
      </c>
      <c r="H356" s="8">
        <v>-23</v>
      </c>
      <c r="I356" s="8">
        <v>-64</v>
      </c>
      <c r="J356" s="8">
        <v>-18</v>
      </c>
      <c r="K356" s="8">
        <v>-107</v>
      </c>
      <c r="L356" s="8">
        <v>-66</v>
      </c>
      <c r="M356" s="8">
        <v>-28</v>
      </c>
      <c r="N356" s="8">
        <v>-124</v>
      </c>
      <c r="O356" s="8"/>
      <c r="P356" s="8">
        <v>-628</v>
      </c>
      <c r="Q356" s="23" t="str">
        <f>VLOOKUP(B356,[1]제품리스트!$A$2:$J$1000,10,FALSE)</f>
        <v>Mink Oil 3 oz. Metal Tin</v>
      </c>
      <c r="R356" s="17">
        <f t="shared" si="25"/>
        <v>-57.090909090909093</v>
      </c>
      <c r="S356" s="19">
        <f t="shared" si="26"/>
        <v>4.7575757575757578</v>
      </c>
      <c r="T356" s="21">
        <f t="shared" si="27"/>
        <v>14.272727272727273</v>
      </c>
      <c r="U356" s="19" t="e">
        <f>VLOOKUP(B356,[1]재고수량!$A$13:$D$651,3,FALSE)</f>
        <v>#N/A</v>
      </c>
      <c r="V356" s="21" t="e">
        <f t="shared" si="28"/>
        <v>#N/A</v>
      </c>
      <c r="W356">
        <v>20</v>
      </c>
      <c r="X356">
        <f>VLOOKUP(B356,[1]제품리스트!$A$2:$F$1110,5,FALSE)</f>
        <v>16.399999999999999</v>
      </c>
      <c r="Y356" s="19">
        <f t="shared" si="29"/>
        <v>328</v>
      </c>
    </row>
    <row r="357" spans="1:25" x14ac:dyDescent="0.3">
      <c r="A357" s="5" t="s">
        <v>400</v>
      </c>
      <c r="B357" s="6">
        <v>7995100</v>
      </c>
      <c r="C357" t="s">
        <v>401</v>
      </c>
      <c r="D357" s="7">
        <v>-25</v>
      </c>
      <c r="E357" s="8">
        <v>-1</v>
      </c>
      <c r="F357" s="8">
        <v>-194</v>
      </c>
      <c r="G357" s="8">
        <v>-45</v>
      </c>
      <c r="H357" s="8">
        <v>-119</v>
      </c>
      <c r="I357" s="8">
        <v>-92</v>
      </c>
      <c r="J357" s="8">
        <v>-176</v>
      </c>
      <c r="K357" s="8">
        <v>-76</v>
      </c>
      <c r="L357" s="8">
        <v>-119</v>
      </c>
      <c r="M357" s="8">
        <v>-51</v>
      </c>
      <c r="N357" s="8">
        <v>-2</v>
      </c>
      <c r="O357" s="8"/>
      <c r="P357" s="8">
        <v>-900</v>
      </c>
      <c r="Q357" s="23" t="str">
        <f>VLOOKUP(B357,[1]제품리스트!$A$2:$J$1000,10,FALSE)</f>
        <v>Angelus Paint Brush Set of Five</v>
      </c>
      <c r="R357" s="17">
        <f t="shared" si="25"/>
        <v>-81.818181818181813</v>
      </c>
      <c r="S357" s="19">
        <f t="shared" si="26"/>
        <v>6.8181818181818175</v>
      </c>
      <c r="T357" s="21">
        <f t="shared" si="27"/>
        <v>20.454545454545453</v>
      </c>
      <c r="U357" s="19" t="e">
        <f>VLOOKUP(B357,[1]재고수량!$A$13:$D$651,3,FALSE)</f>
        <v>#N/A</v>
      </c>
      <c r="V357" s="21" t="e">
        <f t="shared" si="28"/>
        <v>#N/A</v>
      </c>
      <c r="W357">
        <v>200</v>
      </c>
      <c r="X357">
        <f>VLOOKUP(B357,[1]제품리스트!$A$2:$F$1110,5,FALSE)</f>
        <v>3.5</v>
      </c>
      <c r="Y357" s="19">
        <f t="shared" si="29"/>
        <v>700</v>
      </c>
    </row>
    <row r="358" spans="1:25" x14ac:dyDescent="0.3">
      <c r="A358" s="5"/>
      <c r="B358" s="6">
        <v>7995101</v>
      </c>
      <c r="C358" t="s">
        <v>402</v>
      </c>
      <c r="D358" s="7">
        <v>-46</v>
      </c>
      <c r="E358" s="8">
        <v>-6</v>
      </c>
      <c r="F358" s="8">
        <v>-78</v>
      </c>
      <c r="G358" s="8">
        <v>-9</v>
      </c>
      <c r="H358" s="8">
        <v>-7</v>
      </c>
      <c r="I358" s="8">
        <v>-6</v>
      </c>
      <c r="J358" s="8">
        <v>-102</v>
      </c>
      <c r="K358" s="8">
        <v>-42</v>
      </c>
      <c r="L358" s="8">
        <v>-27</v>
      </c>
      <c r="M358" s="8">
        <v>-36</v>
      </c>
      <c r="N358" s="8">
        <v>-17</v>
      </c>
      <c r="O358" s="8"/>
      <c r="P358" s="8">
        <v>-376</v>
      </c>
      <c r="Q358" s="23" t="str">
        <f>VLOOKUP(B358,[1]제품리스트!$A$2:$J$1000,10,FALSE)</f>
        <v>Angelus Micro Detail Paint Brush Set of 5</v>
      </c>
      <c r="R358" s="17">
        <f t="shared" si="25"/>
        <v>-34.18181818181818</v>
      </c>
      <c r="S358" s="19">
        <f t="shared" si="26"/>
        <v>2.8484848484848482</v>
      </c>
      <c r="T358" s="21">
        <f t="shared" si="27"/>
        <v>8.545454545454545</v>
      </c>
      <c r="U358" s="19" t="e">
        <f>VLOOKUP(B358,[1]재고수량!$A$13:$D$651,3,FALSE)</f>
        <v>#N/A</v>
      </c>
      <c r="V358" s="21" t="e">
        <f t="shared" si="28"/>
        <v>#N/A</v>
      </c>
      <c r="W358">
        <v>100</v>
      </c>
      <c r="X358">
        <f>VLOOKUP(B358,[1]제품리스트!$A$2:$F$1110,5,FALSE)</f>
        <v>7.5</v>
      </c>
      <c r="Y358" s="19">
        <f t="shared" si="29"/>
        <v>750</v>
      </c>
    </row>
    <row r="359" spans="1:25" hidden="1" x14ac:dyDescent="0.3">
      <c r="A359" s="5"/>
      <c r="B359" s="6">
        <v>87504000</v>
      </c>
      <c r="C359" t="s">
        <v>403</v>
      </c>
      <c r="D359" s="7">
        <v>-2</v>
      </c>
      <c r="E359" s="8">
        <v>-7</v>
      </c>
      <c r="F359" s="8">
        <v>-13</v>
      </c>
      <c r="G359" s="8">
        <v>-4</v>
      </c>
      <c r="H359" s="8">
        <v>-10</v>
      </c>
      <c r="I359" s="8">
        <v>-5</v>
      </c>
      <c r="J359" s="8">
        <v>-3</v>
      </c>
      <c r="K359" s="8">
        <v>-2</v>
      </c>
      <c r="L359" s="8">
        <v>-4</v>
      </c>
      <c r="M359" s="8">
        <v>-3</v>
      </c>
      <c r="N359" s="8">
        <v>-2</v>
      </c>
      <c r="O359" s="8"/>
      <c r="P359" s="8">
        <v>-55</v>
      </c>
      <c r="Q359" s="23" t="str">
        <f>VLOOKUP(B359,[1]제품리스트!$A$2:$J$1000,10,FALSE)</f>
        <v>Deodorizer4 oz pump spray</v>
      </c>
      <c r="R359" s="17">
        <f t="shared" si="25"/>
        <v>-5</v>
      </c>
      <c r="S359" s="19">
        <f t="shared" si="26"/>
        <v>0.41666666666666669</v>
      </c>
      <c r="T359" s="21">
        <f t="shared" si="27"/>
        <v>1.25</v>
      </c>
      <c r="U359" s="19" t="e">
        <f>VLOOKUP(B359,[1]재고수량!$A$13:$D$651,3,FALSE)</f>
        <v>#N/A</v>
      </c>
      <c r="V359" s="21" t="e">
        <f t="shared" si="28"/>
        <v>#N/A</v>
      </c>
      <c r="X359">
        <f>VLOOKUP(B359,[1]제품리스트!$A$2:$F$1110,5,FALSE)</f>
        <v>1.7725</v>
      </c>
      <c r="Y359" s="19">
        <f t="shared" si="29"/>
        <v>0</v>
      </c>
    </row>
    <row r="360" spans="1:25" hidden="1" x14ac:dyDescent="0.3">
      <c r="A360" s="5"/>
      <c r="B360" s="6">
        <v>87604000</v>
      </c>
      <c r="C360" t="s">
        <v>404</v>
      </c>
      <c r="D360" s="7">
        <v>-5</v>
      </c>
      <c r="E360" s="8">
        <v>-4</v>
      </c>
      <c r="F360" s="8">
        <v>-126</v>
      </c>
      <c r="G360" s="8">
        <v>-87</v>
      </c>
      <c r="H360" s="8">
        <v>-36</v>
      </c>
      <c r="I360" s="8">
        <v>0</v>
      </c>
      <c r="J360" s="8">
        <v>-104</v>
      </c>
      <c r="K360" s="8">
        <v>-38</v>
      </c>
      <c r="L360" s="8">
        <v>-82</v>
      </c>
      <c r="M360" s="8">
        <v>-58</v>
      </c>
      <c r="N360" s="8">
        <v>-22</v>
      </c>
      <c r="O360" s="8"/>
      <c r="P360" s="8">
        <v>-562</v>
      </c>
      <c r="Q360" s="23" t="str">
        <f>VLOOKUP(B360,[1]제품리스트!$A$2:$J$1000,10,FALSE)</f>
        <v>Sole Bright 4 oz.Sole Restorer</v>
      </c>
      <c r="R360" s="17">
        <f t="shared" si="25"/>
        <v>-51.090909090909093</v>
      </c>
      <c r="S360" s="19">
        <f t="shared" si="26"/>
        <v>4.2575757575757578</v>
      </c>
      <c r="T360" s="21">
        <f t="shared" si="27"/>
        <v>12.772727272727273</v>
      </c>
      <c r="U360" s="19" t="e">
        <f>VLOOKUP(B360,[1]재고수량!$A$13:$D$651,3,FALSE)</f>
        <v>#N/A</v>
      </c>
      <c r="V360" s="21" t="e">
        <f t="shared" si="28"/>
        <v>#N/A</v>
      </c>
      <c r="X360">
        <f>VLOOKUP(B360,[1]제품리스트!$A$2:$F$1110,5,FALSE)</f>
        <v>48</v>
      </c>
      <c r="Y360" s="19">
        <f t="shared" si="29"/>
        <v>0</v>
      </c>
    </row>
    <row r="361" spans="1:25" hidden="1" x14ac:dyDescent="0.3">
      <c r="A361" s="5"/>
      <c r="B361" s="6">
        <v>89404000</v>
      </c>
      <c r="C361" t="s">
        <v>405</v>
      </c>
      <c r="D361" s="7">
        <v>-3</v>
      </c>
      <c r="E361" s="8">
        <v>-13</v>
      </c>
      <c r="F361" s="8">
        <v>-15</v>
      </c>
      <c r="G361" s="8">
        <v>-13</v>
      </c>
      <c r="H361" s="8">
        <v>-4</v>
      </c>
      <c r="I361" s="8">
        <v>-1</v>
      </c>
      <c r="J361" s="8">
        <v>-1</v>
      </c>
      <c r="K361" s="8">
        <v>-5</v>
      </c>
      <c r="L361" s="8">
        <v>-13</v>
      </c>
      <c r="M361" s="8">
        <v>-4</v>
      </c>
      <c r="N361" s="8"/>
      <c r="O361" s="8"/>
      <c r="P361" s="8">
        <v>-72</v>
      </c>
      <c r="Q361" s="23" t="str">
        <f>VLOOKUP(B361,[1]제품리스트!$A$2:$J$1000,10,FALSE)</f>
        <v>Angelus4 oz pumpSuedesprayRenew</v>
      </c>
      <c r="R361" s="17">
        <f t="shared" si="25"/>
        <v>-6.5454545454545459</v>
      </c>
      <c r="S361" s="19">
        <f t="shared" si="26"/>
        <v>0.54545454545454553</v>
      </c>
      <c r="T361" s="21">
        <f t="shared" si="27"/>
        <v>1.6363636363636367</v>
      </c>
      <c r="U361" s="19" t="e">
        <f>VLOOKUP(B361,[1]재고수량!$A$13:$D$651,3,FALSE)</f>
        <v>#N/A</v>
      </c>
      <c r="V361" s="21" t="e">
        <f t="shared" si="28"/>
        <v>#N/A</v>
      </c>
      <c r="X361">
        <f>VLOOKUP(B361,[1]제품리스트!$A$2:$F$1110,5,FALSE)</f>
        <v>1.5</v>
      </c>
      <c r="Y361" s="19">
        <f t="shared" si="29"/>
        <v>0</v>
      </c>
    </row>
    <row r="362" spans="1:25" hidden="1" x14ac:dyDescent="0.3">
      <c r="A362" s="5"/>
      <c r="B362" s="6" t="s">
        <v>406</v>
      </c>
      <c r="C362" t="s">
        <v>407</v>
      </c>
      <c r="D362" s="7">
        <v>-65</v>
      </c>
      <c r="E362" s="8">
        <v>-6</v>
      </c>
      <c r="F362" s="8">
        <v>-20</v>
      </c>
      <c r="G362" s="8">
        <v>-319</v>
      </c>
      <c r="H362" s="8">
        <v>-70</v>
      </c>
      <c r="I362" s="8">
        <v>-99</v>
      </c>
      <c r="J362" s="8">
        <v>-46</v>
      </c>
      <c r="K362" s="8">
        <v>0</v>
      </c>
      <c r="L362" s="8">
        <v>-32</v>
      </c>
      <c r="M362" s="8">
        <v>-61</v>
      </c>
      <c r="N362" s="8">
        <v>-61</v>
      </c>
      <c r="O362" s="8"/>
      <c r="P362" s="8">
        <v>-779</v>
      </c>
      <c r="Q362" s="23">
        <f>VLOOKUP(B362,[1]제품리스트!$A$2:$J$1000,10,FALSE)</f>
        <v>0</v>
      </c>
      <c r="R362" s="17">
        <f t="shared" si="25"/>
        <v>-70.818181818181813</v>
      </c>
      <c r="S362" s="19">
        <f t="shared" si="26"/>
        <v>5.9015151515151514</v>
      </c>
      <c r="T362" s="21">
        <f t="shared" si="27"/>
        <v>17.704545454545453</v>
      </c>
      <c r="U362" s="19" t="e">
        <f>VLOOKUP(B362,[1]재고수량!$A$13:$D$651,3,FALSE)</f>
        <v>#N/A</v>
      </c>
      <c r="V362" s="21" t="e">
        <f t="shared" si="28"/>
        <v>#N/A</v>
      </c>
      <c r="X362">
        <f>VLOOKUP(B362,[1]제품리스트!$A$2:$F$1110,5,FALSE)</f>
        <v>180</v>
      </c>
      <c r="Y362" s="19">
        <f t="shared" si="29"/>
        <v>0</v>
      </c>
    </row>
    <row r="363" spans="1:25" hidden="1" x14ac:dyDescent="0.3">
      <c r="A363" s="5"/>
      <c r="B363" s="6" t="s">
        <v>408</v>
      </c>
      <c r="C363" t="s">
        <v>409</v>
      </c>
      <c r="D363" s="7">
        <v>-3</v>
      </c>
      <c r="E363" s="8">
        <v>-6</v>
      </c>
      <c r="F363" s="8">
        <v>-6</v>
      </c>
      <c r="G363" s="8"/>
      <c r="H363" s="8">
        <v>0</v>
      </c>
      <c r="I363" s="8">
        <v>0</v>
      </c>
      <c r="J363" s="8">
        <v>-12</v>
      </c>
      <c r="K363" s="8">
        <v>-14</v>
      </c>
      <c r="L363" s="8">
        <v>-2</v>
      </c>
      <c r="M363" s="8">
        <v>-1</v>
      </c>
      <c r="N363" s="8">
        <v>-4</v>
      </c>
      <c r="O363" s="8"/>
      <c r="P363" s="8">
        <v>-48</v>
      </c>
      <c r="Q363" s="23" t="str">
        <f>VLOOKUP(B363,[1]제품리스트!$A$2:$J$1000,10,FALSE)</f>
        <v>DyelinerDye PenBroad Tip</v>
      </c>
      <c r="R363" s="17">
        <f t="shared" si="25"/>
        <v>-4.3636363636363633</v>
      </c>
      <c r="S363" s="19">
        <f t="shared" si="26"/>
        <v>0.36363636363636359</v>
      </c>
      <c r="T363" s="21">
        <f t="shared" si="27"/>
        <v>1.0909090909090908</v>
      </c>
      <c r="U363" s="19" t="e">
        <f>VLOOKUP(B363,[1]재고수량!$A$13:$D$651,3,FALSE)</f>
        <v>#N/A</v>
      </c>
      <c r="V363" s="21" t="e">
        <f t="shared" si="28"/>
        <v>#N/A</v>
      </c>
      <c r="X363">
        <f>VLOOKUP(B363,[1]제품리스트!$A$2:$F$1110,5,FALSE)</f>
        <v>2</v>
      </c>
      <c r="Y363" s="19">
        <f t="shared" si="29"/>
        <v>0</v>
      </c>
    </row>
    <row r="364" spans="1:25" hidden="1" x14ac:dyDescent="0.3">
      <c r="A364" s="5"/>
      <c r="B364" s="6" t="s">
        <v>410</v>
      </c>
      <c r="C364" t="s">
        <v>411</v>
      </c>
      <c r="D364" s="7">
        <v>-9</v>
      </c>
      <c r="E364" s="8">
        <v>-7</v>
      </c>
      <c r="F364" s="8">
        <v>-12</v>
      </c>
      <c r="G364" s="8">
        <v>-5</v>
      </c>
      <c r="H364" s="8">
        <v>-2</v>
      </c>
      <c r="I364" s="8">
        <v>0</v>
      </c>
      <c r="J364" s="8">
        <v>-24</v>
      </c>
      <c r="K364" s="8">
        <v>-16</v>
      </c>
      <c r="L364" s="8">
        <v>-1</v>
      </c>
      <c r="M364" s="8">
        <v>-4</v>
      </c>
      <c r="N364" s="8"/>
      <c r="O364" s="8"/>
      <c r="P364" s="8">
        <v>-80</v>
      </c>
      <c r="Q364" s="23" t="str">
        <f>VLOOKUP(B364,[1]제품리스트!$A$2:$J$1000,10,FALSE)</f>
        <v>DyelinerDye PenFine Tip</v>
      </c>
      <c r="R364" s="17">
        <f t="shared" si="25"/>
        <v>-7.2727272727272725</v>
      </c>
      <c r="S364" s="19">
        <f t="shared" si="26"/>
        <v>0.60606060606060608</v>
      </c>
      <c r="T364" s="21">
        <f t="shared" si="27"/>
        <v>1.8181818181818183</v>
      </c>
      <c r="U364" s="19" t="e">
        <f>VLOOKUP(B364,[1]재고수량!$A$13:$D$651,3,FALSE)</f>
        <v>#N/A</v>
      </c>
      <c r="V364" s="21" t="e">
        <f t="shared" si="28"/>
        <v>#N/A</v>
      </c>
      <c r="X364">
        <f>VLOOKUP(B364,[1]제품리스트!$A$2:$F$1110,5,FALSE)</f>
        <v>1.8</v>
      </c>
      <c r="Y364" s="19">
        <f t="shared" si="29"/>
        <v>0</v>
      </c>
    </row>
    <row r="365" spans="1:25" hidden="1" x14ac:dyDescent="0.3">
      <c r="A365" s="5"/>
      <c r="B365" s="6" t="s">
        <v>412</v>
      </c>
      <c r="C365" t="s">
        <v>413</v>
      </c>
      <c r="D365" s="7">
        <v>-16</v>
      </c>
      <c r="E365" s="8">
        <v>-18</v>
      </c>
      <c r="F365" s="8">
        <v>-28</v>
      </c>
      <c r="G365" s="8">
        <v>-11</v>
      </c>
      <c r="H365" s="8">
        <v>-19</v>
      </c>
      <c r="I365" s="8">
        <v>-13</v>
      </c>
      <c r="J365" s="8">
        <v>-41</v>
      </c>
      <c r="K365" s="8">
        <v>-12</v>
      </c>
      <c r="L365" s="8">
        <v>-17</v>
      </c>
      <c r="M365" s="8">
        <v>-13</v>
      </c>
      <c r="N365" s="8">
        <v>-2</v>
      </c>
      <c r="O365" s="8"/>
      <c r="P365" s="8">
        <v>-190</v>
      </c>
      <c r="Q365" s="23" t="str">
        <f>VLOOKUP(B365,[1]제품리스트!$A$2:$J$1000,10,FALSE)</f>
        <v>Angelus Empty Paint Marker SET- 3mm</v>
      </c>
      <c r="R365" s="17">
        <f t="shared" si="25"/>
        <v>-17.272727272727273</v>
      </c>
      <c r="S365" s="19">
        <f t="shared" si="26"/>
        <v>1.4393939393939394</v>
      </c>
      <c r="T365" s="21">
        <f t="shared" si="27"/>
        <v>4.3181818181818183</v>
      </c>
      <c r="U365" s="19" t="e">
        <f>VLOOKUP(B365,[1]재고수량!$A$13:$D$651,3,FALSE)</f>
        <v>#N/A</v>
      </c>
      <c r="V365" s="21" t="e">
        <f t="shared" si="28"/>
        <v>#N/A</v>
      </c>
      <c r="X365">
        <f>VLOOKUP(B365,[1]제품리스트!$A$2:$F$1110,5,FALSE)</f>
        <v>3.5</v>
      </c>
      <c r="Y365" s="19">
        <f t="shared" si="29"/>
        <v>0</v>
      </c>
    </row>
    <row r="366" spans="1:25" hidden="1" x14ac:dyDescent="0.3">
      <c r="A366" s="5"/>
      <c r="B366" s="6" t="s">
        <v>414</v>
      </c>
      <c r="C366" t="s">
        <v>415</v>
      </c>
      <c r="D366" s="7">
        <v>-9</v>
      </c>
      <c r="E366" s="8">
        <v>-1</v>
      </c>
      <c r="F366" s="8">
        <v>-17</v>
      </c>
      <c r="G366" s="8">
        <v>1</v>
      </c>
      <c r="H366" s="8">
        <v>-13</v>
      </c>
      <c r="I366" s="8">
        <v>-1</v>
      </c>
      <c r="J366" s="8">
        <v>-6</v>
      </c>
      <c r="K366" s="8">
        <v>-1</v>
      </c>
      <c r="L366" s="8">
        <v>-8</v>
      </c>
      <c r="M366" s="8">
        <v>-20</v>
      </c>
      <c r="N366" s="8">
        <v>-3</v>
      </c>
      <c r="O366" s="8"/>
      <c r="P366" s="8">
        <v>-78</v>
      </c>
      <c r="Q366" s="23" t="str">
        <f>VLOOKUP(B366,[1]제품리스트!$A$2:$J$1000,10,FALSE)</f>
        <v>Angelus Empty Paint Marker SET- 5mm</v>
      </c>
      <c r="R366" s="17">
        <f t="shared" si="25"/>
        <v>-7.0909090909090908</v>
      </c>
      <c r="S366" s="19">
        <f t="shared" si="26"/>
        <v>0.59090909090909094</v>
      </c>
      <c r="T366" s="21">
        <f t="shared" si="27"/>
        <v>1.7727272727272729</v>
      </c>
      <c r="U366" s="19" t="e">
        <f>VLOOKUP(B366,[1]재고수량!$A$13:$D$651,3,FALSE)</f>
        <v>#N/A</v>
      </c>
      <c r="V366" s="21" t="e">
        <f t="shared" si="28"/>
        <v>#N/A</v>
      </c>
      <c r="X366">
        <f>VLOOKUP(B366,[1]제품리스트!$A$2:$F$1110,5,FALSE)</f>
        <v>3.7</v>
      </c>
      <c r="Y366" s="19">
        <f t="shared" si="29"/>
        <v>0</v>
      </c>
    </row>
    <row r="367" spans="1:25" x14ac:dyDescent="0.3">
      <c r="A367" s="5"/>
      <c r="B367" s="6" t="s">
        <v>416</v>
      </c>
      <c r="C367" t="s">
        <v>417</v>
      </c>
      <c r="D367" s="7">
        <v>-47</v>
      </c>
      <c r="E367" s="8">
        <v>-95</v>
      </c>
      <c r="F367" s="8">
        <v>-183</v>
      </c>
      <c r="G367" s="8">
        <v>-114</v>
      </c>
      <c r="H367" s="8">
        <v>-73</v>
      </c>
      <c r="I367" s="8">
        <v>0</v>
      </c>
      <c r="J367" s="8">
        <v>-1</v>
      </c>
      <c r="K367" s="8">
        <v>-5</v>
      </c>
      <c r="L367" s="8">
        <v>0</v>
      </c>
      <c r="M367" s="8">
        <v>-49</v>
      </c>
      <c r="N367" s="8">
        <v>-11</v>
      </c>
      <c r="O367" s="8"/>
      <c r="P367" s="8">
        <v>-578</v>
      </c>
      <c r="Q367" s="23" t="str">
        <f>VLOOKUP(B367,[1]제품리스트!$A$2:$J$1000,10,FALSE)</f>
        <v>Nubuck and Suede Kit</v>
      </c>
      <c r="R367" s="17">
        <f t="shared" si="25"/>
        <v>-52.545454545454547</v>
      </c>
      <c r="S367" s="19">
        <f t="shared" si="26"/>
        <v>4.3787878787878789</v>
      </c>
      <c r="T367" s="21">
        <f t="shared" si="27"/>
        <v>13.136363636363637</v>
      </c>
      <c r="U367" s="19" t="e">
        <f>VLOOKUP(B367,[1]재고수량!$A$13:$D$651,3,FALSE)</f>
        <v>#N/A</v>
      </c>
      <c r="V367" s="21" t="e">
        <f t="shared" si="28"/>
        <v>#N/A</v>
      </c>
      <c r="W367">
        <v>360</v>
      </c>
      <c r="X367">
        <f>VLOOKUP(B367,[1]제품리스트!$A$2:$F$1110,5,FALSE)</f>
        <v>2</v>
      </c>
      <c r="Y367" s="19">
        <f t="shared" si="29"/>
        <v>720</v>
      </c>
    </row>
    <row r="368" spans="1:25" x14ac:dyDescent="0.3">
      <c r="A368" s="5"/>
      <c r="B368" s="6" t="s">
        <v>418</v>
      </c>
      <c r="C368" t="s">
        <v>419</v>
      </c>
      <c r="D368" s="7">
        <v>-19</v>
      </c>
      <c r="E368" s="8">
        <v>-19</v>
      </c>
      <c r="F368" s="8">
        <v>-51</v>
      </c>
      <c r="G368" s="8">
        <v>-38</v>
      </c>
      <c r="H368" s="8">
        <v>-28</v>
      </c>
      <c r="I368" s="8">
        <v>0</v>
      </c>
      <c r="J368" s="8">
        <v>-24</v>
      </c>
      <c r="K368" s="8">
        <v>-41</v>
      </c>
      <c r="L368" s="8">
        <v>-13</v>
      </c>
      <c r="M368" s="8">
        <v>-21</v>
      </c>
      <c r="N368" s="8">
        <v>-40</v>
      </c>
      <c r="O368" s="8"/>
      <c r="P368" s="8">
        <v>-294</v>
      </c>
      <c r="Q368" s="23" t="str">
        <f>VLOOKUP(B368,[1]제품리스트!$A$2:$J$1000,10,FALSE)</f>
        <v>Plastic Shoe Tree 6-13 Pair</v>
      </c>
      <c r="R368" s="17">
        <f t="shared" si="25"/>
        <v>-26.727272727272727</v>
      </c>
      <c r="S368" s="19">
        <f t="shared" si="26"/>
        <v>2.2272727272727271</v>
      </c>
      <c r="T368" s="21">
        <f t="shared" si="27"/>
        <v>6.6818181818181817</v>
      </c>
      <c r="U368" s="19" t="e">
        <f>VLOOKUP(B368,[1]재고수량!$A$13:$D$651,3,FALSE)</f>
        <v>#N/A</v>
      </c>
      <c r="V368" s="21" t="e">
        <f t="shared" si="28"/>
        <v>#N/A</v>
      </c>
      <c r="W368">
        <f>48*5</f>
        <v>240</v>
      </c>
      <c r="X368">
        <f>VLOOKUP(B368,[1]제품리스트!$A$2:$F$1110,5,FALSE)</f>
        <v>1.6</v>
      </c>
      <c r="Y368" s="19">
        <f t="shared" si="29"/>
        <v>384</v>
      </c>
    </row>
    <row r="369" spans="1:25" hidden="1" x14ac:dyDescent="0.3">
      <c r="A369" s="5"/>
      <c r="B369" s="6" t="s">
        <v>420</v>
      </c>
      <c r="C369" t="s">
        <v>421</v>
      </c>
      <c r="D369" s="7"/>
      <c r="E369" s="8">
        <v>0</v>
      </c>
      <c r="F369" s="8">
        <v>0</v>
      </c>
      <c r="G369" s="8">
        <v>0</v>
      </c>
      <c r="H369" s="8"/>
      <c r="I369" s="8"/>
      <c r="J369" s="8"/>
      <c r="K369" s="8"/>
      <c r="L369" s="8"/>
      <c r="M369" s="8"/>
      <c r="N369" s="8">
        <v>-12</v>
      </c>
      <c r="O369" s="8"/>
      <c r="P369" s="8">
        <v>-12</v>
      </c>
      <c r="Q369" s="23">
        <f>VLOOKUP(B369,[1]제품리스트!$A$2:$J$1000,10,FALSE)</f>
        <v>0</v>
      </c>
      <c r="R369" s="17">
        <f t="shared" si="25"/>
        <v>-1.0909090909090908</v>
      </c>
      <c r="S369" s="19">
        <f t="shared" si="26"/>
        <v>9.0909090909090898E-2</v>
      </c>
      <c r="T369" s="21">
        <f t="shared" si="27"/>
        <v>0.27272727272727271</v>
      </c>
      <c r="U369" s="19" t="e">
        <f>VLOOKUP(B369,[1]재고수량!$A$13:$D$651,3,FALSE)</f>
        <v>#N/A</v>
      </c>
      <c r="V369" s="21" t="e">
        <f t="shared" si="28"/>
        <v>#N/A</v>
      </c>
      <c r="X369">
        <f>VLOOKUP(B369,[1]제품리스트!$A$2:$F$1110,5,FALSE)</f>
        <v>1.97</v>
      </c>
      <c r="Y369" s="19">
        <f t="shared" si="29"/>
        <v>0</v>
      </c>
    </row>
    <row r="370" spans="1:25" hidden="1" x14ac:dyDescent="0.3">
      <c r="A370" s="5"/>
      <c r="B370" s="6" t="s">
        <v>422</v>
      </c>
      <c r="C370" t="s">
        <v>423</v>
      </c>
      <c r="D370" s="7">
        <v>-2</v>
      </c>
      <c r="E370" s="8">
        <v>-5</v>
      </c>
      <c r="F370" s="8"/>
      <c r="G370" s="8"/>
      <c r="H370" s="8">
        <v>0</v>
      </c>
      <c r="I370" s="8">
        <v>0</v>
      </c>
      <c r="J370" s="8">
        <v>1</v>
      </c>
      <c r="K370" s="8">
        <v>-5</v>
      </c>
      <c r="L370" s="8">
        <v>-4</v>
      </c>
      <c r="M370" s="8">
        <v>-3</v>
      </c>
      <c r="N370" s="8"/>
      <c r="O370" s="8"/>
      <c r="P370" s="8">
        <v>-18</v>
      </c>
      <c r="Q370" s="23">
        <f>VLOOKUP(B370,[1]제품리스트!$A$2:$J$1000,10,FALSE)</f>
        <v>0</v>
      </c>
      <c r="R370" s="17">
        <f t="shared" si="25"/>
        <v>-1.6363636363636365</v>
      </c>
      <c r="S370" s="19">
        <f t="shared" si="26"/>
        <v>0.13636363636363638</v>
      </c>
      <c r="T370" s="21">
        <f t="shared" si="27"/>
        <v>0.40909090909090917</v>
      </c>
      <c r="U370" s="19" t="e">
        <f>VLOOKUP(B370,[1]재고수량!$A$13:$D$651,3,FALSE)</f>
        <v>#N/A</v>
      </c>
      <c r="V370" s="21" t="e">
        <f t="shared" si="28"/>
        <v>#N/A</v>
      </c>
      <c r="X370">
        <f>VLOOKUP(B370,[1]제품리스트!$A$2:$F$1110,5,FALSE)</f>
        <v>3</v>
      </c>
      <c r="Y370" s="19">
        <f t="shared" si="29"/>
        <v>0</v>
      </c>
    </row>
    <row r="371" spans="1:25" hidden="1" x14ac:dyDescent="0.3">
      <c r="A371" s="5"/>
      <c r="B371" s="6" t="s">
        <v>424</v>
      </c>
      <c r="C371" t="s">
        <v>425</v>
      </c>
      <c r="D371" s="7"/>
      <c r="E371" s="8">
        <v>-24</v>
      </c>
      <c r="F371" s="8">
        <v>-34</v>
      </c>
      <c r="G371" s="8">
        <v>-24</v>
      </c>
      <c r="H371" s="8">
        <v>-36</v>
      </c>
      <c r="I371" s="8">
        <v>0</v>
      </c>
      <c r="J371" s="8">
        <v>-70</v>
      </c>
      <c r="K371" s="8">
        <v>-19</v>
      </c>
      <c r="L371" s="8">
        <v>-72</v>
      </c>
      <c r="M371" s="8">
        <v>-38</v>
      </c>
      <c r="N371" s="8">
        <v>-21</v>
      </c>
      <c r="O371" s="8"/>
      <c r="P371" s="8">
        <v>-338</v>
      </c>
      <c r="Q371" s="23">
        <f>VLOOKUP(B371,[1]제품리스트!$A$2:$J$1000,10,FALSE)</f>
        <v>0</v>
      </c>
      <c r="R371" s="17">
        <f t="shared" si="25"/>
        <v>-30.727272727272727</v>
      </c>
      <c r="S371" s="19">
        <f t="shared" si="26"/>
        <v>2.5606060606060606</v>
      </c>
      <c r="T371" s="21">
        <f t="shared" si="27"/>
        <v>7.6818181818181817</v>
      </c>
      <c r="U371" s="19" t="e">
        <f>VLOOKUP(B371,[1]재고수량!$A$13:$D$651,3,FALSE)</f>
        <v>#N/A</v>
      </c>
      <c r="V371" s="21" t="e">
        <f t="shared" si="28"/>
        <v>#N/A</v>
      </c>
      <c r="X371">
        <f>VLOOKUP(B371,[1]제품리스트!$A$2:$F$1110,5,FALSE)</f>
        <v>2.5</v>
      </c>
      <c r="Y371" s="19">
        <f t="shared" si="29"/>
        <v>0</v>
      </c>
    </row>
    <row r="372" spans="1:25" x14ac:dyDescent="0.3">
      <c r="A372" s="5"/>
      <c r="B372" s="6" t="s">
        <v>426</v>
      </c>
      <c r="C372" t="s">
        <v>427</v>
      </c>
      <c r="D372" s="7"/>
      <c r="E372" s="8">
        <v>-1</v>
      </c>
      <c r="F372" s="8"/>
      <c r="G372" s="8">
        <v>-1</v>
      </c>
      <c r="H372" s="8">
        <v>-4</v>
      </c>
      <c r="I372" s="8">
        <v>-1</v>
      </c>
      <c r="J372" s="8">
        <v>-19</v>
      </c>
      <c r="K372" s="8">
        <v>-1</v>
      </c>
      <c r="L372" s="8">
        <v>-1</v>
      </c>
      <c r="M372" s="8">
        <v>-1</v>
      </c>
      <c r="N372" s="8">
        <v>-6</v>
      </c>
      <c r="O372" s="8"/>
      <c r="P372" s="8">
        <v>-35</v>
      </c>
      <c r="Q372" s="23">
        <f>VLOOKUP(B372,[1]제품리스트!$A$2:$J$1000,10,FALSE)</f>
        <v>0</v>
      </c>
      <c r="R372" s="17">
        <f t="shared" si="25"/>
        <v>-3.1818181818181817</v>
      </c>
      <c r="S372" s="19">
        <f t="shared" si="26"/>
        <v>0.26515151515151514</v>
      </c>
      <c r="T372" s="21">
        <f t="shared" si="27"/>
        <v>0.79545454545454541</v>
      </c>
      <c r="U372" s="19" t="e">
        <f>VLOOKUP(B372,[1]재고수량!$A$13:$D$651,3,FALSE)</f>
        <v>#N/A</v>
      </c>
      <c r="V372" s="21" t="e">
        <f t="shared" si="28"/>
        <v>#N/A</v>
      </c>
      <c r="W372">
        <v>50</v>
      </c>
      <c r="X372">
        <f>VLOOKUP(B372,[1]제품리스트!$A$2:$F$1110,5,FALSE)</f>
        <v>4</v>
      </c>
      <c r="Y372" s="19">
        <f t="shared" si="29"/>
        <v>200</v>
      </c>
    </row>
    <row r="373" spans="1:25" x14ac:dyDescent="0.3">
      <c r="A373" s="5"/>
      <c r="B373" s="6" t="s">
        <v>428</v>
      </c>
      <c r="C373" t="s">
        <v>429</v>
      </c>
      <c r="D373" s="7"/>
      <c r="E373" s="8">
        <v>-1</v>
      </c>
      <c r="F373" s="8"/>
      <c r="G373" s="8"/>
      <c r="H373" s="8">
        <v>-2</v>
      </c>
      <c r="I373" s="8">
        <v>-5</v>
      </c>
      <c r="J373" s="8">
        <v>-3</v>
      </c>
      <c r="K373" s="8">
        <v>-1</v>
      </c>
      <c r="L373" s="8">
        <v>-2</v>
      </c>
      <c r="M373" s="8">
        <v>-5</v>
      </c>
      <c r="N373" s="8">
        <v>-6</v>
      </c>
      <c r="O373" s="8"/>
      <c r="P373" s="8">
        <v>-25</v>
      </c>
      <c r="Q373" s="23">
        <f>VLOOKUP(B373,[1]제품리스트!$A$2:$J$1000,10,FALSE)</f>
        <v>0</v>
      </c>
      <c r="R373" s="17">
        <f t="shared" si="25"/>
        <v>-2.2727272727272729</v>
      </c>
      <c r="S373" s="19">
        <f t="shared" si="26"/>
        <v>0.18939393939393942</v>
      </c>
      <c r="T373" s="21">
        <f t="shared" si="27"/>
        <v>0.56818181818181823</v>
      </c>
      <c r="U373" s="19" t="e">
        <f>VLOOKUP(B373,[1]재고수량!$A$13:$D$651,3,FALSE)</f>
        <v>#N/A</v>
      </c>
      <c r="V373" s="21" t="e">
        <f t="shared" si="28"/>
        <v>#N/A</v>
      </c>
      <c r="W373">
        <v>50</v>
      </c>
      <c r="X373">
        <f>VLOOKUP(B373,[1]제품리스트!$A$2:$F$1110,5,FALSE)</f>
        <v>6</v>
      </c>
      <c r="Y373" s="19">
        <f t="shared" si="29"/>
        <v>300</v>
      </c>
    </row>
    <row r="374" spans="1:25" x14ac:dyDescent="0.3">
      <c r="A374" s="5"/>
      <c r="B374" s="6" t="s">
        <v>430</v>
      </c>
      <c r="C374" t="s">
        <v>431</v>
      </c>
      <c r="D374" s="7"/>
      <c r="E374" s="8">
        <v>0</v>
      </c>
      <c r="F374" s="8">
        <v>0</v>
      </c>
      <c r="G374" s="8"/>
      <c r="H374" s="8"/>
      <c r="I374" s="8"/>
      <c r="J374" s="8"/>
      <c r="K374" s="8">
        <v>0</v>
      </c>
      <c r="L374" s="8">
        <v>0</v>
      </c>
      <c r="M374" s="8"/>
      <c r="N374" s="8"/>
      <c r="O374" s="8"/>
      <c r="P374" s="8">
        <v>0</v>
      </c>
      <c r="Q374" s="23">
        <f>VLOOKUP(B374,[1]제품리스트!$A$2:$J$1000,10,FALSE)</f>
        <v>0</v>
      </c>
      <c r="R374" s="17">
        <f t="shared" si="25"/>
        <v>0</v>
      </c>
      <c r="S374" s="19">
        <f t="shared" si="26"/>
        <v>0</v>
      </c>
      <c r="T374" s="21">
        <f t="shared" si="27"/>
        <v>0</v>
      </c>
      <c r="U374" s="19" t="e">
        <f>VLOOKUP(B374,[1]재고수량!$A$13:$D$651,3,FALSE)</f>
        <v>#N/A</v>
      </c>
      <c r="V374" s="21" t="e">
        <f t="shared" si="28"/>
        <v>#N/A</v>
      </c>
      <c r="W374">
        <v>50</v>
      </c>
      <c r="X374">
        <f>VLOOKUP(B374,[1]제품리스트!$A$2:$F$1110,5,FALSE)</f>
        <v>2.5</v>
      </c>
      <c r="Y374" s="19">
        <f t="shared" si="29"/>
        <v>125</v>
      </c>
    </row>
    <row r="375" spans="1:25" hidden="1" x14ac:dyDescent="0.3">
      <c r="A375" s="5"/>
      <c r="B375" s="6" t="s">
        <v>432</v>
      </c>
      <c r="C375" t="s">
        <v>433</v>
      </c>
      <c r="D375" s="7">
        <v>-11.5</v>
      </c>
      <c r="E375" s="8">
        <v>-24.5</v>
      </c>
      <c r="F375" s="8">
        <v>-10</v>
      </c>
      <c r="G375" s="8">
        <v>-22</v>
      </c>
      <c r="H375" s="8">
        <v>-22</v>
      </c>
      <c r="I375" s="8">
        <v>-26</v>
      </c>
      <c r="J375" s="8"/>
      <c r="K375" s="8"/>
      <c r="L375" s="8"/>
      <c r="M375" s="8"/>
      <c r="N375" s="8"/>
      <c r="O375" s="8"/>
      <c r="P375" s="8">
        <v>-116</v>
      </c>
      <c r="Q375" s="23">
        <f>VLOOKUP(B375,[1]제품리스트!$A$2:$J$1000,10,FALSE)</f>
        <v>0</v>
      </c>
      <c r="R375" s="17">
        <f t="shared" si="25"/>
        <v>-10.545454545454545</v>
      </c>
      <c r="S375" s="19">
        <f t="shared" si="26"/>
        <v>0.87878787878787878</v>
      </c>
      <c r="T375" s="21">
        <f t="shared" si="27"/>
        <v>2.6363636363636362</v>
      </c>
      <c r="U375" s="19" t="e">
        <f>VLOOKUP(B375,[1]재고수량!$A$13:$D$651,3,FALSE)</f>
        <v>#N/A</v>
      </c>
      <c r="V375" s="21" t="e">
        <f t="shared" si="28"/>
        <v>#N/A</v>
      </c>
      <c r="X375">
        <f>VLOOKUP(B375,[1]제품리스트!$A$2:$F$1110,5,FALSE)</f>
        <v>1.75</v>
      </c>
      <c r="Y375" s="19">
        <f t="shared" si="29"/>
        <v>0</v>
      </c>
    </row>
    <row r="376" spans="1:25" hidden="1" x14ac:dyDescent="0.3">
      <c r="A376" s="5"/>
      <c r="B376" s="6" t="s">
        <v>434</v>
      </c>
      <c r="C376" t="s">
        <v>435</v>
      </c>
      <c r="D376" s="7"/>
      <c r="E376" s="8"/>
      <c r="F376" s="8"/>
      <c r="G376" s="8"/>
      <c r="H376" s="8"/>
      <c r="I376" s="8"/>
      <c r="J376" s="8">
        <v>-12</v>
      </c>
      <c r="K376" s="8"/>
      <c r="L376" s="8"/>
      <c r="M376" s="8">
        <v>-12</v>
      </c>
      <c r="N376" s="8"/>
      <c r="O376" s="8"/>
      <c r="P376" s="8">
        <v>-24</v>
      </c>
      <c r="Q376" s="23">
        <f>VLOOKUP(B376,[1]제품리스트!$A$2:$J$1000,10,FALSE)</f>
        <v>0</v>
      </c>
      <c r="R376" s="17">
        <f t="shared" si="25"/>
        <v>-2.1818181818181817</v>
      </c>
      <c r="S376" s="19">
        <f t="shared" si="26"/>
        <v>0.1818181818181818</v>
      </c>
      <c r="T376" s="21">
        <f t="shared" si="27"/>
        <v>0.54545454545454541</v>
      </c>
      <c r="U376" s="19" t="e">
        <f>VLOOKUP(B376,[1]재고수량!$A$13:$D$651,3,FALSE)</f>
        <v>#N/A</v>
      </c>
      <c r="V376" s="21" t="e">
        <f t="shared" si="28"/>
        <v>#N/A</v>
      </c>
      <c r="X376">
        <f>VLOOKUP(B376,[1]제품리스트!$A$2:$F$1110,5,FALSE)</f>
        <v>0.88</v>
      </c>
      <c r="Y376" s="19">
        <f t="shared" si="29"/>
        <v>0</v>
      </c>
    </row>
    <row r="377" spans="1:25" hidden="1" x14ac:dyDescent="0.3">
      <c r="A377" s="5"/>
      <c r="B377" s="6" t="s">
        <v>436</v>
      </c>
      <c r="C377" t="s">
        <v>437</v>
      </c>
      <c r="D377" s="7"/>
      <c r="E377" s="8">
        <v>-4</v>
      </c>
      <c r="F377" s="8">
        <v>0</v>
      </c>
      <c r="G377" s="8">
        <v>0</v>
      </c>
      <c r="H377" s="8">
        <v>0</v>
      </c>
      <c r="I377" s="8"/>
      <c r="J377" s="8">
        <v>-2</v>
      </c>
      <c r="K377" s="8">
        <v>-2</v>
      </c>
      <c r="L377" s="8">
        <v>-12</v>
      </c>
      <c r="M377" s="8">
        <v>-5</v>
      </c>
      <c r="N377" s="8">
        <v>-8</v>
      </c>
      <c r="O377" s="8"/>
      <c r="P377" s="8">
        <v>-33</v>
      </c>
      <c r="Q377" s="23" t="str">
        <f>VLOOKUP(B377,[1]제품리스트!$A$2:$J$1000,10,FALSE)</f>
        <v>#96 shine brush 100% horsehair each</v>
      </c>
      <c r="R377" s="17">
        <f t="shared" si="25"/>
        <v>-3</v>
      </c>
      <c r="S377" s="19">
        <f t="shared" si="26"/>
        <v>0.25</v>
      </c>
      <c r="T377" s="21">
        <f t="shared" si="27"/>
        <v>0.75</v>
      </c>
      <c r="U377" s="19" t="e">
        <f>VLOOKUP(B377,[1]재고수량!$A$13:$D$651,3,FALSE)</f>
        <v>#N/A</v>
      </c>
      <c r="V377" s="21" t="e">
        <f t="shared" si="28"/>
        <v>#N/A</v>
      </c>
      <c r="X377">
        <f>VLOOKUP(B377,[1]제품리스트!$A$2:$F$1110,5,FALSE)</f>
        <v>4.95</v>
      </c>
      <c r="Y377" s="19">
        <f t="shared" si="29"/>
        <v>0</v>
      </c>
    </row>
    <row r="378" spans="1:25" hidden="1" x14ac:dyDescent="0.3">
      <c r="A378" s="5"/>
      <c r="B378" s="6" t="s">
        <v>438</v>
      </c>
      <c r="C378" t="s">
        <v>439</v>
      </c>
      <c r="D378" s="7">
        <v>-2</v>
      </c>
      <c r="E378" s="8">
        <v>-3</v>
      </c>
      <c r="F378" s="8">
        <v>-8</v>
      </c>
      <c r="G378" s="8"/>
      <c r="H378" s="8"/>
      <c r="I378" s="8">
        <v>-1</v>
      </c>
      <c r="J378" s="8">
        <v>0</v>
      </c>
      <c r="K378" s="8">
        <v>-3</v>
      </c>
      <c r="L378" s="8">
        <v>-3</v>
      </c>
      <c r="M378" s="8">
        <v>-5</v>
      </c>
      <c r="N378" s="8">
        <v>-5</v>
      </c>
      <c r="O378" s="8"/>
      <c r="P378" s="8">
        <v>-30</v>
      </c>
      <c r="Q378" s="23">
        <f>VLOOKUP(B378,[1]제품리스트!$A$2:$J$1000,10,FALSE)</f>
        <v>0</v>
      </c>
      <c r="R378" s="17">
        <f t="shared" si="25"/>
        <v>-2.7272727272727271</v>
      </c>
      <c r="S378" s="19">
        <f t="shared" si="26"/>
        <v>0.22727272727272727</v>
      </c>
      <c r="T378" s="21">
        <f t="shared" si="27"/>
        <v>0.68181818181818177</v>
      </c>
      <c r="U378" s="19" t="e">
        <f>VLOOKUP(B378,[1]재고수량!$A$13:$D$651,3,FALSE)</f>
        <v>#N/A</v>
      </c>
      <c r="V378" s="21" t="e">
        <f t="shared" si="28"/>
        <v>#N/A</v>
      </c>
      <c r="X378">
        <f>VLOOKUP(B378,[1]제품리스트!$A$2:$F$1110,5,FALSE)</f>
        <v>3.2</v>
      </c>
      <c r="Y378" s="19">
        <f t="shared" si="29"/>
        <v>0</v>
      </c>
    </row>
    <row r="379" spans="1:25" hidden="1" x14ac:dyDescent="0.3">
      <c r="A379" s="5"/>
      <c r="B379" s="6" t="s">
        <v>440</v>
      </c>
      <c r="C379" t="s">
        <v>441</v>
      </c>
      <c r="D379" s="7"/>
      <c r="E379" s="8">
        <v>-1</v>
      </c>
      <c r="F379" s="8"/>
      <c r="G379" s="8">
        <v>-3</v>
      </c>
      <c r="H379" s="8"/>
      <c r="I379" s="8">
        <v>0</v>
      </c>
      <c r="J379" s="8"/>
      <c r="K379" s="8"/>
      <c r="L379" s="8"/>
      <c r="M379" s="8"/>
      <c r="N379" s="8"/>
      <c r="O379" s="8"/>
      <c r="P379" s="8">
        <v>-4</v>
      </c>
      <c r="Q379" s="23">
        <f>VLOOKUP(B379,[1]제품리스트!$A$2:$J$1000,10,FALSE)</f>
        <v>0</v>
      </c>
      <c r="R379" s="17">
        <f t="shared" si="25"/>
        <v>-0.36363636363636365</v>
      </c>
      <c r="S379" s="19">
        <f t="shared" si="26"/>
        <v>3.0303030303030304E-2</v>
      </c>
      <c r="T379" s="21">
        <f t="shared" si="27"/>
        <v>9.0909090909090912E-2</v>
      </c>
      <c r="U379" s="19" t="e">
        <f>VLOOKUP(B379,[1]재고수량!$A$13:$D$651,3,FALSE)</f>
        <v>#N/A</v>
      </c>
      <c r="V379" s="21" t="e">
        <f t="shared" si="28"/>
        <v>#N/A</v>
      </c>
      <c r="X379">
        <f>VLOOKUP(B379,[1]제품리스트!$A$2:$F$1110,5,FALSE)</f>
        <v>0.8</v>
      </c>
      <c r="Y379" s="19">
        <f t="shared" si="29"/>
        <v>0</v>
      </c>
    </row>
    <row r="380" spans="1:25" hidden="1" x14ac:dyDescent="0.3">
      <c r="A380" s="5"/>
      <c r="B380" s="6" t="s">
        <v>442</v>
      </c>
      <c r="C380" t="s">
        <v>443</v>
      </c>
      <c r="D380" s="7">
        <v>-1</v>
      </c>
      <c r="E380" s="8">
        <v>-2</v>
      </c>
      <c r="F380" s="8">
        <v>-15</v>
      </c>
      <c r="G380" s="8">
        <v>-4</v>
      </c>
      <c r="H380" s="8">
        <v>0</v>
      </c>
      <c r="I380" s="8">
        <v>-1</v>
      </c>
      <c r="J380" s="8">
        <v>-5</v>
      </c>
      <c r="K380" s="8">
        <v>-1</v>
      </c>
      <c r="L380" s="8">
        <v>-1</v>
      </c>
      <c r="M380" s="8">
        <v>-19</v>
      </c>
      <c r="N380" s="8">
        <v>-2</v>
      </c>
      <c r="O380" s="8"/>
      <c r="P380" s="8">
        <v>-51</v>
      </c>
      <c r="Q380" s="23">
        <f>VLOOKUP(B380,[1]제품리스트!$A$2:$J$1000,10,FALSE)</f>
        <v>0</v>
      </c>
      <c r="R380" s="17">
        <f t="shared" si="25"/>
        <v>-4.6363636363636367</v>
      </c>
      <c r="S380" s="19">
        <f t="shared" si="26"/>
        <v>0.38636363636363641</v>
      </c>
      <c r="T380" s="21">
        <f t="shared" si="27"/>
        <v>1.1590909090909092</v>
      </c>
      <c r="U380" s="19" t="e">
        <f>VLOOKUP(B380,[1]재고수량!$A$13:$D$651,3,FALSE)</f>
        <v>#N/A</v>
      </c>
      <c r="V380" s="21" t="e">
        <f t="shared" si="28"/>
        <v>#N/A</v>
      </c>
      <c r="X380">
        <f>VLOOKUP(B380,[1]제품리스트!$A$2:$F$1110,5,FALSE)</f>
        <v>0.65</v>
      </c>
      <c r="Y380" s="19">
        <f t="shared" si="29"/>
        <v>0</v>
      </c>
    </row>
    <row r="381" spans="1:25" hidden="1" x14ac:dyDescent="0.3">
      <c r="A381" s="5"/>
      <c r="B381" s="6" t="s">
        <v>444</v>
      </c>
      <c r="C381" t="s">
        <v>444</v>
      </c>
      <c r="D381" s="7">
        <v>-20</v>
      </c>
      <c r="E381" s="8">
        <v>-20</v>
      </c>
      <c r="F381" s="8">
        <v>-220</v>
      </c>
      <c r="G381" s="8">
        <v>100</v>
      </c>
      <c r="H381" s="8"/>
      <c r="I381" s="8"/>
      <c r="J381" s="8"/>
      <c r="K381" s="8"/>
      <c r="L381" s="8"/>
      <c r="M381" s="8"/>
      <c r="N381" s="8"/>
      <c r="O381" s="8"/>
      <c r="P381" s="8">
        <v>-160</v>
      </c>
      <c r="Q381" s="23">
        <f>VLOOKUP(B381,[1]제품리스트!$A$2:$J$1000,10,FALSE)</f>
        <v>0</v>
      </c>
      <c r="R381" s="17">
        <f t="shared" si="25"/>
        <v>-14.545454545454545</v>
      </c>
      <c r="S381" s="19">
        <f t="shared" si="26"/>
        <v>1.2121212121212122</v>
      </c>
      <c r="T381" s="21">
        <f t="shared" si="27"/>
        <v>3.6363636363636367</v>
      </c>
      <c r="U381" s="19" t="e">
        <f>VLOOKUP(B381,[1]재고수량!$A$13:$D$651,3,FALSE)</f>
        <v>#N/A</v>
      </c>
      <c r="V381" s="21" t="e">
        <f t="shared" si="28"/>
        <v>#N/A</v>
      </c>
      <c r="X381">
        <f>VLOOKUP(B381,[1]제품리스트!$A$2:$F$1110,5,FALSE)</f>
        <v>0</v>
      </c>
      <c r="Y381" s="19">
        <f t="shared" si="29"/>
        <v>0</v>
      </c>
    </row>
    <row r="382" spans="1:25" hidden="1" x14ac:dyDescent="0.3">
      <c r="A382" s="9"/>
      <c r="B382" s="6" t="s">
        <v>445</v>
      </c>
      <c r="C382" t="s">
        <v>445</v>
      </c>
      <c r="D382" s="7">
        <v>-6</v>
      </c>
      <c r="E382" s="8">
        <v>-3</v>
      </c>
      <c r="F382" s="8">
        <v>-7</v>
      </c>
      <c r="G382" s="8">
        <v>-8</v>
      </c>
      <c r="H382" s="8">
        <v>-8</v>
      </c>
      <c r="I382" s="8">
        <v>-7</v>
      </c>
      <c r="J382" s="8">
        <v>-22</v>
      </c>
      <c r="K382" s="8">
        <v>-5</v>
      </c>
      <c r="L382" s="8">
        <v>-5</v>
      </c>
      <c r="M382" s="8">
        <v>-5</v>
      </c>
      <c r="N382" s="8">
        <v>-5</v>
      </c>
      <c r="O382" s="8"/>
      <c r="P382" s="8">
        <v>-81</v>
      </c>
      <c r="Q382" s="23">
        <f>VLOOKUP(B382,[1]제품리스트!$A$2:$J$1000,10,FALSE)</f>
        <v>0</v>
      </c>
      <c r="R382" s="17">
        <f t="shared" si="25"/>
        <v>-7.3636363636363633</v>
      </c>
      <c r="S382" s="19">
        <f t="shared" si="26"/>
        <v>0.61363636363636365</v>
      </c>
      <c r="T382" s="21">
        <f t="shared" si="27"/>
        <v>1.8409090909090908</v>
      </c>
      <c r="U382" s="19" t="e">
        <f>VLOOKUP(B382,[1]재고수량!$A$13:$D$651,3,FALSE)</f>
        <v>#N/A</v>
      </c>
      <c r="V382" s="21" t="e">
        <f t="shared" si="28"/>
        <v>#N/A</v>
      </c>
      <c r="X382">
        <f>VLOOKUP(B382,[1]제품리스트!$A$2:$F$1110,5,FALSE)</f>
        <v>0</v>
      </c>
      <c r="Y382" s="19">
        <f t="shared" si="29"/>
        <v>0</v>
      </c>
    </row>
    <row r="383" spans="1:25" hidden="1" x14ac:dyDescent="0.3">
      <c r="A383" s="5" t="s">
        <v>446</v>
      </c>
      <c r="B383" s="6" t="s">
        <v>447</v>
      </c>
      <c r="C383" t="s">
        <v>448</v>
      </c>
      <c r="D383" s="7"/>
      <c r="E383" s="8">
        <v>-23</v>
      </c>
      <c r="F383" s="8"/>
      <c r="G383" s="8"/>
      <c r="H383" s="8"/>
      <c r="I383" s="8">
        <v>0</v>
      </c>
      <c r="J383" s="8"/>
      <c r="K383" s="8"/>
      <c r="L383" s="8"/>
      <c r="M383" s="8"/>
      <c r="N383" s="8"/>
      <c r="O383" s="8"/>
      <c r="P383" s="8">
        <v>-23</v>
      </c>
      <c r="Q383" s="23" t="str">
        <f>VLOOKUP(B383,[1]제품리스트!$A$2:$J$1000,10,FALSE)</f>
        <v>Angelus Paint Brush Angular #2</v>
      </c>
      <c r="R383" s="17">
        <f t="shared" si="25"/>
        <v>-2.0909090909090908</v>
      </c>
      <c r="S383" s="19">
        <f t="shared" si="26"/>
        <v>0.17424242424242423</v>
      </c>
      <c r="T383" s="21">
        <f t="shared" si="27"/>
        <v>0.52272727272727271</v>
      </c>
      <c r="U383" s="19" t="e">
        <f>VLOOKUP(B383,[1]재고수량!$A$13:$D$651,3,FALSE)</f>
        <v>#N/A</v>
      </c>
      <c r="V383" s="21" t="e">
        <f t="shared" si="28"/>
        <v>#N/A</v>
      </c>
      <c r="X383">
        <f>VLOOKUP(B383,[1]제품리스트!$A$2:$F$1110,5,FALSE)</f>
        <v>1.42</v>
      </c>
      <c r="Y383" s="19">
        <f t="shared" si="29"/>
        <v>0</v>
      </c>
    </row>
    <row r="384" spans="1:25" hidden="1" x14ac:dyDescent="0.3">
      <c r="A384" s="5"/>
      <c r="B384" s="6" t="s">
        <v>449</v>
      </c>
      <c r="C384" t="s">
        <v>450</v>
      </c>
      <c r="D384" s="7"/>
      <c r="E384" s="8">
        <v>-22</v>
      </c>
      <c r="F384" s="8"/>
      <c r="G384" s="8"/>
      <c r="H384" s="8"/>
      <c r="I384" s="8">
        <v>0</v>
      </c>
      <c r="J384" s="8"/>
      <c r="K384" s="8"/>
      <c r="L384" s="8">
        <v>-12</v>
      </c>
      <c r="M384" s="8">
        <v>0</v>
      </c>
      <c r="N384" s="8">
        <v>-2</v>
      </c>
      <c r="O384" s="8"/>
      <c r="P384" s="8">
        <v>-36</v>
      </c>
      <c r="Q384" s="23" t="str">
        <f>VLOOKUP(B384,[1]제품리스트!$A$2:$J$1000,10,FALSE)</f>
        <v>Angelus Paint Brush Angular 1/4"</v>
      </c>
      <c r="R384" s="17">
        <f t="shared" si="25"/>
        <v>-3.2727272727272729</v>
      </c>
      <c r="S384" s="19">
        <f t="shared" si="26"/>
        <v>0.27272727272727276</v>
      </c>
      <c r="T384" s="21">
        <f t="shared" si="27"/>
        <v>0.81818181818181834</v>
      </c>
      <c r="U384" s="19" t="e">
        <f>VLOOKUP(B384,[1]재고수량!$A$13:$D$651,3,FALSE)</f>
        <v>#N/A</v>
      </c>
      <c r="V384" s="21" t="e">
        <f t="shared" si="28"/>
        <v>#N/A</v>
      </c>
      <c r="X384">
        <f>VLOOKUP(B384,[1]제품리스트!$A$2:$F$1110,5,FALSE)</f>
        <v>1.42</v>
      </c>
      <c r="Y384" s="19">
        <f t="shared" si="29"/>
        <v>0</v>
      </c>
    </row>
    <row r="385" spans="1:25" hidden="1" x14ac:dyDescent="0.3">
      <c r="A385" s="5"/>
      <c r="B385" s="6" t="s">
        <v>451</v>
      </c>
      <c r="C385" t="s">
        <v>452</v>
      </c>
      <c r="D385" s="7"/>
      <c r="E385" s="8">
        <v>-22</v>
      </c>
      <c r="F385" s="8"/>
      <c r="G385" s="8"/>
      <c r="H385" s="8"/>
      <c r="I385" s="8">
        <v>0</v>
      </c>
      <c r="J385" s="8"/>
      <c r="K385" s="8"/>
      <c r="L385" s="8">
        <v>-24</v>
      </c>
      <c r="M385" s="8">
        <v>-12</v>
      </c>
      <c r="N385" s="8">
        <v>-2</v>
      </c>
      <c r="O385" s="8"/>
      <c r="P385" s="8">
        <v>-60</v>
      </c>
      <c r="Q385" s="23" t="str">
        <f>VLOOKUP(B385,[1]제품리스트!$A$2:$J$1000,10,FALSE)</f>
        <v>Angelus Paint Brush Angular Shader #1</v>
      </c>
      <c r="R385" s="17">
        <f t="shared" si="25"/>
        <v>-5.4545454545454541</v>
      </c>
      <c r="S385" s="19">
        <f t="shared" si="26"/>
        <v>0.45454545454545453</v>
      </c>
      <c r="T385" s="21">
        <f t="shared" si="27"/>
        <v>1.3636363636363635</v>
      </c>
      <c r="U385" s="19" t="e">
        <f>VLOOKUP(B385,[1]재고수량!$A$13:$D$651,3,FALSE)</f>
        <v>#N/A</v>
      </c>
      <c r="V385" s="21" t="e">
        <f t="shared" si="28"/>
        <v>#N/A</v>
      </c>
      <c r="X385">
        <f>VLOOKUP(B385,[1]제품리스트!$A$2:$F$1110,5,FALSE)</f>
        <v>1.42</v>
      </c>
      <c r="Y385" s="19">
        <f t="shared" si="29"/>
        <v>0</v>
      </c>
    </row>
    <row r="386" spans="1:25" hidden="1" x14ac:dyDescent="0.3">
      <c r="A386" s="5"/>
      <c r="B386" s="6" t="s">
        <v>453</v>
      </c>
      <c r="C386" t="s">
        <v>454</v>
      </c>
      <c r="D386" s="7"/>
      <c r="E386" s="8">
        <v>-16</v>
      </c>
      <c r="F386" s="8"/>
      <c r="G386" s="8"/>
      <c r="H386" s="8"/>
      <c r="I386" s="8">
        <v>0</v>
      </c>
      <c r="J386" s="8"/>
      <c r="K386" s="8"/>
      <c r="L386" s="8">
        <v>-2</v>
      </c>
      <c r="M386" s="8">
        <v>0</v>
      </c>
      <c r="N386" s="8">
        <v>-7</v>
      </c>
      <c r="O386" s="8"/>
      <c r="P386" s="8">
        <v>-25</v>
      </c>
      <c r="Q386" s="23" t="str">
        <f>VLOOKUP(B386,[1]제품리스트!$A$2:$J$1000,10,FALSE)</f>
        <v>Angelus1/2"     Paint Brush Angular Shader</v>
      </c>
      <c r="R386" s="17">
        <f t="shared" si="25"/>
        <v>-2.2727272727272729</v>
      </c>
      <c r="S386" s="19">
        <f t="shared" si="26"/>
        <v>0.18939393939393942</v>
      </c>
      <c r="T386" s="21">
        <f t="shared" si="27"/>
        <v>0.56818181818181823</v>
      </c>
      <c r="U386" s="19" t="e">
        <f>VLOOKUP(B386,[1]재고수량!$A$13:$D$651,3,FALSE)</f>
        <v>#N/A</v>
      </c>
      <c r="V386" s="21" t="e">
        <f t="shared" si="28"/>
        <v>#N/A</v>
      </c>
      <c r="X386">
        <f>VLOOKUP(B386,[1]제품리스트!$A$2:$F$1110,5,FALSE)</f>
        <v>1.42</v>
      </c>
      <c r="Y386" s="19">
        <f t="shared" si="29"/>
        <v>0</v>
      </c>
    </row>
    <row r="387" spans="1:25" hidden="1" x14ac:dyDescent="0.3">
      <c r="A387" s="5"/>
      <c r="B387" s="6" t="s">
        <v>455</v>
      </c>
      <c r="C387" t="s">
        <v>456</v>
      </c>
      <c r="D387" s="7"/>
      <c r="E387" s="8">
        <v>-17</v>
      </c>
      <c r="F387" s="8"/>
      <c r="G387" s="8"/>
      <c r="H387" s="8"/>
      <c r="I387" s="8">
        <v>0</v>
      </c>
      <c r="J387" s="8"/>
      <c r="K387" s="8"/>
      <c r="L387" s="8">
        <v>-12</v>
      </c>
      <c r="M387" s="8">
        <v>0</v>
      </c>
      <c r="N387" s="8">
        <v>-2</v>
      </c>
      <c r="O387" s="8"/>
      <c r="P387" s="8">
        <v>-31</v>
      </c>
      <c r="Q387" s="23" t="str">
        <f>VLOOKUP(B387,[1]제품리스트!$A$2:$J$1000,10,FALSE)</f>
        <v>Angelus3/8"     Paint Brush Angular Shader</v>
      </c>
      <c r="R387" s="17">
        <f t="shared" si="25"/>
        <v>-2.8181818181818183</v>
      </c>
      <c r="S387" s="19">
        <f t="shared" si="26"/>
        <v>0.23484848484848486</v>
      </c>
      <c r="T387" s="21">
        <f t="shared" si="27"/>
        <v>0.70454545454545459</v>
      </c>
      <c r="U387" s="19" t="e">
        <f>VLOOKUP(B387,[1]재고수량!$A$13:$D$651,3,FALSE)</f>
        <v>#N/A</v>
      </c>
      <c r="V387" s="21" t="e">
        <f t="shared" si="28"/>
        <v>#N/A</v>
      </c>
      <c r="X387">
        <f>VLOOKUP(B387,[1]제품리스트!$A$2:$F$1110,5,FALSE)</f>
        <v>1.42</v>
      </c>
      <c r="Y387" s="19">
        <f t="shared" si="29"/>
        <v>0</v>
      </c>
    </row>
    <row r="388" spans="1:25" hidden="1" x14ac:dyDescent="0.3">
      <c r="A388" s="5"/>
      <c r="B388" s="6" t="s">
        <v>457</v>
      </c>
      <c r="C388" t="s">
        <v>458</v>
      </c>
      <c r="D388" s="7"/>
      <c r="E388" s="8">
        <v>-21</v>
      </c>
      <c r="F388" s="8"/>
      <c r="G388" s="8"/>
      <c r="H388" s="8"/>
      <c r="I388" s="8">
        <v>0</v>
      </c>
      <c r="J388" s="8"/>
      <c r="K388" s="8"/>
      <c r="L388" s="8">
        <v>-12</v>
      </c>
      <c r="M388" s="8">
        <v>0</v>
      </c>
      <c r="N388" s="8">
        <v>-2</v>
      </c>
      <c r="O388" s="8"/>
      <c r="P388" s="8">
        <v>-35</v>
      </c>
      <c r="Q388" s="23" t="str">
        <f>VLOOKUP(B388,[1]제품리스트!$A$2:$J$1000,10,FALSE)</f>
        <v>Angelus Paint Brush Filbert #2</v>
      </c>
      <c r="R388" s="17">
        <f t="shared" si="25"/>
        <v>-3.1818181818181817</v>
      </c>
      <c r="S388" s="19">
        <f t="shared" si="26"/>
        <v>0.26515151515151514</v>
      </c>
      <c r="T388" s="21">
        <f t="shared" si="27"/>
        <v>0.79545454545454541</v>
      </c>
      <c r="U388" s="19" t="e">
        <f>VLOOKUP(B388,[1]재고수량!$A$13:$D$651,3,FALSE)</f>
        <v>#N/A</v>
      </c>
      <c r="V388" s="21" t="e">
        <f t="shared" si="28"/>
        <v>#N/A</v>
      </c>
      <c r="X388">
        <f>VLOOKUP(B388,[1]제품리스트!$A$2:$F$1110,5,FALSE)</f>
        <v>1.53</v>
      </c>
      <c r="Y388" s="19">
        <f t="shared" si="29"/>
        <v>0</v>
      </c>
    </row>
    <row r="389" spans="1:25" hidden="1" x14ac:dyDescent="0.3">
      <c r="A389" s="5"/>
      <c r="B389" s="6" t="s">
        <v>459</v>
      </c>
      <c r="C389" t="s">
        <v>460</v>
      </c>
      <c r="D389" s="7"/>
      <c r="E389" s="8">
        <v>0</v>
      </c>
      <c r="F389" s="8">
        <v>0</v>
      </c>
      <c r="G389" s="8"/>
      <c r="H389" s="8"/>
      <c r="I389" s="8">
        <v>0</v>
      </c>
      <c r="J389" s="8"/>
      <c r="K389" s="8"/>
      <c r="L389" s="8">
        <v>-22</v>
      </c>
      <c r="M389" s="8">
        <v>0</v>
      </c>
      <c r="N389" s="8">
        <v>-4</v>
      </c>
      <c r="O389" s="8"/>
      <c r="P389" s="8">
        <v>-26</v>
      </c>
      <c r="Q389" s="23" t="str">
        <f>VLOOKUP(B389,[1]제품리스트!$A$2:$J$1000,10,FALSE)</f>
        <v>Angelus Paint Brush Round #1</v>
      </c>
      <c r="R389" s="17">
        <f t="shared" si="25"/>
        <v>-2.3636363636363638</v>
      </c>
      <c r="S389" s="19">
        <f t="shared" si="26"/>
        <v>0.19696969696969699</v>
      </c>
      <c r="T389" s="21">
        <f t="shared" si="27"/>
        <v>0.59090909090909094</v>
      </c>
      <c r="U389" s="19" t="e">
        <f>VLOOKUP(B389,[1]재고수량!$A$13:$D$651,3,FALSE)</f>
        <v>#N/A</v>
      </c>
      <c r="V389" s="21" t="e">
        <f t="shared" si="28"/>
        <v>#N/A</v>
      </c>
      <c r="X389">
        <f>VLOOKUP(B389,[1]제품리스트!$A$2:$F$1110,5,FALSE)</f>
        <v>1.42</v>
      </c>
      <c r="Y389" s="19">
        <f t="shared" si="29"/>
        <v>0</v>
      </c>
    </row>
    <row r="390" spans="1:25" hidden="1" x14ac:dyDescent="0.3">
      <c r="A390" s="5"/>
      <c r="B390" s="6" t="s">
        <v>461</v>
      </c>
      <c r="C390" t="s">
        <v>462</v>
      </c>
      <c r="D390" s="7"/>
      <c r="E390" s="8">
        <v>-21</v>
      </c>
      <c r="F390" s="8"/>
      <c r="G390" s="8"/>
      <c r="H390" s="8"/>
      <c r="I390" s="8">
        <v>0</v>
      </c>
      <c r="J390" s="8"/>
      <c r="K390" s="8"/>
      <c r="L390" s="8">
        <v>-6</v>
      </c>
      <c r="M390" s="8">
        <v>0</v>
      </c>
      <c r="N390" s="8">
        <v>-2</v>
      </c>
      <c r="O390" s="8"/>
      <c r="P390" s="8">
        <v>-29</v>
      </c>
      <c r="Q390" s="23" t="str">
        <f>VLOOKUP(B390,[1]제품리스트!$A$2:$J$1000,10,FALSE)</f>
        <v>Angelus Paint Brush Round #2</v>
      </c>
      <c r="R390" s="17">
        <f t="shared" si="25"/>
        <v>-2.6363636363636362</v>
      </c>
      <c r="S390" s="19">
        <f t="shared" si="26"/>
        <v>0.2196969696969697</v>
      </c>
      <c r="T390" s="21">
        <f t="shared" si="27"/>
        <v>0.65909090909090906</v>
      </c>
      <c r="U390" s="19" t="e">
        <f>VLOOKUP(B390,[1]재고수량!$A$13:$D$651,3,FALSE)</f>
        <v>#N/A</v>
      </c>
      <c r="V390" s="21" t="e">
        <f t="shared" si="28"/>
        <v>#N/A</v>
      </c>
      <c r="X390">
        <f>VLOOKUP(B390,[1]제품리스트!$A$2:$F$1110,5,FALSE)</f>
        <v>1.42</v>
      </c>
      <c r="Y390" s="19">
        <f t="shared" si="29"/>
        <v>0</v>
      </c>
    </row>
    <row r="391" spans="1:25" hidden="1" x14ac:dyDescent="0.3">
      <c r="A391" s="5"/>
      <c r="B391" s="6" t="s">
        <v>463</v>
      </c>
      <c r="C391" t="s">
        <v>464</v>
      </c>
      <c r="D391" s="7"/>
      <c r="E391" s="8">
        <v>-22</v>
      </c>
      <c r="F391" s="8"/>
      <c r="G391" s="8"/>
      <c r="H391" s="8"/>
      <c r="I391" s="8">
        <v>0</v>
      </c>
      <c r="J391" s="8"/>
      <c r="K391" s="8"/>
      <c r="L391" s="8">
        <v>-24</v>
      </c>
      <c r="M391" s="8">
        <v>-24</v>
      </c>
      <c r="N391" s="8">
        <v>-8</v>
      </c>
      <c r="O391" s="8"/>
      <c r="P391" s="8">
        <v>-78</v>
      </c>
      <c r="Q391" s="23" t="str">
        <f>VLOOKUP(B391,[1]제품리스트!$A$2:$J$1000,10,FALSE)</f>
        <v>Angelus Paint Brush Shader #2</v>
      </c>
      <c r="R391" s="17">
        <f t="shared" si="25"/>
        <v>-7.0909090909090908</v>
      </c>
      <c r="S391" s="19">
        <f t="shared" si="26"/>
        <v>0.59090909090909094</v>
      </c>
      <c r="T391" s="21">
        <f t="shared" si="27"/>
        <v>1.7727272727272729</v>
      </c>
      <c r="U391" s="19" t="e">
        <f>VLOOKUP(B391,[1]재고수량!$A$13:$D$651,3,FALSE)</f>
        <v>#N/A</v>
      </c>
      <c r="V391" s="21" t="e">
        <f t="shared" si="28"/>
        <v>#N/A</v>
      </c>
      <c r="X391">
        <f>VLOOKUP(B391,[1]제품리스트!$A$2:$F$1110,5,FALSE)</f>
        <v>1.42</v>
      </c>
      <c r="Y391" s="19">
        <f t="shared" si="29"/>
        <v>0</v>
      </c>
    </row>
    <row r="392" spans="1:25" hidden="1" x14ac:dyDescent="0.3">
      <c r="A392" s="5"/>
      <c r="B392" s="6" t="s">
        <v>465</v>
      </c>
      <c r="C392" t="s">
        <v>466</v>
      </c>
      <c r="D392" s="7"/>
      <c r="E392" s="8">
        <v>-20</v>
      </c>
      <c r="F392" s="8"/>
      <c r="G392" s="8"/>
      <c r="H392" s="8"/>
      <c r="I392" s="8">
        <v>0</v>
      </c>
      <c r="J392" s="8"/>
      <c r="K392" s="8"/>
      <c r="L392" s="8">
        <v>-1</v>
      </c>
      <c r="M392" s="8">
        <v>-1</v>
      </c>
      <c r="N392" s="8">
        <v>-2</v>
      </c>
      <c r="O392" s="8"/>
      <c r="P392" s="8">
        <v>-24</v>
      </c>
      <c r="Q392" s="23" t="str">
        <f>VLOOKUP(B392,[1]제품리스트!$A$2:$J$1000,10,FALSE)</f>
        <v>Angelus Paint Brush Shader #6</v>
      </c>
      <c r="R392" s="17">
        <f t="shared" ref="R392:R401" si="30">P392/11</f>
        <v>-2.1818181818181817</v>
      </c>
      <c r="S392" s="19">
        <f t="shared" ref="S392:S401" si="31">R392/-12</f>
        <v>0.1818181818181818</v>
      </c>
      <c r="T392" s="21">
        <f t="shared" ref="T392:T401" si="32">S392*3</f>
        <v>0.54545454545454541</v>
      </c>
      <c r="U392" s="19" t="e">
        <f>VLOOKUP(B392,[1]재고수량!$A$13:$D$651,3,FALSE)</f>
        <v>#N/A</v>
      </c>
      <c r="V392" s="21" t="e">
        <f t="shared" ref="V392:V401" si="33">U392/12</f>
        <v>#N/A</v>
      </c>
      <c r="X392">
        <f>VLOOKUP(B392,[1]제품리스트!$A$2:$F$1110,5,FALSE)</f>
        <v>1.62</v>
      </c>
      <c r="Y392" s="19">
        <f t="shared" ref="Y392:Y401" si="34">W392*X392</f>
        <v>0</v>
      </c>
    </row>
    <row r="393" spans="1:25" hidden="1" x14ac:dyDescent="0.3">
      <c r="A393" s="5"/>
      <c r="B393" s="6" t="s">
        <v>467</v>
      </c>
      <c r="C393" t="s">
        <v>468</v>
      </c>
      <c r="D393" s="7"/>
      <c r="E393" s="8">
        <v>-14</v>
      </c>
      <c r="F393" s="8"/>
      <c r="G393" s="8"/>
      <c r="H393" s="8"/>
      <c r="I393" s="8">
        <v>0</v>
      </c>
      <c r="J393" s="8"/>
      <c r="K393" s="8"/>
      <c r="L393" s="8">
        <v>-1</v>
      </c>
      <c r="M393" s="8">
        <v>0</v>
      </c>
      <c r="N393" s="8">
        <v>-13</v>
      </c>
      <c r="O393" s="8"/>
      <c r="P393" s="8">
        <v>-28</v>
      </c>
      <c r="Q393" s="23" t="str">
        <f>VLOOKUP(B393,[1]제품리스트!$A$2:$J$1000,10,FALSE)</f>
        <v>Angelus Paint Brush Shader #10</v>
      </c>
      <c r="R393" s="17">
        <f t="shared" si="30"/>
        <v>-2.5454545454545454</v>
      </c>
      <c r="S393" s="19">
        <f t="shared" si="31"/>
        <v>0.21212121212121213</v>
      </c>
      <c r="T393" s="21">
        <f t="shared" si="32"/>
        <v>0.63636363636363635</v>
      </c>
      <c r="U393" s="19" t="e">
        <f>VLOOKUP(B393,[1]재고수량!$A$13:$D$651,3,FALSE)</f>
        <v>#N/A</v>
      </c>
      <c r="V393" s="21" t="e">
        <f t="shared" si="33"/>
        <v>#N/A</v>
      </c>
      <c r="X393">
        <f>VLOOKUP(B393,[1]제품리스트!$A$2:$F$1110,5,FALSE)</f>
        <v>1.62</v>
      </c>
      <c r="Y393" s="19">
        <f t="shared" si="34"/>
        <v>0</v>
      </c>
    </row>
    <row r="394" spans="1:25" hidden="1" x14ac:dyDescent="0.3">
      <c r="A394" s="9"/>
      <c r="B394" s="6" t="s">
        <v>469</v>
      </c>
      <c r="C394" t="s">
        <v>470</v>
      </c>
      <c r="D394" s="7"/>
      <c r="E394" s="8">
        <v>-44</v>
      </c>
      <c r="F394" s="8"/>
      <c r="G394" s="8"/>
      <c r="H394" s="8"/>
      <c r="I394" s="8">
        <v>0</v>
      </c>
      <c r="J394" s="8"/>
      <c r="K394" s="8"/>
      <c r="L394" s="8">
        <v>-14</v>
      </c>
      <c r="M394" s="8"/>
      <c r="N394" s="8"/>
      <c r="O394" s="8"/>
      <c r="P394" s="8">
        <v>-58</v>
      </c>
      <c r="Q394" s="23" t="str">
        <f>VLOOKUP(B394,[1]제품리스트!$A$2:$J$1000,10,FALSE)</f>
        <v>Angelus Paint Brush Spotter 5/0</v>
      </c>
      <c r="R394" s="17">
        <f t="shared" si="30"/>
        <v>-5.2727272727272725</v>
      </c>
      <c r="S394" s="19">
        <f t="shared" si="31"/>
        <v>0.43939393939393939</v>
      </c>
      <c r="T394" s="21">
        <f t="shared" si="32"/>
        <v>1.3181818181818181</v>
      </c>
      <c r="U394" s="19" t="e">
        <f>VLOOKUP(B394,[1]재고수량!$A$13:$D$651,3,FALSE)</f>
        <v>#N/A</v>
      </c>
      <c r="V394" s="21" t="e">
        <f t="shared" si="33"/>
        <v>#N/A</v>
      </c>
      <c r="X394">
        <f>VLOOKUP(B394,[1]제품리스트!$A$2:$F$1110,5,FALSE)</f>
        <v>2.14</v>
      </c>
      <c r="Y394" s="19">
        <f t="shared" si="34"/>
        <v>0</v>
      </c>
    </row>
    <row r="395" spans="1:25" hidden="1" x14ac:dyDescent="0.3">
      <c r="A395" s="5" t="s">
        <v>471</v>
      </c>
      <c r="B395" s="6" t="s">
        <v>472</v>
      </c>
      <c r="C395" t="s">
        <v>472</v>
      </c>
      <c r="D395" s="7"/>
      <c r="E395" s="8"/>
      <c r="F395" s="8"/>
      <c r="G395" s="8"/>
      <c r="H395" s="8"/>
      <c r="I395" s="8"/>
      <c r="J395" s="8">
        <v>1</v>
      </c>
      <c r="K395" s="8">
        <v>-2</v>
      </c>
      <c r="L395" s="8">
        <v>-2</v>
      </c>
      <c r="M395" s="8">
        <v>-3</v>
      </c>
      <c r="N395" s="8"/>
      <c r="O395" s="8"/>
      <c r="P395" s="8">
        <v>-6</v>
      </c>
      <c r="Q395" s="23">
        <f>VLOOKUP(B395,[1]제품리스트!$A$2:$J$1000,10,FALSE)</f>
        <v>0</v>
      </c>
      <c r="R395" s="17">
        <f t="shared" si="30"/>
        <v>-0.54545454545454541</v>
      </c>
      <c r="S395" s="19">
        <f t="shared" si="31"/>
        <v>4.5454545454545449E-2</v>
      </c>
      <c r="T395" s="21">
        <f t="shared" si="32"/>
        <v>0.13636363636363635</v>
      </c>
      <c r="U395" s="19" t="e">
        <f>VLOOKUP(B395,[1]재고수량!$A$13:$D$651,3,FALSE)</f>
        <v>#N/A</v>
      </c>
      <c r="V395" s="21" t="e">
        <f t="shared" si="33"/>
        <v>#N/A</v>
      </c>
      <c r="X395">
        <f>VLOOKUP(B395,[1]제품리스트!$A$2:$F$1110,5,FALSE)</f>
        <v>0</v>
      </c>
      <c r="Y395" s="19">
        <f t="shared" si="34"/>
        <v>0</v>
      </c>
    </row>
    <row r="396" spans="1:25" hidden="1" x14ac:dyDescent="0.3">
      <c r="A396" s="5"/>
      <c r="B396" s="6" t="s">
        <v>473</v>
      </c>
      <c r="C396" t="s">
        <v>473</v>
      </c>
      <c r="D396" s="7">
        <v>-170</v>
      </c>
      <c r="E396" s="8">
        <v>-204</v>
      </c>
      <c r="F396" s="8">
        <v>-299</v>
      </c>
      <c r="G396" s="8">
        <v>-257</v>
      </c>
      <c r="H396" s="8">
        <v>-291</v>
      </c>
      <c r="I396" s="8">
        <v>-163</v>
      </c>
      <c r="J396" s="8">
        <v>-193</v>
      </c>
      <c r="K396" s="8">
        <v>-123</v>
      </c>
      <c r="L396" s="8">
        <v>-154</v>
      </c>
      <c r="M396" s="8">
        <v>-266</v>
      </c>
      <c r="N396" s="8">
        <v>-203</v>
      </c>
      <c r="O396" s="8"/>
      <c r="P396" s="8">
        <v>-2323</v>
      </c>
      <c r="Q396" s="23">
        <f>VLOOKUP(B396,[1]제품리스트!$A$2:$J$1000,10,FALSE)</f>
        <v>0</v>
      </c>
      <c r="R396" s="17">
        <f t="shared" si="30"/>
        <v>-211.18181818181819</v>
      </c>
      <c r="S396" s="19">
        <f t="shared" si="31"/>
        <v>17.598484848484848</v>
      </c>
      <c r="T396" s="21">
        <f t="shared" si="32"/>
        <v>52.795454545454547</v>
      </c>
      <c r="U396" s="19" t="e">
        <f>VLOOKUP(B396,[1]재고수량!$A$13:$D$651,3,FALSE)</f>
        <v>#N/A</v>
      </c>
      <c r="V396" s="21" t="e">
        <f t="shared" si="33"/>
        <v>#N/A</v>
      </c>
      <c r="X396">
        <f>VLOOKUP(B396,[1]제품리스트!$A$2:$F$1110,5,FALSE)</f>
        <v>0</v>
      </c>
      <c r="Y396" s="19">
        <f t="shared" si="34"/>
        <v>0</v>
      </c>
    </row>
    <row r="397" spans="1:25" hidden="1" x14ac:dyDescent="0.3">
      <c r="A397" s="5"/>
      <c r="B397" s="10" t="s">
        <v>474</v>
      </c>
      <c r="C397" s="12" t="s">
        <v>474</v>
      </c>
      <c r="D397" s="7">
        <v>-1860</v>
      </c>
      <c r="E397" s="8">
        <v>-2263</v>
      </c>
      <c r="F397" s="8">
        <v>-2964</v>
      </c>
      <c r="G397" s="8">
        <v>-2606</v>
      </c>
      <c r="H397" s="8">
        <v>-2451</v>
      </c>
      <c r="I397" s="8">
        <v>-2707</v>
      </c>
      <c r="J397" s="8">
        <v>-2158</v>
      </c>
      <c r="K397" s="8">
        <v>-1135</v>
      </c>
      <c r="L397" s="8">
        <v>-2204</v>
      </c>
      <c r="M397" s="8">
        <v>-1734</v>
      </c>
      <c r="N397" s="8">
        <v>-1984</v>
      </c>
      <c r="O397" s="8"/>
      <c r="P397" s="8">
        <v>-24066</v>
      </c>
      <c r="Q397" s="23">
        <f>VLOOKUP(B397,[1]제품리스트!$A$2:$J$1000,10,FALSE)</f>
        <v>0</v>
      </c>
      <c r="R397" s="17">
        <f t="shared" si="30"/>
        <v>-2187.818181818182</v>
      </c>
      <c r="S397" s="19">
        <f t="shared" si="31"/>
        <v>182.31818181818184</v>
      </c>
      <c r="T397" s="21">
        <f t="shared" si="32"/>
        <v>546.9545454545455</v>
      </c>
      <c r="U397" s="19" t="e">
        <f>VLOOKUP(B397,[1]재고수량!$A$13:$D$651,3,FALSE)</f>
        <v>#N/A</v>
      </c>
      <c r="V397" s="21" t="e">
        <f t="shared" si="33"/>
        <v>#N/A</v>
      </c>
      <c r="X397">
        <f>VLOOKUP(B397,[1]제품리스트!$A$2:$F$1110,5,FALSE)</f>
        <v>0</v>
      </c>
      <c r="Y397" s="19">
        <f t="shared" si="34"/>
        <v>0</v>
      </c>
    </row>
    <row r="398" spans="1:25" hidden="1" x14ac:dyDescent="0.3">
      <c r="A398" s="5"/>
      <c r="B398" s="6" t="s">
        <v>475</v>
      </c>
      <c r="C398" t="s">
        <v>476</v>
      </c>
      <c r="D398" s="7">
        <v>-1</v>
      </c>
      <c r="E398" s="8">
        <v>-7</v>
      </c>
      <c r="F398" s="8">
        <v>-14</v>
      </c>
      <c r="G398" s="8">
        <v>-2</v>
      </c>
      <c r="H398" s="8">
        <v>-1</v>
      </c>
      <c r="I398" s="8">
        <v>-2</v>
      </c>
      <c r="J398" s="8">
        <v>-3</v>
      </c>
      <c r="K398" s="8">
        <v>0</v>
      </c>
      <c r="L398" s="8">
        <v>-2</v>
      </c>
      <c r="M398" s="8">
        <v>-2</v>
      </c>
      <c r="N398" s="8">
        <v>-11</v>
      </c>
      <c r="O398" s="8"/>
      <c r="P398" s="8">
        <v>-45</v>
      </c>
      <c r="Q398" s="23">
        <f>VLOOKUP(B398,[1]제품리스트!$A$2:$J$1000,10,FALSE)</f>
        <v>0</v>
      </c>
      <c r="R398" s="17">
        <f t="shared" si="30"/>
        <v>-4.0909090909090908</v>
      </c>
      <c r="S398" s="19">
        <f t="shared" si="31"/>
        <v>0.34090909090909088</v>
      </c>
      <c r="T398" s="21">
        <f t="shared" si="32"/>
        <v>1.0227272727272727</v>
      </c>
      <c r="U398" s="19" t="e">
        <f>VLOOKUP(B398,[1]재고수량!$A$13:$D$651,3,FALSE)</f>
        <v>#N/A</v>
      </c>
      <c r="V398" s="21" t="e">
        <f t="shared" si="33"/>
        <v>#N/A</v>
      </c>
      <c r="X398">
        <f>VLOOKUP(B398,[1]제품리스트!$A$2:$F$1110,5,FALSE)</f>
        <v>0</v>
      </c>
      <c r="Y398" s="19">
        <f t="shared" si="34"/>
        <v>0</v>
      </c>
    </row>
    <row r="399" spans="1:25" hidden="1" x14ac:dyDescent="0.3">
      <c r="A399" s="5"/>
      <c r="B399" s="6" t="s">
        <v>477</v>
      </c>
      <c r="C399" t="s">
        <v>477</v>
      </c>
      <c r="D399" s="7">
        <v>-10</v>
      </c>
      <c r="E399" s="8">
        <v>-13</v>
      </c>
      <c r="F399" s="8">
        <v>-21</v>
      </c>
      <c r="G399" s="8">
        <v>-8</v>
      </c>
      <c r="H399" s="8">
        <v>-3</v>
      </c>
      <c r="I399" s="8">
        <v>-8</v>
      </c>
      <c r="J399" s="8">
        <v>-2</v>
      </c>
      <c r="K399" s="8"/>
      <c r="L399" s="8"/>
      <c r="M399" s="8">
        <v>-1</v>
      </c>
      <c r="N399" s="8">
        <v>-1</v>
      </c>
      <c r="O399" s="8"/>
      <c r="P399" s="8">
        <v>-67</v>
      </c>
      <c r="Q399" s="23">
        <f>VLOOKUP(B399,[1]제품리스트!$A$2:$J$1000,10,FALSE)</f>
        <v>0</v>
      </c>
      <c r="R399" s="17">
        <f t="shared" si="30"/>
        <v>-6.0909090909090908</v>
      </c>
      <c r="S399" s="19">
        <f t="shared" si="31"/>
        <v>0.50757575757575757</v>
      </c>
      <c r="T399" s="21">
        <f t="shared" si="32"/>
        <v>1.5227272727272727</v>
      </c>
      <c r="U399" s="19" t="e">
        <f>VLOOKUP(B399,[1]재고수량!$A$13:$D$651,3,FALSE)</f>
        <v>#N/A</v>
      </c>
      <c r="V399" s="21" t="e">
        <f t="shared" si="33"/>
        <v>#N/A</v>
      </c>
      <c r="X399">
        <f>VLOOKUP(B399,[1]제품리스트!$A$2:$F$1110,5,FALSE)</f>
        <v>0</v>
      </c>
      <c r="Y399" s="19">
        <f t="shared" si="34"/>
        <v>0</v>
      </c>
    </row>
    <row r="400" spans="1:25" hidden="1" x14ac:dyDescent="0.3">
      <c r="A400" s="9"/>
      <c r="B400" s="6" t="s">
        <v>478</v>
      </c>
      <c r="C400" t="s">
        <v>478</v>
      </c>
      <c r="D400" s="7"/>
      <c r="E400" s="8"/>
      <c r="F400" s="8">
        <v>-12</v>
      </c>
      <c r="G400" s="8"/>
      <c r="H400" s="8">
        <v>-12</v>
      </c>
      <c r="I400" s="8"/>
      <c r="J400" s="8"/>
      <c r="K400" s="8"/>
      <c r="L400" s="8"/>
      <c r="M400" s="8"/>
      <c r="N400" s="8"/>
      <c r="O400" s="8"/>
      <c r="P400" s="8">
        <v>-24</v>
      </c>
      <c r="Q400" s="23">
        <f>VLOOKUP(B400,[1]제품리스트!$A$2:$J$1000,10,FALSE)</f>
        <v>0</v>
      </c>
      <c r="R400" s="17">
        <f t="shared" si="30"/>
        <v>-2.1818181818181817</v>
      </c>
      <c r="S400" s="19">
        <f t="shared" si="31"/>
        <v>0.1818181818181818</v>
      </c>
      <c r="T400" s="21">
        <f t="shared" si="32"/>
        <v>0.54545454545454541</v>
      </c>
      <c r="U400" s="19" t="e">
        <f>VLOOKUP(B400,[1]재고수량!$A$13:$D$651,3,FALSE)</f>
        <v>#N/A</v>
      </c>
      <c r="V400" s="21" t="e">
        <f t="shared" si="33"/>
        <v>#N/A</v>
      </c>
      <c r="X400">
        <f>VLOOKUP(B400,[1]제품리스트!$A$2:$F$1110,5,FALSE)</f>
        <v>0</v>
      </c>
      <c r="Y400" s="19">
        <f t="shared" si="34"/>
        <v>0</v>
      </c>
    </row>
    <row r="401" spans="1:25" hidden="1" x14ac:dyDescent="0.3">
      <c r="A401" s="13" t="s">
        <v>15</v>
      </c>
      <c r="B401" s="14"/>
      <c r="C401" s="14"/>
      <c r="D401" s="15">
        <v>-10741.5</v>
      </c>
      <c r="E401" s="15">
        <v>-12143.5</v>
      </c>
      <c r="F401" s="15">
        <v>-17126</v>
      </c>
      <c r="G401" s="15">
        <v>-13461</v>
      </c>
      <c r="H401" s="15">
        <v>-14423</v>
      </c>
      <c r="I401" s="15">
        <v>-12445</v>
      </c>
      <c r="J401" s="15">
        <v>-17028</v>
      </c>
      <c r="K401" s="15">
        <v>-13777</v>
      </c>
      <c r="L401" s="15">
        <v>-12356</v>
      </c>
      <c r="M401" s="15">
        <v>-13673</v>
      </c>
      <c r="N401" s="15">
        <v>-11633</v>
      </c>
      <c r="O401" s="15">
        <v>0</v>
      </c>
      <c r="P401" s="16">
        <v>-148807</v>
      </c>
      <c r="Q401" s="24"/>
      <c r="R401" s="17">
        <f t="shared" si="30"/>
        <v>-13527.90909090909</v>
      </c>
      <c r="S401" s="19">
        <f t="shared" si="31"/>
        <v>1127.3257575757575</v>
      </c>
      <c r="T401" s="21">
        <f t="shared" si="32"/>
        <v>3381.9772727272725</v>
      </c>
      <c r="U401" s="19" t="str">
        <f>VLOOKUP(B401,[1]재고수량!$A$13:$D$651,3,FALSE)</f>
        <v>#072-4온즈 페인트-Gold</v>
      </c>
      <c r="V401" s="21" t="e">
        <f t="shared" si="33"/>
        <v>#VALUE!</v>
      </c>
      <c r="X401" t="e">
        <f>VLOOKUP(B401,[1]제품리스트!$A$2:$F$1110,5,FALSE)</f>
        <v>#N/A</v>
      </c>
      <c r="Y401" s="19" t="e">
        <f t="shared" si="34"/>
        <v>#N/A</v>
      </c>
    </row>
  </sheetData>
  <autoFilter ref="A1:Y401" xr:uid="{98E8822D-627A-452B-9375-D4BB0B8A1839}">
    <filterColumn colId="22">
      <customFilters>
        <customFilter operator="notEqual" val=" "/>
      </customFilters>
    </filterColumn>
  </autoFilter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2020-11-18T13:30:20Z</dcterms:created>
  <dcterms:modified xsi:type="dcterms:W3CDTF">2020-12-02T18:51:25Z</dcterms:modified>
</cp:coreProperties>
</file>