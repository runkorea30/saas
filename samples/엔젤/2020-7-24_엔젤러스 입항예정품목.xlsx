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13_ncr:1_{2376FDB3-28B5-4AEC-87C2-AB2B7887306D}" xr6:coauthVersionLast="45" xr6:coauthVersionMax="45" xr10:uidLastSave="{00000000-0000-0000-0000-000000000000}"/>
  <bookViews>
    <workbookView xWindow="44010" yWindow="1335" windowWidth="30540" windowHeight="19590" xr2:uid="{0A80B249-C54C-4A7E-9EE4-F2A492BC4F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5" i="1" l="1"/>
  <c r="I52" i="1"/>
  <c r="H52" i="1"/>
  <c r="D208" i="1"/>
  <c r="D204" i="1"/>
  <c r="D197" i="1"/>
  <c r="D195" i="1"/>
  <c r="D159" i="1"/>
  <c r="D66" i="1"/>
  <c r="D63" i="1"/>
  <c r="D61" i="1"/>
  <c r="D56" i="1"/>
  <c r="D53" i="1"/>
  <c r="D51" i="1"/>
  <c r="D49" i="1"/>
  <c r="D47" i="1"/>
  <c r="D32" i="1"/>
  <c r="D30" i="1"/>
  <c r="D28" i="1"/>
  <c r="D26" i="1"/>
  <c r="D13" i="1"/>
  <c r="D11" i="1"/>
  <c r="D9" i="1"/>
  <c r="D7" i="1"/>
  <c r="D5" i="1"/>
  <c r="D3" i="1"/>
  <c r="G21" i="2" l="1"/>
  <c r="F21" i="2"/>
  <c r="F8" i="2"/>
  <c r="G7" i="2"/>
  <c r="F7" i="2"/>
  <c r="D18" i="1" l="1"/>
  <c r="D24" i="1" l="1"/>
  <c r="D209" i="1" s="1"/>
</calcChain>
</file>

<file path=xl/sharedStrings.xml><?xml version="1.0" encoding="utf-8"?>
<sst xmlns="http://schemas.openxmlformats.org/spreadsheetml/2006/main" count="610" uniqueCount="243">
  <si>
    <t>Ret.Size</t>
  </si>
  <si>
    <t>Volume</t>
    <phoneticPr fontId="5" type="noConversion"/>
  </si>
  <si>
    <r>
      <rPr>
        <sz val="9"/>
        <color indexed="8"/>
        <rFont val="Arial"/>
        <family val="2"/>
      </rPr>
      <t>Angelus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Paint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Brush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Set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of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Five</t>
    </r>
    <phoneticPr fontId="5" type="noConversion"/>
  </si>
  <si>
    <r>
      <rPr>
        <sz val="9"/>
        <color indexed="8"/>
        <rFont val="Arial"/>
        <family val="2"/>
      </rPr>
      <t>Angelus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Micro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Detail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Paint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Brush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Set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of</t>
    </r>
    <r>
      <rPr>
        <sz val="9"/>
        <color indexed="8"/>
        <rFont val="맑은 고딕"/>
        <family val="3"/>
        <charset val="129"/>
      </rPr>
      <t xml:space="preserve"> </t>
    </r>
    <r>
      <rPr>
        <sz val="9"/>
        <color indexed="8"/>
        <rFont val="Arial"/>
        <family val="2"/>
      </rPr>
      <t>5</t>
    </r>
    <phoneticPr fontId="5" type="noConversion"/>
  </si>
  <si>
    <t>White Ace Supreme Applicator Top</t>
    <phoneticPr fontId="5" type="noConversion"/>
  </si>
  <si>
    <t>3oz</t>
    <phoneticPr fontId="5" type="noConversion"/>
  </si>
  <si>
    <t>Leather Dye-#002-Jet Black</t>
    <phoneticPr fontId="5" type="noConversion"/>
  </si>
  <si>
    <t>Leather Dye-#011-Mahogany</t>
    <phoneticPr fontId="5" type="noConversion"/>
  </si>
  <si>
    <t>Leather Dye-#015-Chocolate</t>
    <phoneticPr fontId="5" type="noConversion"/>
  </si>
  <si>
    <t>Leather Dye-#018-DarkBrown</t>
    <phoneticPr fontId="5" type="noConversion"/>
  </si>
  <si>
    <t>Leather Dye-#021-LightBrown</t>
    <phoneticPr fontId="5" type="noConversion"/>
  </si>
  <si>
    <t>Leather Dye-#022-LightBrown A</t>
    <phoneticPr fontId="5" type="noConversion"/>
  </si>
  <si>
    <t>Leather Dye-#023-Med.Brown</t>
    <phoneticPr fontId="5" type="noConversion"/>
  </si>
  <si>
    <t>Leather Dye-#024-Orange</t>
    <phoneticPr fontId="5" type="noConversion"/>
  </si>
  <si>
    <t>Leather Dye-#025-SunTan</t>
    <phoneticPr fontId="5" type="noConversion"/>
  </si>
  <si>
    <t>Leather Dye-#028-SunTan</t>
    <phoneticPr fontId="5" type="noConversion"/>
  </si>
  <si>
    <t>Leather Dye-#051-KellyGreen</t>
    <phoneticPr fontId="5" type="noConversion"/>
  </si>
  <si>
    <t>Leather Dye-#062-OxBlood</t>
    <phoneticPr fontId="5" type="noConversion"/>
  </si>
  <si>
    <t>Leather Dye-#064-Red</t>
    <phoneticPr fontId="5" type="noConversion"/>
  </si>
  <si>
    <t>Leather Dye Special Black</t>
    <phoneticPr fontId="5" type="noConversion"/>
  </si>
  <si>
    <t>Suede Dye &amp; Dressing #001-Black</t>
    <phoneticPr fontId="5" type="noConversion"/>
  </si>
  <si>
    <t>Suede Dye &amp; Dressing #018-DarkBrown</t>
    <phoneticPr fontId="5" type="noConversion"/>
  </si>
  <si>
    <t>Suede Dye &amp; Dressing #021-LightBrown</t>
    <phoneticPr fontId="5" type="noConversion"/>
  </si>
  <si>
    <t>Suede Dye &amp; Dressing #042-NavyBlue</t>
    <phoneticPr fontId="5" type="noConversion"/>
  </si>
  <si>
    <t>Acrylic Finisher</t>
    <phoneticPr fontId="5" type="noConversion"/>
  </si>
  <si>
    <t>1oz</t>
    <phoneticPr fontId="5" type="noConversion"/>
  </si>
  <si>
    <t>4oz</t>
    <phoneticPr fontId="5" type="noConversion"/>
  </si>
  <si>
    <t>Satin Acrylic Finisher</t>
    <phoneticPr fontId="5" type="noConversion"/>
  </si>
  <si>
    <t xml:space="preserve">Acrylic Finisher High Gloss   </t>
    <phoneticPr fontId="5" type="noConversion"/>
  </si>
  <si>
    <t>Satin Acrylic Finisher High Gloss</t>
    <phoneticPr fontId="5" type="noConversion"/>
  </si>
  <si>
    <t>Matte Acrylic Finisher</t>
    <phoneticPr fontId="5" type="noConversion"/>
  </si>
  <si>
    <t>2-Thin</t>
    <phoneticPr fontId="5" type="noConversion"/>
  </si>
  <si>
    <t>#004-Acrylic Leather Paint Brush Neutral</t>
    <phoneticPr fontId="5" type="noConversion"/>
  </si>
  <si>
    <t>#014-Acrylic Leather Paint Brush Brown</t>
    <phoneticPr fontId="5" type="noConversion"/>
  </si>
  <si>
    <t>#015-Acrylic Leather Paint Brush Chocolate</t>
    <phoneticPr fontId="5" type="noConversion"/>
  </si>
  <si>
    <t>#018-Acrylic Leather Paint Brush DarkBrown</t>
    <phoneticPr fontId="5" type="noConversion"/>
  </si>
  <si>
    <t>#019-Acrylic Leather Paint Brush English Tan</t>
    <phoneticPr fontId="5" type="noConversion"/>
  </si>
  <si>
    <t>#021-Acrylic Leather Paint Brush LightBrown</t>
    <phoneticPr fontId="5" type="noConversion"/>
  </si>
  <si>
    <t>#024-Acrylic Leather Paint Brush Orange</t>
    <phoneticPr fontId="5" type="noConversion"/>
  </si>
  <si>
    <t>#029- Acrylic Leather Paint Brush Tan</t>
    <phoneticPr fontId="5" type="noConversion"/>
  </si>
  <si>
    <t>#040-Acrylic Leather Paint Brush BLUE</t>
    <phoneticPr fontId="5" type="noConversion"/>
  </si>
  <si>
    <t>#041-Acrylic Leather Paint Brush LightBLUE</t>
    <phoneticPr fontId="5" type="noConversion"/>
  </si>
  <si>
    <t>#042-Acrylic Leather Paint Brush NavyBlue</t>
    <phoneticPr fontId="5" type="noConversion"/>
  </si>
  <si>
    <t>#045-Acrylic Leather Paint Brush Blue Turquoise</t>
    <phoneticPr fontId="5" type="noConversion"/>
  </si>
  <si>
    <t>#047-Acrylic Leather Paint Brush Purple</t>
    <phoneticPr fontId="5" type="noConversion"/>
  </si>
  <si>
    <t>#050-Acrylic Leather Paint Brush Green</t>
    <phoneticPr fontId="5" type="noConversion"/>
  </si>
  <si>
    <t>#052-Acrylic Leather Paint Brush MidniteGreen</t>
    <phoneticPr fontId="5" type="noConversion"/>
  </si>
  <si>
    <t>#064-Acrylic Leather Paint Brush Red</t>
    <phoneticPr fontId="5" type="noConversion"/>
  </si>
  <si>
    <t>#070-Acrylic Leather Paint Brush Beige</t>
    <phoneticPr fontId="5" type="noConversion"/>
  </si>
  <si>
    <t>#075-Acrylic Leather Paint Brush Yellow</t>
    <phoneticPr fontId="5" type="noConversion"/>
  </si>
  <si>
    <t>#080-Acrylic Leather Paint Brush DarkGrey</t>
    <phoneticPr fontId="5" type="noConversion"/>
  </si>
  <si>
    <t>#081-Acrylic Leather Paint Brush Grey</t>
    <phoneticPr fontId="5" type="noConversion"/>
  </si>
  <si>
    <t>#082-Acrylic Leather Paint Brush LightGrey</t>
    <phoneticPr fontId="5" type="noConversion"/>
  </si>
  <si>
    <t>#160-Acrylic Leather Paint Brush Vanilla</t>
    <phoneticPr fontId="5" type="noConversion"/>
  </si>
  <si>
    <t>#162-Acrylic Leather Paint Brush Cream</t>
    <phoneticPr fontId="5" type="noConversion"/>
  </si>
  <si>
    <t>#167-Acrylic Leather Paint Brush Taupe</t>
    <phoneticPr fontId="5" type="noConversion"/>
  </si>
  <si>
    <t>#168-Acrylic Leather Paint Brush DarkTaupe</t>
    <phoneticPr fontId="5" type="noConversion"/>
  </si>
  <si>
    <t>#170-Acrylic Leather Paint Brush Avocado</t>
    <phoneticPr fontId="5" type="noConversion"/>
  </si>
  <si>
    <t>#171-Acrylic Leather Paint Brush DarkGreen</t>
    <phoneticPr fontId="5" type="noConversion"/>
  </si>
  <si>
    <t>#172-Acrylic Leather Paint Brush Light Green</t>
    <phoneticPr fontId="5" type="noConversion"/>
  </si>
  <si>
    <t>#174-Acrylic Leather Paint Brush GiftBoxBlue</t>
    <phoneticPr fontId="5" type="noConversion"/>
  </si>
  <si>
    <t>#175-Acrylic Leather Paint Brush Lylac</t>
    <phoneticPr fontId="5" type="noConversion"/>
  </si>
  <si>
    <t>#176-Acrylic Leather Paint Brush PaleBlue</t>
    <phoneticPr fontId="5" type="noConversion"/>
  </si>
  <si>
    <t>#177-Acrylic Leather Paint Brush Sapphire</t>
    <phoneticPr fontId="5" type="noConversion"/>
  </si>
  <si>
    <t>#178-Acrylic Leather Paint Brush Violet</t>
    <phoneticPr fontId="5" type="noConversion"/>
  </si>
  <si>
    <t>#179-Acrylic Leather Paint Brush DarkBlue</t>
    <phoneticPr fontId="5" type="noConversion"/>
  </si>
  <si>
    <t>#185-Acrylic Leather Paint Brush FireRed</t>
    <phoneticPr fontId="5" type="noConversion"/>
  </si>
  <si>
    <t>#186-Acrylic Leather Paint Brush HotPink</t>
    <phoneticPr fontId="5" type="noConversion"/>
  </si>
  <si>
    <t>#189-Acrylic Leather Paint Brush Petal Pink</t>
    <phoneticPr fontId="5" type="noConversion"/>
  </si>
  <si>
    <t>#190-Acrylic Leather Paint Brush ScaletRed</t>
    <phoneticPr fontId="5" type="noConversion"/>
  </si>
  <si>
    <t>#197-Acrylic Leather Paint Brush PaleYellow</t>
    <phoneticPr fontId="5" type="noConversion"/>
  </si>
  <si>
    <t>#260-Acrylic Leather Paint Brush Chili Red</t>
    <phoneticPr fontId="5" type="noConversion"/>
  </si>
  <si>
    <t>#265-Acrylic Leather Paint Brush Tangerine</t>
    <phoneticPr fontId="5" type="noConversion"/>
  </si>
  <si>
    <t>#266-Acrylic Leather Paint Brush Georgia Peach</t>
    <phoneticPr fontId="5" type="noConversion"/>
  </si>
  <si>
    <t>#273-Acrylic Leather Paint Brush Bowler Brown</t>
    <phoneticPr fontId="5" type="noConversion"/>
  </si>
  <si>
    <t>#274-Acrylic Leather Paint Brush Luggage Brown</t>
    <phoneticPr fontId="5" type="noConversion"/>
  </si>
  <si>
    <t>#275-Acrylic Leather Paint Brush Satchel Tan</t>
    <phoneticPr fontId="5" type="noConversion"/>
  </si>
  <si>
    <t>2-Thin 4oz</t>
    <phoneticPr fontId="5" type="noConversion"/>
  </si>
  <si>
    <t>#001-Acrylic Leather Paint Brush Black</t>
    <phoneticPr fontId="5" type="noConversion"/>
  </si>
  <si>
    <t>#005-Acrylic Leather Paint Brush White</t>
    <phoneticPr fontId="5" type="noConversion"/>
  </si>
  <si>
    <t>#101-Acrylic Leather Paint Brush Flat Black</t>
    <phoneticPr fontId="5" type="noConversion"/>
  </si>
  <si>
    <t>#105-Acrylic Leather Paint Brush Flat White</t>
    <phoneticPr fontId="5" type="noConversion"/>
  </si>
  <si>
    <t>#155-Acrylic Leather Paint Brush Bone</t>
    <phoneticPr fontId="5" type="noConversion"/>
  </si>
  <si>
    <t>#163-Acrylic Leather Paint Brush CapazioTan</t>
    <phoneticPr fontId="5" type="noConversion"/>
  </si>
  <si>
    <t>#165-Acrylic Leather Paint Brush BeigeTaupe</t>
    <phoneticPr fontId="5" type="noConversion"/>
  </si>
  <si>
    <t>#166-Acrylic Leather Paint Brush GreyTaupe</t>
    <phoneticPr fontId="5" type="noConversion"/>
  </si>
  <si>
    <t>#191-Acrylic Leather Paint Brush Shell Pink</t>
    <phoneticPr fontId="5" type="noConversion"/>
  </si>
  <si>
    <t>#194-Acrylic Leather Paint Brush Caramel</t>
    <phoneticPr fontId="5" type="noConversion"/>
  </si>
  <si>
    <t>#198-Acrylic Leather Paint BrushButtercup</t>
    <phoneticPr fontId="5" type="noConversion"/>
  </si>
  <si>
    <t>Duller 1oz</t>
    <phoneticPr fontId="5" type="noConversion"/>
  </si>
  <si>
    <t>Duller 4oz</t>
    <phoneticPr fontId="5" type="noConversion"/>
  </si>
  <si>
    <t>#121-Neon Acrylic Leather Paint TahitianPink</t>
    <phoneticPr fontId="5" type="noConversion"/>
  </si>
  <si>
    <t>#122-Neon Acrylic Leather Paint JamaicanJoyPink</t>
    <phoneticPr fontId="5" type="noConversion"/>
  </si>
  <si>
    <t>#123-Neon Acrylic Leather Paint ParisianPink</t>
    <phoneticPr fontId="5" type="noConversion"/>
  </si>
  <si>
    <t>#124-Neon Acrylic Leather Paint ParadisePurple</t>
    <phoneticPr fontId="5" type="noConversion"/>
  </si>
  <si>
    <t>#125-Neon Acrylic Leather Paint AmazonGreen</t>
    <phoneticPr fontId="5" type="noConversion"/>
  </si>
  <si>
    <t>#126-Neon Acrylic Leather Pain PlposicleGreen</t>
    <phoneticPr fontId="5" type="noConversion"/>
  </si>
  <si>
    <t>#127-Neon Acrylic Leather Paint TropicSunYellow</t>
    <phoneticPr fontId="5" type="noConversion"/>
  </si>
  <si>
    <t>#128-Neon Acrylic Leather Pain SunsetYellow</t>
    <phoneticPr fontId="5" type="noConversion"/>
  </si>
  <si>
    <t>#129-Neon Acrylic Leather Paint FlamingOrange</t>
    <phoneticPr fontId="5" type="noConversion"/>
  </si>
  <si>
    <t>#130-Neon Acrylic Leather Paint LavaOrange</t>
    <phoneticPr fontId="5" type="noConversion"/>
  </si>
  <si>
    <t>#131-Neon Acrylic Leather Paint BahamaBlue</t>
    <phoneticPr fontId="5" type="noConversion"/>
  </si>
  <si>
    <t>#310-Collector Edition-aqua</t>
    <phoneticPr fontId="5" type="noConversion"/>
  </si>
  <si>
    <t>#312-Collector Edition-Blaze</t>
    <phoneticPr fontId="5" type="noConversion"/>
  </si>
  <si>
    <t>#315-Collector Edition  Volt</t>
    <phoneticPr fontId="5" type="noConversion"/>
  </si>
  <si>
    <t>#317-Collector Edition-Emerald</t>
    <phoneticPr fontId="5" type="noConversion"/>
  </si>
  <si>
    <t>#319-Collector Edition-Infrared</t>
    <phoneticPr fontId="5" type="noConversion"/>
  </si>
  <si>
    <t>#321-Collector Edition-Maize</t>
    <phoneticPr fontId="5" type="noConversion"/>
  </si>
  <si>
    <t>#326-Collector Edition-Royal5</t>
    <phoneticPr fontId="5" type="noConversion"/>
  </si>
  <si>
    <t>#330-Collector Edition Varsity</t>
    <phoneticPr fontId="5" type="noConversion"/>
  </si>
  <si>
    <t>#332-Collector Edition-Melo2</t>
    <phoneticPr fontId="5" type="noConversion"/>
  </si>
  <si>
    <t>#333-Collector Edition-DTRT Yellow</t>
    <phoneticPr fontId="5" type="noConversion"/>
  </si>
  <si>
    <t>#335-Collector Edition-Yeezy</t>
    <phoneticPr fontId="5" type="noConversion"/>
  </si>
  <si>
    <t>#337-Collector Edition-Grape5</t>
    <phoneticPr fontId="5" type="noConversion"/>
  </si>
  <si>
    <t>#343-Collector Edition Tour Yellow</t>
    <phoneticPr fontId="5" type="noConversion"/>
  </si>
  <si>
    <t>#344-Collector Edition  Thunder Yellow</t>
    <phoneticPr fontId="5" type="noConversion"/>
  </si>
  <si>
    <t>#345-Collector Edition  InfraRed 2014</t>
    <phoneticPr fontId="5" type="noConversion"/>
  </si>
  <si>
    <t>#072-Acrylic Leather Paint Brush Gold</t>
    <phoneticPr fontId="5" type="noConversion"/>
  </si>
  <si>
    <t>#150-Acrylic Leather Paint Brush SILVER</t>
    <phoneticPr fontId="5" type="noConversion"/>
  </si>
  <si>
    <t>Pearlescent Paint Sterling Silver 1 oz.</t>
    <phoneticPr fontId="5" type="noConversion"/>
  </si>
  <si>
    <t>Pearlescent Paint 18K Gold 1 oz.</t>
    <phoneticPr fontId="5" type="noConversion"/>
  </si>
  <si>
    <t>Pearlescent Paint Rose Gold 1 oz.</t>
    <phoneticPr fontId="5" type="noConversion"/>
  </si>
  <si>
    <t xml:space="preserve">Leather Preparer &amp; Deglazer </t>
    <phoneticPr fontId="5" type="noConversion"/>
  </si>
  <si>
    <r>
      <rPr>
        <sz val="11"/>
        <color indexed="8"/>
        <rFont val="Arial"/>
        <family val="2"/>
      </rPr>
      <t>Easy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Cleaner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8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oz</t>
    </r>
    <phoneticPr fontId="5" type="noConversion"/>
  </si>
  <si>
    <t>8 oz</t>
    <phoneticPr fontId="5" type="noConversion"/>
  </si>
  <si>
    <r>
      <t>Sole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Bright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4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oz.Sole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Restorer</t>
    </r>
    <phoneticPr fontId="5" type="noConversion"/>
  </si>
  <si>
    <t>SoleBright 4oz</t>
    <phoneticPr fontId="5" type="noConversion"/>
  </si>
  <si>
    <t>599BT000</t>
  </si>
  <si>
    <t>Angelus Dyeliner Broad Tip</t>
    <phoneticPr fontId="5" type="noConversion"/>
  </si>
  <si>
    <t>599FT000</t>
  </si>
  <si>
    <t>Angelus Dyeliner Fine Tip</t>
    <phoneticPr fontId="5" type="noConversion"/>
  </si>
  <si>
    <t>72201000hard</t>
    <phoneticPr fontId="5" type="noConversion"/>
  </si>
  <si>
    <r>
      <t>2-Hard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Film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Hardener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1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oz.</t>
    </r>
    <phoneticPr fontId="5" type="noConversion"/>
  </si>
  <si>
    <t>72201000soft</t>
    <phoneticPr fontId="5" type="noConversion"/>
  </si>
  <si>
    <r>
      <t>2-Soft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Fabric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Medium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1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oz.</t>
    </r>
    <phoneticPr fontId="5" type="noConversion"/>
  </si>
  <si>
    <t>72204000hard</t>
    <phoneticPr fontId="5" type="noConversion"/>
  </si>
  <si>
    <r>
      <t>2-Hard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Film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Hardener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4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oz.</t>
    </r>
    <phoneticPr fontId="5" type="noConversion"/>
  </si>
  <si>
    <t>72204000soft</t>
    <phoneticPr fontId="5" type="noConversion"/>
  </si>
  <si>
    <r>
      <t>2-Soft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Fabric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Medium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4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oz.</t>
    </r>
    <phoneticPr fontId="5" type="noConversion"/>
  </si>
  <si>
    <t>79912PKBASICSKIT</t>
  </si>
  <si>
    <r>
      <t>12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Pack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-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Angelus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Leather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Paint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Basics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Kit</t>
    </r>
    <phoneticPr fontId="5" type="noConversion"/>
  </si>
  <si>
    <t>820PT000</t>
    <phoneticPr fontId="5" type="noConversion"/>
  </si>
  <si>
    <t>Leather Preparer &amp; Deglazer Pints</t>
    <phoneticPr fontId="5" type="noConversion"/>
  </si>
  <si>
    <t>Pint</t>
    <phoneticPr fontId="5" type="noConversion"/>
  </si>
  <si>
    <t>84008KIT</t>
    <phoneticPr fontId="10" type="noConversion"/>
  </si>
  <si>
    <t>Easy Cleaner Kit</t>
    <phoneticPr fontId="5" type="noConversion"/>
  </si>
  <si>
    <t>84205KIT</t>
    <phoneticPr fontId="10" type="noConversion"/>
  </si>
  <si>
    <t>Foam-Tex Cleaning Kit</t>
    <phoneticPr fontId="5" type="noConversion"/>
  </si>
  <si>
    <t>845WS000</t>
    <phoneticPr fontId="5" type="noConversion"/>
  </si>
  <si>
    <t>All purpose Claener</t>
    <phoneticPr fontId="5" type="noConversion"/>
  </si>
  <si>
    <t>851WS000</t>
  </si>
  <si>
    <t>Water &amp; Stain Repellant Aerosol</t>
    <phoneticPr fontId="5" type="noConversion"/>
  </si>
  <si>
    <t>99200PSTREE</t>
    <phoneticPr fontId="10" type="noConversion"/>
  </si>
  <si>
    <r>
      <rPr>
        <sz val="11"/>
        <color indexed="8"/>
        <rFont val="Arial"/>
        <family val="2"/>
      </rPr>
      <t>Plastic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Shoe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Tree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6-13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Pair</t>
    </r>
    <phoneticPr fontId="5" type="noConversion"/>
  </si>
  <si>
    <t>99205HogBrush</t>
  </si>
  <si>
    <r>
      <t>Angelus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Hog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Bristle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Sneaker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Cleaning</t>
    </r>
    <phoneticPr fontId="5" type="noConversion"/>
  </si>
  <si>
    <t>99205PremSneakerBr...</t>
  </si>
  <si>
    <r>
      <t>Angelus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Premium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Sneaker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Cleaning</t>
    </r>
    <r>
      <rPr>
        <sz val="10"/>
        <color indexed="8"/>
        <rFont val="Calibri"/>
        <family val="2"/>
      </rPr>
      <t> </t>
    </r>
    <r>
      <rPr>
        <sz val="10"/>
        <color indexed="8"/>
        <rFont val="Arial"/>
        <family val="2"/>
      </rPr>
      <t>Brush</t>
    </r>
    <phoneticPr fontId="5" type="noConversion"/>
  </si>
  <si>
    <t>992HBROCKER</t>
  </si>
  <si>
    <r>
      <t>Angelus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Horsehair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Rocker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Brush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-</t>
    </r>
    <r>
      <rPr>
        <sz val="11"/>
        <color indexed="8"/>
        <rFont val="Calibri"/>
        <family val="2"/>
      </rPr>
      <t> </t>
    </r>
    <r>
      <rPr>
        <sz val="11"/>
        <color indexed="8"/>
        <rFont val="Arial"/>
        <family val="2"/>
      </rPr>
      <t>6.75"</t>
    </r>
    <phoneticPr fontId="5" type="noConversion"/>
  </si>
  <si>
    <t>Cleaning Brush</t>
    <phoneticPr fontId="5" type="noConversion"/>
  </si>
  <si>
    <r>
      <rPr>
        <sz val="11"/>
        <color indexed="8"/>
        <rFont val="Arial"/>
        <family val="2"/>
      </rPr>
      <t>Premium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Sneaker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Cleaning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Brush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indexed="8"/>
        <rFont val="Arial"/>
        <family val="2"/>
      </rPr>
      <t>each</t>
    </r>
    <phoneticPr fontId="5" type="noConversion"/>
  </si>
  <si>
    <t>towel</t>
    <phoneticPr fontId="5" type="noConversion"/>
  </si>
  <si>
    <t>Premium Microfiber Towel</t>
    <phoneticPr fontId="5" type="noConversion"/>
  </si>
  <si>
    <t>레더다이</t>
  </si>
  <si>
    <t>스웨이드다이</t>
  </si>
  <si>
    <t>피니셔1온즈</t>
  </si>
  <si>
    <t>피니셔4온즈</t>
  </si>
  <si>
    <t>2-씬 1온즈</t>
  </si>
  <si>
    <t>페인트</t>
  </si>
  <si>
    <t>2-씬 4온즈</t>
  </si>
  <si>
    <t>페인트4온즈</t>
  </si>
  <si>
    <t>페인트 1온즈</t>
  </si>
  <si>
    <t>디글레이저</t>
  </si>
  <si>
    <t>이지클리너</t>
  </si>
  <si>
    <t>Duller 1oz</t>
  </si>
  <si>
    <t>Duller 4oz</t>
  </si>
  <si>
    <t>Sole Bright 4 oz.Sole Restorer</t>
  </si>
  <si>
    <t>2-Hard Film Hardener 1 oz.</t>
  </si>
  <si>
    <t>2-Soft Fabric Medium 1 oz.</t>
  </si>
  <si>
    <t>2-Hard Film Hardener 4 oz.</t>
  </si>
  <si>
    <t>2-Soft Fabric Medium 4 oz.</t>
  </si>
  <si>
    <t>Leather Preparer &amp; Deglazer Pints</t>
  </si>
  <si>
    <t>Easy Cleaner Kit</t>
  </si>
  <si>
    <t>All purpose Claener</t>
  </si>
  <si>
    <t>Water &amp; Stain Repellant Aerosol</t>
  </si>
  <si>
    <t>3100-2박스</t>
    <phoneticPr fontId="2" type="noConversion"/>
  </si>
  <si>
    <t>3112-08박스</t>
    <phoneticPr fontId="2" type="noConversion"/>
  </si>
  <si>
    <t>38.1-21.2</t>
    <phoneticPr fontId="2" type="noConversion"/>
  </si>
  <si>
    <t>63.5-70</t>
    <phoneticPr fontId="2" type="noConversion"/>
  </si>
  <si>
    <t>백화제</t>
    <phoneticPr fontId="2" type="noConversion"/>
  </si>
  <si>
    <t>레더다이</t>
    <phoneticPr fontId="2" type="noConversion"/>
  </si>
  <si>
    <t>기타</t>
    <phoneticPr fontId="2" type="noConversion"/>
  </si>
  <si>
    <t>스웨이드다이</t>
    <phoneticPr fontId="2" type="noConversion"/>
  </si>
  <si>
    <t>피니셔1온즈</t>
    <phoneticPr fontId="2" type="noConversion"/>
  </si>
  <si>
    <t>피니셔4온즈</t>
    <phoneticPr fontId="2" type="noConversion"/>
  </si>
  <si>
    <t>2씬1온즈</t>
    <phoneticPr fontId="2" type="noConversion"/>
  </si>
  <si>
    <t>페인트</t>
    <phoneticPr fontId="2" type="noConversion"/>
  </si>
  <si>
    <t>페인트1온즈</t>
    <phoneticPr fontId="2" type="noConversion"/>
  </si>
  <si>
    <t>2씬4온즈</t>
    <phoneticPr fontId="2" type="noConversion"/>
  </si>
  <si>
    <t>페인트4온즈</t>
    <phoneticPr fontId="2" type="noConversion"/>
  </si>
  <si>
    <t>둘러1온즈</t>
    <phoneticPr fontId="2" type="noConversion"/>
  </si>
  <si>
    <t>둘러4온즈</t>
    <phoneticPr fontId="2" type="noConversion"/>
  </si>
  <si>
    <t>디글레이저4온즈</t>
    <phoneticPr fontId="2" type="noConversion"/>
  </si>
  <si>
    <t>이지클리너</t>
    <phoneticPr fontId="2" type="noConversion"/>
  </si>
  <si>
    <t>솔브라이트</t>
    <phoneticPr fontId="2" type="noConversion"/>
  </si>
  <si>
    <t>2하드1온즈</t>
    <phoneticPr fontId="2" type="noConversion"/>
  </si>
  <si>
    <t>2소프트1온즈</t>
    <phoneticPr fontId="2" type="noConversion"/>
  </si>
  <si>
    <t>2하드4온즈</t>
    <phoneticPr fontId="2" type="noConversion"/>
  </si>
  <si>
    <t>2소프트4온즈</t>
    <phoneticPr fontId="2" type="noConversion"/>
  </si>
  <si>
    <t>베이직키트</t>
    <phoneticPr fontId="2" type="noConversion"/>
  </si>
  <si>
    <t>디글레이저파인트</t>
    <phoneticPr fontId="2" type="noConversion"/>
  </si>
  <si>
    <t>폼텍스크리너</t>
    <phoneticPr fontId="2" type="noConversion"/>
  </si>
  <si>
    <t>올퍼포스클리너</t>
    <phoneticPr fontId="2" type="noConversion"/>
  </si>
  <si>
    <t>방수제</t>
    <phoneticPr fontId="2" type="noConversion"/>
  </si>
  <si>
    <t>기타 요약</t>
  </si>
  <si>
    <t>백화제 요약</t>
  </si>
  <si>
    <t>레더다이 요약</t>
  </si>
  <si>
    <t>스웨이드다이 요약</t>
  </si>
  <si>
    <t>피니셔1온즈 요약</t>
  </si>
  <si>
    <t>피니셔4온즈 요약</t>
  </si>
  <si>
    <t>2씬1온즈 요약</t>
  </si>
  <si>
    <t>페인트1온즈 요약</t>
  </si>
  <si>
    <t>2씬4온즈 요약</t>
  </si>
  <si>
    <t>페인트4온즈 요약</t>
  </si>
  <si>
    <t>둘러1온즈 요약</t>
  </si>
  <si>
    <t>둘러4온즈 요약</t>
  </si>
  <si>
    <t>디글레이저4온즈 요약</t>
  </si>
  <si>
    <t>이지클리너 요약</t>
  </si>
  <si>
    <t>솔브라이트 요약</t>
  </si>
  <si>
    <t>2하드1온즈 요약</t>
  </si>
  <si>
    <t>2소프트1온즈 요약</t>
  </si>
  <si>
    <t>2하드4온즈 요약</t>
  </si>
  <si>
    <t>2소프트4온즈 요약</t>
  </si>
  <si>
    <t>베이직키트 요약</t>
  </si>
  <si>
    <t>디글레이저파인트 요약</t>
  </si>
  <si>
    <t>폼텍스크리너 요약</t>
  </si>
  <si>
    <t>올퍼포스클리너 요약</t>
  </si>
  <si>
    <t>방수제 요약</t>
  </si>
  <si>
    <t>총합계</t>
  </si>
  <si>
    <t>비고</t>
    <phoneticPr fontId="2" type="noConversion"/>
  </si>
  <si>
    <t>출력할 장수</t>
    <phoneticPr fontId="2" type="noConversion"/>
  </si>
  <si>
    <t>디글레이저1온즈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</si>
</sst>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Arial"/>
      <family val="2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indexed="8"/>
      <name val="Arial"/>
      <family val="2"/>
    </font>
    <font>
      <sz val="9"/>
      <color indexed="8"/>
      <name val="맑은 고딕"/>
      <family val="3"/>
      <charset val="129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1" fontId="4" fillId="0" borderId="1" xfId="1" applyFont="1" applyBorder="1" applyAlignment="1">
      <alignment horizontal="center"/>
    </xf>
    <xf numFmtId="41" fontId="4" fillId="2" borderId="1" xfId="1" applyFont="1" applyFill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0" fontId="6" fillId="0" borderId="1" xfId="0" applyFont="1" applyBorder="1">
      <alignment vertical="center"/>
    </xf>
    <xf numFmtId="41" fontId="3" fillId="2" borderId="1" xfId="1" applyFont="1" applyFill="1" applyBorder="1">
      <alignment vertical="center"/>
    </xf>
    <xf numFmtId="0" fontId="0" fillId="0" borderId="1" xfId="0" applyBorder="1">
      <alignment vertical="center"/>
    </xf>
    <xf numFmtId="176" fontId="3" fillId="2" borderId="1" xfId="1" applyNumberFormat="1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17" fontId="0" fillId="0" borderId="0" xfId="0" applyNumberFormat="1">
      <alignment vertical="center"/>
    </xf>
    <xf numFmtId="0" fontId="13" fillId="0" borderId="0" xfId="0" applyFont="1">
      <alignment vertical="center"/>
    </xf>
    <xf numFmtId="0" fontId="6" fillId="0" borderId="0" xfId="0" applyFont="1" applyBorder="1">
      <alignment vertical="center"/>
    </xf>
    <xf numFmtId="0" fontId="4" fillId="0" borderId="0" xfId="1" applyNumberFormat="1" applyFont="1" applyBorder="1" applyAlignment="1">
      <alignment horizontal="center"/>
    </xf>
    <xf numFmtId="41" fontId="3" fillId="2" borderId="0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7C55-FD26-4CD4-9C12-E6D15214B202}">
  <dimension ref="A1:I218"/>
  <sheetViews>
    <sheetView tabSelected="1" topLeftCell="A43" workbookViewId="0">
      <selection activeCell="D57" sqref="D57:D60"/>
    </sheetView>
  </sheetViews>
  <sheetFormatPr defaultRowHeight="16.5" outlineLevelRow="2" x14ac:dyDescent="0.3"/>
  <cols>
    <col min="2" max="2" width="40" bestFit="1" customWidth="1"/>
  </cols>
  <sheetData>
    <row r="1" spans="1:7" x14ac:dyDescent="0.2">
      <c r="A1" s="1"/>
      <c r="B1" s="2" t="s">
        <v>0</v>
      </c>
      <c r="C1" s="3" t="s">
        <v>0</v>
      </c>
      <c r="D1" s="2" t="s">
        <v>1</v>
      </c>
      <c r="E1" t="s">
        <v>240</v>
      </c>
      <c r="G1" t="s">
        <v>241</v>
      </c>
    </row>
    <row r="2" spans="1:7" outlineLevel="2" x14ac:dyDescent="0.2">
      <c r="A2" s="4" t="s">
        <v>133</v>
      </c>
      <c r="B2" s="5" t="s">
        <v>134</v>
      </c>
      <c r="C2" s="6" t="s">
        <v>25</v>
      </c>
      <c r="D2" s="7">
        <v>10</v>
      </c>
      <c r="E2" t="s">
        <v>207</v>
      </c>
    </row>
    <row r="3" spans="1:7" outlineLevel="1" x14ac:dyDescent="0.2">
      <c r="A3" s="4"/>
      <c r="B3" s="5"/>
      <c r="C3" s="6"/>
      <c r="D3" s="7">
        <f>SUBTOTAL(9,D2:D2)</f>
        <v>10</v>
      </c>
      <c r="E3" s="12" t="s">
        <v>231</v>
      </c>
      <c r="G3">
        <v>2</v>
      </c>
    </row>
    <row r="4" spans="1:7" outlineLevel="2" x14ac:dyDescent="0.2">
      <c r="A4" s="4" t="s">
        <v>137</v>
      </c>
      <c r="B4" s="5" t="s">
        <v>138</v>
      </c>
      <c r="C4" s="6" t="s">
        <v>26</v>
      </c>
      <c r="D4" s="7">
        <v>3</v>
      </c>
      <c r="E4" t="s">
        <v>209</v>
      </c>
    </row>
    <row r="5" spans="1:7" outlineLevel="1" x14ac:dyDescent="0.2">
      <c r="A5" s="4"/>
      <c r="B5" s="5"/>
      <c r="C5" s="6"/>
      <c r="D5" s="7">
        <f>SUBTOTAL(9,D4:D4)</f>
        <v>3</v>
      </c>
      <c r="E5" s="12" t="s">
        <v>233</v>
      </c>
      <c r="G5">
        <v>3</v>
      </c>
    </row>
    <row r="6" spans="1:7" outlineLevel="2" x14ac:dyDescent="0.2">
      <c r="A6" s="4">
        <v>72001000</v>
      </c>
      <c r="B6" s="5" t="s">
        <v>31</v>
      </c>
      <c r="C6" s="6" t="s">
        <v>25</v>
      </c>
      <c r="D6" s="7">
        <v>60</v>
      </c>
      <c r="E6" t="s">
        <v>196</v>
      </c>
    </row>
    <row r="7" spans="1:7" outlineLevel="1" x14ac:dyDescent="0.2">
      <c r="A7" s="4"/>
      <c r="B7" s="5"/>
      <c r="C7" s="6"/>
      <c r="D7" s="7">
        <f>SUBTOTAL(9,D6:D6)</f>
        <v>60</v>
      </c>
      <c r="E7" s="12" t="s">
        <v>221</v>
      </c>
      <c r="G7">
        <v>10</v>
      </c>
    </row>
    <row r="8" spans="1:7" outlineLevel="2" x14ac:dyDescent="0.2">
      <c r="A8" s="4">
        <v>72004000</v>
      </c>
      <c r="B8" s="5" t="s">
        <v>77</v>
      </c>
      <c r="C8" s="6" t="s">
        <v>26</v>
      </c>
      <c r="D8" s="7">
        <v>20</v>
      </c>
      <c r="E8" t="s">
        <v>199</v>
      </c>
    </row>
    <row r="9" spans="1:7" outlineLevel="1" x14ac:dyDescent="0.2">
      <c r="A9" s="4"/>
      <c r="B9" s="5"/>
      <c r="C9" s="6"/>
      <c r="D9" s="7">
        <f>SUBTOTAL(9,D8:D8)</f>
        <v>20</v>
      </c>
      <c r="E9" s="12" t="s">
        <v>223</v>
      </c>
      <c r="G9">
        <v>20</v>
      </c>
    </row>
    <row r="10" spans="1:7" outlineLevel="2" x14ac:dyDescent="0.2">
      <c r="A10" s="4" t="s">
        <v>131</v>
      </c>
      <c r="B10" s="5" t="s">
        <v>132</v>
      </c>
      <c r="C10" s="6" t="s">
        <v>25</v>
      </c>
      <c r="D10" s="7">
        <v>10</v>
      </c>
      <c r="E10" t="s">
        <v>206</v>
      </c>
    </row>
    <row r="11" spans="1:7" outlineLevel="1" x14ac:dyDescent="0.2">
      <c r="A11" s="4"/>
      <c r="B11" s="5"/>
      <c r="C11" s="6"/>
      <c r="D11" s="7">
        <f>SUBTOTAL(9,D10:D10)</f>
        <v>10</v>
      </c>
      <c r="E11" s="12" t="s">
        <v>230</v>
      </c>
      <c r="G11">
        <v>2</v>
      </c>
    </row>
    <row r="12" spans="1:7" outlineLevel="2" x14ac:dyDescent="0.2">
      <c r="A12" s="4" t="s">
        <v>135</v>
      </c>
      <c r="B12" s="5" t="s">
        <v>136</v>
      </c>
      <c r="C12" s="6" t="s">
        <v>26</v>
      </c>
      <c r="D12" s="7">
        <v>3</v>
      </c>
      <c r="E12" t="s">
        <v>208</v>
      </c>
    </row>
    <row r="13" spans="1:7" outlineLevel="1" x14ac:dyDescent="0.2">
      <c r="A13" s="4"/>
      <c r="B13" s="5"/>
      <c r="C13" s="6"/>
      <c r="D13" s="7">
        <f>SUBTOTAL(9,D12:D12)</f>
        <v>3</v>
      </c>
      <c r="E13" s="12" t="s">
        <v>232</v>
      </c>
      <c r="G13">
        <v>3</v>
      </c>
    </row>
    <row r="14" spans="1:7" outlineLevel="2" x14ac:dyDescent="0.2">
      <c r="A14" s="4">
        <v>7995100</v>
      </c>
      <c r="B14" s="5" t="s">
        <v>2</v>
      </c>
      <c r="C14" s="6"/>
      <c r="D14" s="7">
        <v>200</v>
      </c>
      <c r="E14" t="s">
        <v>192</v>
      </c>
    </row>
    <row r="15" spans="1:7" outlineLevel="2" x14ac:dyDescent="0.2">
      <c r="A15" s="4">
        <v>7995101</v>
      </c>
      <c r="B15" s="5" t="s">
        <v>3</v>
      </c>
      <c r="C15" s="6"/>
      <c r="D15" s="7">
        <v>100</v>
      </c>
      <c r="E15" t="s">
        <v>192</v>
      </c>
    </row>
    <row r="16" spans="1:7" outlineLevel="2" x14ac:dyDescent="0.2">
      <c r="A16" s="4" t="s">
        <v>127</v>
      </c>
      <c r="B16" s="5" t="s">
        <v>128</v>
      </c>
      <c r="C16" s="6"/>
      <c r="D16" s="7">
        <v>36</v>
      </c>
      <c r="E16" t="s">
        <v>192</v>
      </c>
    </row>
    <row r="17" spans="1:7" outlineLevel="2" x14ac:dyDescent="0.2">
      <c r="A17" s="4" t="s">
        <v>129</v>
      </c>
      <c r="B17" s="5" t="s">
        <v>130</v>
      </c>
      <c r="C17" s="6"/>
      <c r="D17" s="7">
        <v>36</v>
      </c>
      <c r="E17" t="s">
        <v>192</v>
      </c>
    </row>
    <row r="18" spans="1:7" outlineLevel="2" x14ac:dyDescent="0.2">
      <c r="A18" s="4" t="s">
        <v>152</v>
      </c>
      <c r="B18" s="5" t="s">
        <v>153</v>
      </c>
      <c r="C18" s="6"/>
      <c r="D18" s="7">
        <f>24*10</f>
        <v>240</v>
      </c>
      <c r="E18" t="s">
        <v>192</v>
      </c>
    </row>
    <row r="19" spans="1:7" outlineLevel="2" x14ac:dyDescent="0.2">
      <c r="A19" s="4" t="s">
        <v>154</v>
      </c>
      <c r="B19" s="5" t="s">
        <v>155</v>
      </c>
      <c r="C19" s="6"/>
      <c r="D19" s="7">
        <v>60</v>
      </c>
      <c r="E19" t="s">
        <v>192</v>
      </c>
    </row>
    <row r="20" spans="1:7" outlineLevel="2" x14ac:dyDescent="0.2">
      <c r="A20" s="4" t="s">
        <v>156</v>
      </c>
      <c r="B20" s="5" t="s">
        <v>157</v>
      </c>
      <c r="C20" s="6"/>
      <c r="D20" s="7">
        <v>60</v>
      </c>
      <c r="E20" t="s">
        <v>192</v>
      </c>
    </row>
    <row r="21" spans="1:7" outlineLevel="2" x14ac:dyDescent="0.2">
      <c r="A21" s="4" t="s">
        <v>158</v>
      </c>
      <c r="B21" s="5" t="s">
        <v>159</v>
      </c>
      <c r="C21" s="6"/>
      <c r="D21" s="7">
        <v>60</v>
      </c>
      <c r="E21" t="s">
        <v>192</v>
      </c>
    </row>
    <row r="22" spans="1:7" outlineLevel="2" x14ac:dyDescent="0.2">
      <c r="A22" s="4" t="s">
        <v>160</v>
      </c>
      <c r="B22" s="5" t="s">
        <v>161</v>
      </c>
      <c r="C22" s="6"/>
      <c r="D22" s="7">
        <v>100</v>
      </c>
      <c r="E22" t="s">
        <v>192</v>
      </c>
    </row>
    <row r="23" spans="1:7" outlineLevel="2" x14ac:dyDescent="0.2">
      <c r="A23" s="4" t="s">
        <v>162</v>
      </c>
      <c r="B23" s="5" t="s">
        <v>163</v>
      </c>
      <c r="C23" s="6"/>
      <c r="D23" s="7">
        <v>100</v>
      </c>
      <c r="E23" t="s">
        <v>192</v>
      </c>
    </row>
    <row r="24" spans="1:7" outlineLevel="1" x14ac:dyDescent="0.2">
      <c r="A24" s="4"/>
      <c r="B24" s="5"/>
      <c r="C24" s="6"/>
      <c r="D24" s="7">
        <f>SUBTOTAL(9,D14:D23)</f>
        <v>992</v>
      </c>
      <c r="E24" s="12" t="s">
        <v>215</v>
      </c>
    </row>
    <row r="25" spans="1:7" outlineLevel="2" x14ac:dyDescent="0.2">
      <c r="A25" s="4">
        <v>72201000</v>
      </c>
      <c r="B25" s="5" t="s">
        <v>89</v>
      </c>
      <c r="C25" s="6" t="s">
        <v>25</v>
      </c>
      <c r="D25" s="7">
        <v>40</v>
      </c>
      <c r="E25" t="s">
        <v>201</v>
      </c>
    </row>
    <row r="26" spans="1:7" outlineLevel="1" x14ac:dyDescent="0.2">
      <c r="A26" s="4"/>
      <c r="B26" s="5"/>
      <c r="C26" s="6"/>
      <c r="D26" s="7">
        <f>SUBTOTAL(9,D25:D25)</f>
        <v>40</v>
      </c>
      <c r="E26" s="12" t="s">
        <v>225</v>
      </c>
      <c r="G26">
        <v>8</v>
      </c>
    </row>
    <row r="27" spans="1:7" outlineLevel="2" x14ac:dyDescent="0.2">
      <c r="A27" s="4">
        <v>72204000</v>
      </c>
      <c r="B27" s="5" t="s">
        <v>90</v>
      </c>
      <c r="C27" s="6" t="s">
        <v>26</v>
      </c>
      <c r="D27" s="7">
        <v>5</v>
      </c>
      <c r="E27" t="s">
        <v>202</v>
      </c>
    </row>
    <row r="28" spans="1:7" outlineLevel="1" x14ac:dyDescent="0.2">
      <c r="A28" s="4"/>
      <c r="B28" s="5"/>
      <c r="C28" s="6"/>
      <c r="D28" s="7">
        <f>SUBTOTAL(9,D27:D27)</f>
        <v>5</v>
      </c>
      <c r="E28" s="12" t="s">
        <v>226</v>
      </c>
      <c r="G28">
        <v>5</v>
      </c>
    </row>
    <row r="29" spans="1:7" outlineLevel="2" x14ac:dyDescent="0.2">
      <c r="A29" s="4">
        <v>82004000</v>
      </c>
      <c r="B29" s="5" t="s">
        <v>122</v>
      </c>
      <c r="C29" s="6" t="s">
        <v>26</v>
      </c>
      <c r="D29" s="7">
        <v>150</v>
      </c>
      <c r="E29" t="s">
        <v>203</v>
      </c>
    </row>
    <row r="30" spans="1:7" outlineLevel="1" x14ac:dyDescent="0.2">
      <c r="A30" s="4"/>
      <c r="B30" s="5"/>
      <c r="C30" s="6"/>
      <c r="D30" s="7">
        <f>SUBTOTAL(9,D29:D29)</f>
        <v>150</v>
      </c>
      <c r="E30" s="12" t="s">
        <v>227</v>
      </c>
      <c r="G30">
        <v>150</v>
      </c>
    </row>
    <row r="31" spans="1:7" outlineLevel="2" x14ac:dyDescent="0.2">
      <c r="A31" s="4" t="s">
        <v>141</v>
      </c>
      <c r="B31" s="5" t="s">
        <v>142</v>
      </c>
      <c r="C31" s="6" t="s">
        <v>143</v>
      </c>
      <c r="D31" s="7">
        <v>60</v>
      </c>
      <c r="E31" t="s">
        <v>211</v>
      </c>
    </row>
    <row r="32" spans="1:7" outlineLevel="1" x14ac:dyDescent="0.2">
      <c r="A32" s="4"/>
      <c r="B32" s="5"/>
      <c r="C32" s="6"/>
      <c r="D32" s="7">
        <f>SUBTOTAL(9,D31:D31)</f>
        <v>60</v>
      </c>
      <c r="E32" s="12" t="s">
        <v>235</v>
      </c>
      <c r="G32">
        <v>5</v>
      </c>
    </row>
    <row r="33" spans="1:8" outlineLevel="2" x14ac:dyDescent="0.2">
      <c r="A33" s="4">
        <v>50003002</v>
      </c>
      <c r="B33" s="5" t="s">
        <v>6</v>
      </c>
      <c r="C33" s="6" t="s">
        <v>5</v>
      </c>
      <c r="D33" s="7">
        <v>20</v>
      </c>
      <c r="E33" t="s">
        <v>191</v>
      </c>
    </row>
    <row r="34" spans="1:8" outlineLevel="2" x14ac:dyDescent="0.2">
      <c r="A34" s="4">
        <v>50003011</v>
      </c>
      <c r="B34" s="5" t="s">
        <v>7</v>
      </c>
      <c r="C34" s="6" t="s">
        <v>5</v>
      </c>
      <c r="D34" s="7">
        <v>3</v>
      </c>
      <c r="E34" t="s">
        <v>191</v>
      </c>
    </row>
    <row r="35" spans="1:8" outlineLevel="2" x14ac:dyDescent="0.2">
      <c r="A35" s="4">
        <v>50003015</v>
      </c>
      <c r="B35" s="5" t="s">
        <v>8</v>
      </c>
      <c r="C35" s="6" t="s">
        <v>5</v>
      </c>
      <c r="D35" s="7">
        <v>3</v>
      </c>
      <c r="E35" t="s">
        <v>191</v>
      </c>
    </row>
    <row r="36" spans="1:8" outlineLevel="2" x14ac:dyDescent="0.2">
      <c r="A36" s="4">
        <v>50003018</v>
      </c>
      <c r="B36" s="5" t="s">
        <v>9</v>
      </c>
      <c r="C36" s="6" t="s">
        <v>5</v>
      </c>
      <c r="D36" s="7">
        <v>3</v>
      </c>
      <c r="E36" t="s">
        <v>191</v>
      </c>
    </row>
    <row r="37" spans="1:8" outlineLevel="2" x14ac:dyDescent="0.2">
      <c r="A37" s="4">
        <v>50003021</v>
      </c>
      <c r="B37" s="5" t="s">
        <v>10</v>
      </c>
      <c r="C37" s="6" t="s">
        <v>5</v>
      </c>
      <c r="D37" s="7">
        <v>3</v>
      </c>
      <c r="E37" t="s">
        <v>191</v>
      </c>
    </row>
    <row r="38" spans="1:8" outlineLevel="2" x14ac:dyDescent="0.2">
      <c r="A38" s="4">
        <v>50003022</v>
      </c>
      <c r="B38" s="5" t="s">
        <v>11</v>
      </c>
      <c r="C38" s="6" t="s">
        <v>5</v>
      </c>
      <c r="D38" s="7">
        <v>3</v>
      </c>
      <c r="E38" t="s">
        <v>191</v>
      </c>
    </row>
    <row r="39" spans="1:8" outlineLevel="2" x14ac:dyDescent="0.2">
      <c r="A39" s="4">
        <v>50003023</v>
      </c>
      <c r="B39" s="5" t="s">
        <v>12</v>
      </c>
      <c r="C39" s="6" t="s">
        <v>5</v>
      </c>
      <c r="D39" s="7">
        <v>3</v>
      </c>
      <c r="E39" t="s">
        <v>191</v>
      </c>
    </row>
    <row r="40" spans="1:8" outlineLevel="2" x14ac:dyDescent="0.2">
      <c r="A40" s="4">
        <v>50003024</v>
      </c>
      <c r="B40" s="5" t="s">
        <v>13</v>
      </c>
      <c r="C40" s="6" t="s">
        <v>5</v>
      </c>
      <c r="D40" s="7">
        <v>3</v>
      </c>
      <c r="E40" t="s">
        <v>191</v>
      </c>
    </row>
    <row r="41" spans="1:8" outlineLevel="2" x14ac:dyDescent="0.2">
      <c r="A41" s="4">
        <v>50003025</v>
      </c>
      <c r="B41" s="5" t="s">
        <v>14</v>
      </c>
      <c r="C41" s="6" t="s">
        <v>5</v>
      </c>
      <c r="D41" s="7">
        <v>3</v>
      </c>
      <c r="E41" t="s">
        <v>191</v>
      </c>
    </row>
    <row r="42" spans="1:8" outlineLevel="2" x14ac:dyDescent="0.2">
      <c r="A42" s="4">
        <v>50003028</v>
      </c>
      <c r="B42" s="5" t="s">
        <v>15</v>
      </c>
      <c r="C42" s="6" t="s">
        <v>5</v>
      </c>
      <c r="D42" s="7">
        <v>3</v>
      </c>
      <c r="E42" t="s">
        <v>191</v>
      </c>
    </row>
    <row r="43" spans="1:8" outlineLevel="2" x14ac:dyDescent="0.2">
      <c r="A43" s="4">
        <v>50003051</v>
      </c>
      <c r="B43" s="5" t="s">
        <v>16</v>
      </c>
      <c r="C43" s="6" t="s">
        <v>5</v>
      </c>
      <c r="D43" s="7">
        <v>3</v>
      </c>
      <c r="E43" t="s">
        <v>191</v>
      </c>
    </row>
    <row r="44" spans="1:8" outlineLevel="2" x14ac:dyDescent="0.2">
      <c r="A44" s="4">
        <v>50003062</v>
      </c>
      <c r="B44" s="5" t="s">
        <v>17</v>
      </c>
      <c r="C44" s="6" t="s">
        <v>5</v>
      </c>
      <c r="D44" s="7">
        <v>3</v>
      </c>
      <c r="E44" t="s">
        <v>191</v>
      </c>
    </row>
    <row r="45" spans="1:8" outlineLevel="2" x14ac:dyDescent="0.2">
      <c r="A45" s="4">
        <v>50003064</v>
      </c>
      <c r="B45" s="5" t="s">
        <v>18</v>
      </c>
      <c r="C45" s="6" t="s">
        <v>5</v>
      </c>
      <c r="D45" s="7">
        <v>3</v>
      </c>
      <c r="E45" t="s">
        <v>191</v>
      </c>
    </row>
    <row r="46" spans="1:8" outlineLevel="2" x14ac:dyDescent="0.2">
      <c r="A46" s="4">
        <v>50003507</v>
      </c>
      <c r="B46" s="5" t="s">
        <v>19</v>
      </c>
      <c r="C46" s="6" t="s">
        <v>5</v>
      </c>
      <c r="D46" s="7">
        <v>20</v>
      </c>
      <c r="E46" t="s">
        <v>191</v>
      </c>
    </row>
    <row r="47" spans="1:8" outlineLevel="1" x14ac:dyDescent="0.2">
      <c r="A47" s="4"/>
      <c r="B47" s="5"/>
      <c r="C47" s="6"/>
      <c r="D47" s="7">
        <f>SUBTOTAL(9,D33:D46)</f>
        <v>76</v>
      </c>
      <c r="E47" s="12" t="s">
        <v>217</v>
      </c>
      <c r="G47">
        <v>35</v>
      </c>
      <c r="H47">
        <v>35</v>
      </c>
    </row>
    <row r="48" spans="1:8" outlineLevel="2" x14ac:dyDescent="0.2">
      <c r="A48" s="4" t="s">
        <v>150</v>
      </c>
      <c r="B48" s="5" t="s">
        <v>151</v>
      </c>
      <c r="C48" s="8">
        <v>5.5</v>
      </c>
      <c r="D48" s="7">
        <v>20</v>
      </c>
      <c r="E48" t="s">
        <v>214</v>
      </c>
    </row>
    <row r="49" spans="1:9" outlineLevel="1" x14ac:dyDescent="0.2">
      <c r="A49" s="4"/>
      <c r="B49" s="5"/>
      <c r="C49" s="8"/>
      <c r="D49" s="7">
        <f>SUBTOTAL(9,D48:D48)</f>
        <v>20</v>
      </c>
      <c r="E49" s="12" t="s">
        <v>238</v>
      </c>
      <c r="G49">
        <v>20</v>
      </c>
    </row>
    <row r="50" spans="1:9" outlineLevel="2" x14ac:dyDescent="0.2">
      <c r="A50" s="4">
        <v>30203005</v>
      </c>
      <c r="B50" s="5" t="s">
        <v>4</v>
      </c>
      <c r="C50" s="6" t="s">
        <v>5</v>
      </c>
      <c r="D50" s="7">
        <v>20</v>
      </c>
      <c r="E50" t="s">
        <v>190</v>
      </c>
    </row>
    <row r="51" spans="1:9" outlineLevel="1" x14ac:dyDescent="0.2">
      <c r="A51" s="4"/>
      <c r="B51" s="5"/>
      <c r="C51" s="6"/>
      <c r="D51" s="7">
        <f>SUBTOTAL(9,D50:D50)</f>
        <v>20</v>
      </c>
      <c r="E51" s="12" t="s">
        <v>216</v>
      </c>
      <c r="G51">
        <v>20</v>
      </c>
    </row>
    <row r="52" spans="1:9" outlineLevel="2" x14ac:dyDescent="0.2">
      <c r="A52" s="4" t="s">
        <v>139</v>
      </c>
      <c r="B52" s="5" t="s">
        <v>140</v>
      </c>
      <c r="C52" s="6"/>
      <c r="D52" s="7">
        <v>20</v>
      </c>
      <c r="E52" t="s">
        <v>210</v>
      </c>
      <c r="H52">
        <f>5*20*12</f>
        <v>1200</v>
      </c>
      <c r="I52">
        <f>1200/65</f>
        <v>18.46153846153846</v>
      </c>
    </row>
    <row r="53" spans="1:9" outlineLevel="1" x14ac:dyDescent="0.2">
      <c r="A53" s="4"/>
      <c r="B53" s="5"/>
      <c r="C53" s="6"/>
      <c r="D53" s="7">
        <f>SUBTOTAL(9,D52:D52)</f>
        <v>20</v>
      </c>
      <c r="E53" s="12" t="s">
        <v>234</v>
      </c>
    </row>
    <row r="54" spans="1:9" outlineLevel="2" x14ac:dyDescent="0.2">
      <c r="A54" s="4">
        <v>87604000</v>
      </c>
      <c r="B54" s="5" t="s">
        <v>125</v>
      </c>
      <c r="C54" s="6" t="s">
        <v>26</v>
      </c>
      <c r="D54" s="7">
        <v>30</v>
      </c>
      <c r="E54" t="s">
        <v>205</v>
      </c>
    </row>
    <row r="55" spans="1:9" outlineLevel="2" x14ac:dyDescent="0.2">
      <c r="A55" s="4">
        <v>87604000</v>
      </c>
      <c r="B55" s="5" t="s">
        <v>126</v>
      </c>
      <c r="C55" s="6" t="s">
        <v>26</v>
      </c>
      <c r="D55" s="7">
        <v>20</v>
      </c>
      <c r="E55" t="s">
        <v>205</v>
      </c>
    </row>
    <row r="56" spans="1:9" outlineLevel="1" x14ac:dyDescent="0.2">
      <c r="A56" s="4"/>
      <c r="B56" s="5"/>
      <c r="C56" s="6"/>
      <c r="D56" s="7">
        <f>SUBTOTAL(9,D54:D55)</f>
        <v>50</v>
      </c>
      <c r="E56" s="12" t="s">
        <v>229</v>
      </c>
      <c r="G56">
        <v>10</v>
      </c>
    </row>
    <row r="57" spans="1:9" outlineLevel="2" x14ac:dyDescent="0.2">
      <c r="A57" s="4">
        <v>52003001</v>
      </c>
      <c r="B57" s="5" t="s">
        <v>20</v>
      </c>
      <c r="C57" s="6" t="s">
        <v>5</v>
      </c>
      <c r="D57" s="7">
        <v>20</v>
      </c>
      <c r="E57" t="s">
        <v>193</v>
      </c>
    </row>
    <row r="58" spans="1:9" outlineLevel="2" x14ac:dyDescent="0.2">
      <c r="A58" s="4">
        <v>52003018</v>
      </c>
      <c r="B58" s="5" t="s">
        <v>21</v>
      </c>
      <c r="C58" s="6" t="s">
        <v>5</v>
      </c>
      <c r="D58" s="7">
        <v>5</v>
      </c>
      <c r="E58" t="s">
        <v>193</v>
      </c>
    </row>
    <row r="59" spans="1:9" outlineLevel="2" x14ac:dyDescent="0.2">
      <c r="A59" s="4">
        <v>52003021</v>
      </c>
      <c r="B59" s="5" t="s">
        <v>22</v>
      </c>
      <c r="C59" s="6" t="s">
        <v>5</v>
      </c>
      <c r="D59" s="7">
        <v>3</v>
      </c>
      <c r="E59" t="s">
        <v>193</v>
      </c>
    </row>
    <row r="60" spans="1:9" outlineLevel="2" x14ac:dyDescent="0.2">
      <c r="A60" s="4">
        <v>52003042</v>
      </c>
      <c r="B60" s="5" t="s">
        <v>23</v>
      </c>
      <c r="C60" s="6" t="s">
        <v>5</v>
      </c>
      <c r="D60" s="7">
        <v>3</v>
      </c>
      <c r="E60" t="s">
        <v>193</v>
      </c>
    </row>
    <row r="61" spans="1:9" outlineLevel="1" x14ac:dyDescent="0.2">
      <c r="A61" s="4"/>
      <c r="B61" s="5"/>
      <c r="C61" s="6"/>
      <c r="D61" s="7">
        <f>SUBTOTAL(9,D57:D60)</f>
        <v>31</v>
      </c>
      <c r="E61" s="12" t="s">
        <v>218</v>
      </c>
      <c r="G61">
        <v>14</v>
      </c>
      <c r="H61">
        <v>14</v>
      </c>
    </row>
    <row r="62" spans="1:9" outlineLevel="2" x14ac:dyDescent="0.2">
      <c r="A62" s="4" t="s">
        <v>148</v>
      </c>
      <c r="B62" s="5" t="s">
        <v>149</v>
      </c>
      <c r="C62" s="8">
        <v>5.5</v>
      </c>
      <c r="D62" s="7">
        <v>10</v>
      </c>
      <c r="E62" t="s">
        <v>213</v>
      </c>
    </row>
    <row r="63" spans="1:9" outlineLevel="1" x14ac:dyDescent="0.2">
      <c r="A63" s="4"/>
      <c r="B63" s="5"/>
      <c r="C63" s="8"/>
      <c r="D63" s="7">
        <f>SUBTOTAL(9,D62:D62)</f>
        <v>10</v>
      </c>
      <c r="E63" s="12" t="s">
        <v>237</v>
      </c>
      <c r="G63">
        <v>10</v>
      </c>
    </row>
    <row r="64" spans="1:9" outlineLevel="2" x14ac:dyDescent="0.2">
      <c r="A64" s="4">
        <v>84008000</v>
      </c>
      <c r="B64" s="5" t="s">
        <v>123</v>
      </c>
      <c r="C64" s="6" t="s">
        <v>124</v>
      </c>
      <c r="D64" s="7">
        <v>20</v>
      </c>
      <c r="E64" t="s">
        <v>204</v>
      </c>
    </row>
    <row r="65" spans="1:7" outlineLevel="2" x14ac:dyDescent="0.2">
      <c r="A65" s="4" t="s">
        <v>144</v>
      </c>
      <c r="B65" s="5" t="s">
        <v>145</v>
      </c>
      <c r="C65" s="6"/>
      <c r="D65" s="7">
        <v>120</v>
      </c>
      <c r="E65" t="s">
        <v>204</v>
      </c>
    </row>
    <row r="66" spans="1:7" outlineLevel="1" x14ac:dyDescent="0.2">
      <c r="A66" s="4"/>
      <c r="B66" s="5"/>
      <c r="C66" s="6"/>
      <c r="D66" s="7">
        <f>SUBTOTAL(9,D64:D65)</f>
        <v>140</v>
      </c>
      <c r="E66" s="12" t="s">
        <v>228</v>
      </c>
      <c r="G66">
        <v>12</v>
      </c>
    </row>
    <row r="67" spans="1:7" outlineLevel="2" x14ac:dyDescent="0.2">
      <c r="A67" s="4">
        <v>72001004</v>
      </c>
      <c r="B67" s="5" t="s">
        <v>32</v>
      </c>
      <c r="C67" s="6" t="s">
        <v>25</v>
      </c>
      <c r="D67" s="7">
        <v>20</v>
      </c>
      <c r="E67" t="s">
        <v>198</v>
      </c>
    </row>
    <row r="68" spans="1:7" outlineLevel="2" x14ac:dyDescent="0.2">
      <c r="A68" s="4">
        <v>72001014</v>
      </c>
      <c r="B68" s="5" t="s">
        <v>33</v>
      </c>
      <c r="C68" s="6" t="s">
        <v>25</v>
      </c>
      <c r="D68" s="7">
        <v>20</v>
      </c>
      <c r="E68" t="s">
        <v>198</v>
      </c>
    </row>
    <row r="69" spans="1:7" outlineLevel="2" x14ac:dyDescent="0.2">
      <c r="A69" s="4">
        <v>72001015</v>
      </c>
      <c r="B69" s="5" t="s">
        <v>34</v>
      </c>
      <c r="C69" s="6" t="s">
        <v>25</v>
      </c>
      <c r="D69" s="7">
        <v>10</v>
      </c>
      <c r="E69" t="s">
        <v>198</v>
      </c>
    </row>
    <row r="70" spans="1:7" outlineLevel="2" x14ac:dyDescent="0.2">
      <c r="A70" s="4">
        <v>72001018</v>
      </c>
      <c r="B70" s="5" t="s">
        <v>35</v>
      </c>
      <c r="C70" s="6" t="s">
        <v>25</v>
      </c>
      <c r="D70" s="7">
        <v>20</v>
      </c>
      <c r="E70" t="s">
        <v>198</v>
      </c>
    </row>
    <row r="71" spans="1:7" outlineLevel="2" x14ac:dyDescent="0.2">
      <c r="A71" s="4">
        <v>72001019</v>
      </c>
      <c r="B71" s="5" t="s">
        <v>36</v>
      </c>
      <c r="C71" s="6" t="s">
        <v>25</v>
      </c>
      <c r="D71" s="7">
        <v>10</v>
      </c>
      <c r="E71" t="s">
        <v>198</v>
      </c>
    </row>
    <row r="72" spans="1:7" outlineLevel="2" x14ac:dyDescent="0.2">
      <c r="A72" s="4">
        <v>72001021</v>
      </c>
      <c r="B72" s="5" t="s">
        <v>37</v>
      </c>
      <c r="C72" s="6" t="s">
        <v>25</v>
      </c>
      <c r="D72" s="7">
        <v>10</v>
      </c>
      <c r="E72" t="s">
        <v>198</v>
      </c>
    </row>
    <row r="73" spans="1:7" outlineLevel="2" x14ac:dyDescent="0.2">
      <c r="A73" s="4">
        <v>72001024</v>
      </c>
      <c r="B73" s="5" t="s">
        <v>38</v>
      </c>
      <c r="C73" s="6" t="s">
        <v>25</v>
      </c>
      <c r="D73" s="7">
        <v>20</v>
      </c>
      <c r="E73" t="s">
        <v>198</v>
      </c>
    </row>
    <row r="74" spans="1:7" outlineLevel="2" x14ac:dyDescent="0.2">
      <c r="A74" s="4">
        <v>72001029</v>
      </c>
      <c r="B74" s="5" t="s">
        <v>39</v>
      </c>
      <c r="C74" s="6" t="s">
        <v>25</v>
      </c>
      <c r="D74" s="7">
        <v>10</v>
      </c>
      <c r="E74" t="s">
        <v>198</v>
      </c>
    </row>
    <row r="75" spans="1:7" outlineLevel="2" x14ac:dyDescent="0.2">
      <c r="A75" s="4">
        <v>72001040</v>
      </c>
      <c r="B75" s="5" t="s">
        <v>40</v>
      </c>
      <c r="C75" s="6" t="s">
        <v>25</v>
      </c>
      <c r="D75" s="7">
        <v>50</v>
      </c>
      <c r="E75" t="s">
        <v>198</v>
      </c>
    </row>
    <row r="76" spans="1:7" outlineLevel="2" x14ac:dyDescent="0.2">
      <c r="A76" s="4">
        <v>72001041</v>
      </c>
      <c r="B76" s="5" t="s">
        <v>41</v>
      </c>
      <c r="C76" s="6" t="s">
        <v>25</v>
      </c>
      <c r="D76" s="7">
        <v>5</v>
      </c>
      <c r="E76" t="s">
        <v>198</v>
      </c>
    </row>
    <row r="77" spans="1:7" outlineLevel="2" x14ac:dyDescent="0.2">
      <c r="A77" s="4">
        <v>72001042</v>
      </c>
      <c r="B77" s="5" t="s">
        <v>42</v>
      </c>
      <c r="C77" s="6" t="s">
        <v>25</v>
      </c>
      <c r="D77" s="7">
        <v>10</v>
      </c>
      <c r="E77" t="s">
        <v>198</v>
      </c>
    </row>
    <row r="78" spans="1:7" outlineLevel="2" x14ac:dyDescent="0.2">
      <c r="A78" s="4">
        <v>72001042</v>
      </c>
      <c r="B78" s="5" t="s">
        <v>42</v>
      </c>
      <c r="C78" s="6" t="s">
        <v>25</v>
      </c>
      <c r="D78" s="7">
        <v>10</v>
      </c>
      <c r="E78" t="s">
        <v>198</v>
      </c>
    </row>
    <row r="79" spans="1:7" outlineLevel="2" x14ac:dyDescent="0.2">
      <c r="A79" s="4">
        <v>72001045</v>
      </c>
      <c r="B79" s="5" t="s">
        <v>43</v>
      </c>
      <c r="C79" s="6" t="s">
        <v>25</v>
      </c>
      <c r="D79" s="7">
        <v>10</v>
      </c>
      <c r="E79" t="s">
        <v>198</v>
      </c>
    </row>
    <row r="80" spans="1:7" outlineLevel="2" x14ac:dyDescent="0.2">
      <c r="A80" s="4">
        <v>72001047</v>
      </c>
      <c r="B80" s="5" t="s">
        <v>44</v>
      </c>
      <c r="C80" s="6" t="s">
        <v>25</v>
      </c>
      <c r="D80" s="7">
        <v>10</v>
      </c>
      <c r="E80" t="s">
        <v>198</v>
      </c>
    </row>
    <row r="81" spans="1:5" outlineLevel="2" x14ac:dyDescent="0.2">
      <c r="A81" s="4">
        <v>72001050</v>
      </c>
      <c r="B81" s="5" t="s">
        <v>45</v>
      </c>
      <c r="C81" s="6" t="s">
        <v>25</v>
      </c>
      <c r="D81" s="7">
        <v>20</v>
      </c>
      <c r="E81" t="s">
        <v>198</v>
      </c>
    </row>
    <row r="82" spans="1:5" outlineLevel="2" x14ac:dyDescent="0.2">
      <c r="A82" s="4">
        <v>72001050</v>
      </c>
      <c r="B82" s="5" t="s">
        <v>45</v>
      </c>
      <c r="C82" s="6" t="s">
        <v>25</v>
      </c>
      <c r="D82" s="7">
        <v>10</v>
      </c>
      <c r="E82" t="s">
        <v>198</v>
      </c>
    </row>
    <row r="83" spans="1:5" outlineLevel="2" x14ac:dyDescent="0.2">
      <c r="A83" s="4">
        <v>72001052</v>
      </c>
      <c r="B83" s="5" t="s">
        <v>46</v>
      </c>
      <c r="C83" s="6" t="s">
        <v>25</v>
      </c>
      <c r="D83" s="7">
        <v>10</v>
      </c>
      <c r="E83" t="s">
        <v>198</v>
      </c>
    </row>
    <row r="84" spans="1:5" outlineLevel="2" x14ac:dyDescent="0.2">
      <c r="A84" s="4">
        <v>72001064</v>
      </c>
      <c r="B84" s="5" t="s">
        <v>47</v>
      </c>
      <c r="C84" s="6" t="s">
        <v>25</v>
      </c>
      <c r="D84" s="7">
        <v>50</v>
      </c>
      <c r="E84" t="s">
        <v>198</v>
      </c>
    </row>
    <row r="85" spans="1:5" outlineLevel="2" x14ac:dyDescent="0.2">
      <c r="A85" s="4">
        <v>72001070</v>
      </c>
      <c r="B85" s="5" t="s">
        <v>48</v>
      </c>
      <c r="C85" s="6" t="s">
        <v>25</v>
      </c>
      <c r="D85" s="7">
        <v>10</v>
      </c>
      <c r="E85" t="s">
        <v>198</v>
      </c>
    </row>
    <row r="86" spans="1:5" outlineLevel="2" x14ac:dyDescent="0.2">
      <c r="A86" s="4">
        <v>72001075</v>
      </c>
      <c r="B86" s="5" t="s">
        <v>49</v>
      </c>
      <c r="C86" s="6" t="s">
        <v>25</v>
      </c>
      <c r="D86" s="7">
        <v>50</v>
      </c>
      <c r="E86" t="s">
        <v>198</v>
      </c>
    </row>
    <row r="87" spans="1:5" outlineLevel="2" x14ac:dyDescent="0.2">
      <c r="A87" s="4">
        <v>72001075</v>
      </c>
      <c r="B87" s="5" t="s">
        <v>49</v>
      </c>
      <c r="C87" s="6" t="s">
        <v>25</v>
      </c>
      <c r="D87" s="7">
        <v>10</v>
      </c>
      <c r="E87" t="s">
        <v>198</v>
      </c>
    </row>
    <row r="88" spans="1:5" outlineLevel="2" x14ac:dyDescent="0.2">
      <c r="A88" s="4">
        <v>72001080</v>
      </c>
      <c r="B88" s="5" t="s">
        <v>50</v>
      </c>
      <c r="C88" s="6" t="s">
        <v>25</v>
      </c>
      <c r="D88" s="7">
        <v>15</v>
      </c>
      <c r="E88" t="s">
        <v>198</v>
      </c>
    </row>
    <row r="89" spans="1:5" outlineLevel="2" x14ac:dyDescent="0.2">
      <c r="A89" s="4">
        <v>72001081</v>
      </c>
      <c r="B89" s="5" t="s">
        <v>51</v>
      </c>
      <c r="C89" s="6" t="s">
        <v>25</v>
      </c>
      <c r="D89" s="7">
        <v>15</v>
      </c>
      <c r="E89" t="s">
        <v>198</v>
      </c>
    </row>
    <row r="90" spans="1:5" outlineLevel="2" x14ac:dyDescent="0.2">
      <c r="A90" s="4">
        <v>72001082</v>
      </c>
      <c r="B90" s="5" t="s">
        <v>52</v>
      </c>
      <c r="C90" s="6" t="s">
        <v>25</v>
      </c>
      <c r="D90" s="7">
        <v>10</v>
      </c>
      <c r="E90" t="s">
        <v>198</v>
      </c>
    </row>
    <row r="91" spans="1:5" outlineLevel="2" x14ac:dyDescent="0.2">
      <c r="A91" s="4">
        <v>72001160</v>
      </c>
      <c r="B91" s="5" t="s">
        <v>53</v>
      </c>
      <c r="C91" s="6" t="s">
        <v>25</v>
      </c>
      <c r="D91" s="7">
        <v>10</v>
      </c>
      <c r="E91" t="s">
        <v>198</v>
      </c>
    </row>
    <row r="92" spans="1:5" outlineLevel="2" x14ac:dyDescent="0.2">
      <c r="A92" s="4">
        <v>72001162</v>
      </c>
      <c r="B92" s="5" t="s">
        <v>54</v>
      </c>
      <c r="C92" s="6" t="s">
        <v>25</v>
      </c>
      <c r="D92" s="7">
        <v>15</v>
      </c>
      <c r="E92" t="s">
        <v>198</v>
      </c>
    </row>
    <row r="93" spans="1:5" outlineLevel="2" x14ac:dyDescent="0.2">
      <c r="A93" s="4">
        <v>72001167</v>
      </c>
      <c r="B93" s="5" t="s">
        <v>55</v>
      </c>
      <c r="C93" s="6" t="s">
        <v>25</v>
      </c>
      <c r="D93" s="7">
        <v>5</v>
      </c>
      <c r="E93" t="s">
        <v>198</v>
      </c>
    </row>
    <row r="94" spans="1:5" outlineLevel="2" x14ac:dyDescent="0.2">
      <c r="A94" s="4">
        <v>72001168</v>
      </c>
      <c r="B94" s="5" t="s">
        <v>56</v>
      </c>
      <c r="C94" s="6" t="s">
        <v>25</v>
      </c>
      <c r="D94" s="7">
        <v>5</v>
      </c>
      <c r="E94" t="s">
        <v>198</v>
      </c>
    </row>
    <row r="95" spans="1:5" outlineLevel="2" x14ac:dyDescent="0.2">
      <c r="A95" s="4">
        <v>72001170</v>
      </c>
      <c r="B95" s="5" t="s">
        <v>57</v>
      </c>
      <c r="C95" s="6" t="s">
        <v>25</v>
      </c>
      <c r="D95" s="7">
        <v>5</v>
      </c>
      <c r="E95" t="s">
        <v>198</v>
      </c>
    </row>
    <row r="96" spans="1:5" outlineLevel="2" x14ac:dyDescent="0.2">
      <c r="A96" s="4">
        <v>72001170</v>
      </c>
      <c r="B96" s="5" t="s">
        <v>57</v>
      </c>
      <c r="C96" s="6" t="s">
        <v>25</v>
      </c>
      <c r="D96" s="7">
        <v>5</v>
      </c>
      <c r="E96" t="s">
        <v>198</v>
      </c>
    </row>
    <row r="97" spans="1:5" outlineLevel="2" x14ac:dyDescent="0.2">
      <c r="A97" s="4">
        <v>72001171</v>
      </c>
      <c r="B97" s="5" t="s">
        <v>58</v>
      </c>
      <c r="C97" s="6" t="s">
        <v>25</v>
      </c>
      <c r="D97" s="7">
        <v>5</v>
      </c>
      <c r="E97" t="s">
        <v>198</v>
      </c>
    </row>
    <row r="98" spans="1:5" outlineLevel="2" x14ac:dyDescent="0.2">
      <c r="A98" s="4">
        <v>72001171</v>
      </c>
      <c r="B98" s="5" t="s">
        <v>58</v>
      </c>
      <c r="C98" s="6" t="s">
        <v>25</v>
      </c>
      <c r="D98" s="7">
        <v>10</v>
      </c>
      <c r="E98" t="s">
        <v>198</v>
      </c>
    </row>
    <row r="99" spans="1:5" outlineLevel="2" x14ac:dyDescent="0.2">
      <c r="A99" s="4">
        <v>72001172</v>
      </c>
      <c r="B99" s="5" t="s">
        <v>59</v>
      </c>
      <c r="C99" s="6" t="s">
        <v>25</v>
      </c>
      <c r="D99" s="7">
        <v>5</v>
      </c>
      <c r="E99" t="s">
        <v>198</v>
      </c>
    </row>
    <row r="100" spans="1:5" outlineLevel="2" x14ac:dyDescent="0.2">
      <c r="A100" s="4">
        <v>72001172</v>
      </c>
      <c r="B100" s="5" t="s">
        <v>59</v>
      </c>
      <c r="C100" s="6" t="s">
        <v>25</v>
      </c>
      <c r="D100" s="7">
        <v>5</v>
      </c>
      <c r="E100" t="s">
        <v>198</v>
      </c>
    </row>
    <row r="101" spans="1:5" outlineLevel="2" x14ac:dyDescent="0.2">
      <c r="A101" s="4">
        <v>72001174</v>
      </c>
      <c r="B101" s="5" t="s">
        <v>60</v>
      </c>
      <c r="C101" s="6" t="s">
        <v>25</v>
      </c>
      <c r="D101" s="7">
        <v>10</v>
      </c>
      <c r="E101" t="s">
        <v>198</v>
      </c>
    </row>
    <row r="102" spans="1:5" outlineLevel="2" x14ac:dyDescent="0.2">
      <c r="A102" s="4">
        <v>72001175</v>
      </c>
      <c r="B102" s="5" t="s">
        <v>61</v>
      </c>
      <c r="C102" s="6" t="s">
        <v>25</v>
      </c>
      <c r="D102" s="7">
        <v>10</v>
      </c>
      <c r="E102" t="s">
        <v>198</v>
      </c>
    </row>
    <row r="103" spans="1:5" outlineLevel="2" x14ac:dyDescent="0.2">
      <c r="A103" s="4">
        <v>72001176</v>
      </c>
      <c r="B103" s="5" t="s">
        <v>62</v>
      </c>
      <c r="C103" s="6" t="s">
        <v>25</v>
      </c>
      <c r="D103" s="7">
        <v>5</v>
      </c>
      <c r="E103" t="s">
        <v>198</v>
      </c>
    </row>
    <row r="104" spans="1:5" outlineLevel="2" x14ac:dyDescent="0.2">
      <c r="A104" s="4">
        <v>72001176</v>
      </c>
      <c r="B104" s="5" t="s">
        <v>62</v>
      </c>
      <c r="C104" s="6" t="s">
        <v>25</v>
      </c>
      <c r="D104" s="7">
        <v>5</v>
      </c>
      <c r="E104" t="s">
        <v>198</v>
      </c>
    </row>
    <row r="105" spans="1:5" outlineLevel="2" x14ac:dyDescent="0.2">
      <c r="A105" s="4">
        <v>72001177</v>
      </c>
      <c r="B105" s="5" t="s">
        <v>63</v>
      </c>
      <c r="C105" s="6" t="s">
        <v>25</v>
      </c>
      <c r="D105" s="7">
        <v>10</v>
      </c>
      <c r="E105" t="s">
        <v>198</v>
      </c>
    </row>
    <row r="106" spans="1:5" outlineLevel="2" x14ac:dyDescent="0.2">
      <c r="A106" s="4">
        <v>72001178</v>
      </c>
      <c r="B106" s="5" t="s">
        <v>64</v>
      </c>
      <c r="C106" s="6" t="s">
        <v>25</v>
      </c>
      <c r="D106" s="7">
        <v>10</v>
      </c>
      <c r="E106" t="s">
        <v>198</v>
      </c>
    </row>
    <row r="107" spans="1:5" outlineLevel="2" x14ac:dyDescent="0.2">
      <c r="A107" s="4">
        <v>72001178</v>
      </c>
      <c r="B107" s="5" t="s">
        <v>64</v>
      </c>
      <c r="C107" s="6" t="s">
        <v>25</v>
      </c>
      <c r="D107" s="7">
        <v>5</v>
      </c>
      <c r="E107" t="s">
        <v>198</v>
      </c>
    </row>
    <row r="108" spans="1:5" outlineLevel="2" x14ac:dyDescent="0.2">
      <c r="A108" s="4">
        <v>72001179</v>
      </c>
      <c r="B108" s="5" t="s">
        <v>65</v>
      </c>
      <c r="C108" s="6" t="s">
        <v>25</v>
      </c>
      <c r="D108" s="7">
        <v>10</v>
      </c>
      <c r="E108" t="s">
        <v>198</v>
      </c>
    </row>
    <row r="109" spans="1:5" outlineLevel="2" x14ac:dyDescent="0.2">
      <c r="A109" s="4">
        <v>72001185</v>
      </c>
      <c r="B109" s="5" t="s">
        <v>66</v>
      </c>
      <c r="C109" s="6" t="s">
        <v>25</v>
      </c>
      <c r="D109" s="7">
        <v>20</v>
      </c>
      <c r="E109" t="s">
        <v>198</v>
      </c>
    </row>
    <row r="110" spans="1:5" outlineLevel="2" x14ac:dyDescent="0.2">
      <c r="A110" s="4">
        <v>72001185</v>
      </c>
      <c r="B110" s="5" t="s">
        <v>66</v>
      </c>
      <c r="C110" s="6" t="s">
        <v>25</v>
      </c>
      <c r="D110" s="7">
        <v>10</v>
      </c>
      <c r="E110" t="s">
        <v>198</v>
      </c>
    </row>
    <row r="111" spans="1:5" outlineLevel="2" x14ac:dyDescent="0.2">
      <c r="A111" s="4">
        <v>72001186</v>
      </c>
      <c r="B111" s="5" t="s">
        <v>67</v>
      </c>
      <c r="C111" s="6" t="s">
        <v>25</v>
      </c>
      <c r="D111" s="7">
        <v>10</v>
      </c>
      <c r="E111" t="s">
        <v>198</v>
      </c>
    </row>
    <row r="112" spans="1:5" outlineLevel="2" x14ac:dyDescent="0.2">
      <c r="A112" s="4">
        <v>72001186</v>
      </c>
      <c r="B112" s="5" t="s">
        <v>67</v>
      </c>
      <c r="C112" s="6" t="s">
        <v>25</v>
      </c>
      <c r="D112" s="7">
        <v>5</v>
      </c>
      <c r="E112" t="s">
        <v>198</v>
      </c>
    </row>
    <row r="113" spans="1:5" outlineLevel="2" x14ac:dyDescent="0.2">
      <c r="A113" s="4">
        <v>72001189</v>
      </c>
      <c r="B113" s="5" t="s">
        <v>68</v>
      </c>
      <c r="C113" s="6" t="s">
        <v>25</v>
      </c>
      <c r="D113" s="7">
        <v>10</v>
      </c>
      <c r="E113" t="s">
        <v>198</v>
      </c>
    </row>
    <row r="114" spans="1:5" outlineLevel="2" x14ac:dyDescent="0.2">
      <c r="A114" s="4">
        <v>72001189</v>
      </c>
      <c r="B114" s="5" t="s">
        <v>68</v>
      </c>
      <c r="C114" s="6" t="s">
        <v>25</v>
      </c>
      <c r="D114" s="7">
        <v>5</v>
      </c>
      <c r="E114" t="s">
        <v>198</v>
      </c>
    </row>
    <row r="115" spans="1:5" outlineLevel="2" x14ac:dyDescent="0.2">
      <c r="A115" s="4">
        <v>72001190</v>
      </c>
      <c r="B115" s="5" t="s">
        <v>69</v>
      </c>
      <c r="C115" s="6" t="s">
        <v>25</v>
      </c>
      <c r="D115" s="7">
        <v>10</v>
      </c>
      <c r="E115" t="s">
        <v>198</v>
      </c>
    </row>
    <row r="116" spans="1:5" outlineLevel="2" x14ac:dyDescent="0.2">
      <c r="A116" s="4">
        <v>72001190</v>
      </c>
      <c r="B116" s="5" t="s">
        <v>69</v>
      </c>
      <c r="C116" s="6" t="s">
        <v>25</v>
      </c>
      <c r="D116" s="7">
        <v>5</v>
      </c>
      <c r="E116" t="s">
        <v>198</v>
      </c>
    </row>
    <row r="117" spans="1:5" outlineLevel="2" x14ac:dyDescent="0.2">
      <c r="A117" s="4">
        <v>72001197</v>
      </c>
      <c r="B117" s="5" t="s">
        <v>70</v>
      </c>
      <c r="C117" s="6" t="s">
        <v>25</v>
      </c>
      <c r="D117" s="7">
        <v>10</v>
      </c>
      <c r="E117" t="s">
        <v>198</v>
      </c>
    </row>
    <row r="118" spans="1:5" outlineLevel="2" x14ac:dyDescent="0.2">
      <c r="A118" s="4">
        <v>72001260</v>
      </c>
      <c r="B118" s="5" t="s">
        <v>71</v>
      </c>
      <c r="C118" s="6" t="s">
        <v>25</v>
      </c>
      <c r="D118" s="7">
        <v>10</v>
      </c>
      <c r="E118" t="s">
        <v>198</v>
      </c>
    </row>
    <row r="119" spans="1:5" outlineLevel="2" x14ac:dyDescent="0.2">
      <c r="A119" s="4">
        <v>72001265</v>
      </c>
      <c r="B119" s="5" t="s">
        <v>72</v>
      </c>
      <c r="C119" s="6" t="s">
        <v>25</v>
      </c>
      <c r="D119" s="7">
        <v>10</v>
      </c>
      <c r="E119" t="s">
        <v>198</v>
      </c>
    </row>
    <row r="120" spans="1:5" outlineLevel="2" x14ac:dyDescent="0.2">
      <c r="A120" s="4">
        <v>72001266</v>
      </c>
      <c r="B120" s="5" t="s">
        <v>73</v>
      </c>
      <c r="C120" s="6" t="s">
        <v>25</v>
      </c>
      <c r="D120" s="7">
        <v>10</v>
      </c>
      <c r="E120" t="s">
        <v>198</v>
      </c>
    </row>
    <row r="121" spans="1:5" outlineLevel="2" x14ac:dyDescent="0.2">
      <c r="A121" s="4">
        <v>72001273</v>
      </c>
      <c r="B121" s="5" t="s">
        <v>74</v>
      </c>
      <c r="C121" s="6" t="s">
        <v>25</v>
      </c>
      <c r="D121" s="7">
        <v>5</v>
      </c>
      <c r="E121" t="s">
        <v>198</v>
      </c>
    </row>
    <row r="122" spans="1:5" outlineLevel="2" x14ac:dyDescent="0.2">
      <c r="A122" s="4">
        <v>72001274</v>
      </c>
      <c r="B122" s="5" t="s">
        <v>75</v>
      </c>
      <c r="C122" s="6" t="s">
        <v>25</v>
      </c>
      <c r="D122" s="7">
        <v>10</v>
      </c>
      <c r="E122" t="s">
        <v>198</v>
      </c>
    </row>
    <row r="123" spans="1:5" outlineLevel="2" x14ac:dyDescent="0.2">
      <c r="A123" s="4">
        <v>72001275</v>
      </c>
      <c r="B123" s="5" t="s">
        <v>76</v>
      </c>
      <c r="C123" s="6" t="s">
        <v>25</v>
      </c>
      <c r="D123" s="7">
        <v>5</v>
      </c>
      <c r="E123" t="s">
        <v>198</v>
      </c>
    </row>
    <row r="124" spans="1:5" outlineLevel="2" x14ac:dyDescent="0.2">
      <c r="A124" s="4">
        <v>72501121</v>
      </c>
      <c r="B124" s="5" t="s">
        <v>91</v>
      </c>
      <c r="C124" s="6" t="s">
        <v>25</v>
      </c>
      <c r="D124" s="7">
        <v>5</v>
      </c>
      <c r="E124" t="s">
        <v>198</v>
      </c>
    </row>
    <row r="125" spans="1:5" outlineLevel="2" x14ac:dyDescent="0.2">
      <c r="A125" s="4">
        <v>72501122</v>
      </c>
      <c r="B125" s="5" t="s">
        <v>92</v>
      </c>
      <c r="C125" s="6" t="s">
        <v>25</v>
      </c>
      <c r="D125" s="7">
        <v>5</v>
      </c>
      <c r="E125" t="s">
        <v>198</v>
      </c>
    </row>
    <row r="126" spans="1:5" outlineLevel="2" x14ac:dyDescent="0.2">
      <c r="A126" s="4">
        <v>72501123</v>
      </c>
      <c r="B126" s="5" t="s">
        <v>93</v>
      </c>
      <c r="C126" s="6" t="s">
        <v>25</v>
      </c>
      <c r="D126" s="7">
        <v>3</v>
      </c>
      <c r="E126" t="s">
        <v>198</v>
      </c>
    </row>
    <row r="127" spans="1:5" outlineLevel="2" x14ac:dyDescent="0.2">
      <c r="A127" s="4">
        <v>72501124</v>
      </c>
      <c r="B127" s="5" t="s">
        <v>94</v>
      </c>
      <c r="C127" s="6" t="s">
        <v>25</v>
      </c>
      <c r="D127" s="7">
        <v>3</v>
      </c>
      <c r="E127" t="s">
        <v>198</v>
      </c>
    </row>
    <row r="128" spans="1:5" outlineLevel="2" x14ac:dyDescent="0.2">
      <c r="A128" s="4">
        <v>72501125</v>
      </c>
      <c r="B128" s="5" t="s">
        <v>95</v>
      </c>
      <c r="C128" s="6" t="s">
        <v>25</v>
      </c>
      <c r="D128" s="7">
        <v>3</v>
      </c>
      <c r="E128" t="s">
        <v>198</v>
      </c>
    </row>
    <row r="129" spans="1:6" outlineLevel="2" x14ac:dyDescent="0.2">
      <c r="A129" s="4">
        <v>72501126</v>
      </c>
      <c r="B129" s="5" t="s">
        <v>96</v>
      </c>
      <c r="C129" s="6" t="s">
        <v>25</v>
      </c>
      <c r="D129" s="7">
        <v>5</v>
      </c>
      <c r="E129" t="s">
        <v>198</v>
      </c>
    </row>
    <row r="130" spans="1:6" outlineLevel="2" x14ac:dyDescent="0.2">
      <c r="A130" s="4">
        <v>72501127</v>
      </c>
      <c r="B130" s="5" t="s">
        <v>97</v>
      </c>
      <c r="C130" s="6" t="s">
        <v>25</v>
      </c>
      <c r="D130" s="7">
        <v>10</v>
      </c>
      <c r="E130" t="s">
        <v>198</v>
      </c>
    </row>
    <row r="131" spans="1:6" outlineLevel="2" x14ac:dyDescent="0.2">
      <c r="A131" s="4">
        <v>72501127</v>
      </c>
      <c r="B131" s="5" t="s">
        <v>97</v>
      </c>
      <c r="C131" s="6" t="s">
        <v>25</v>
      </c>
      <c r="D131" s="7">
        <v>5</v>
      </c>
      <c r="E131" t="s">
        <v>198</v>
      </c>
    </row>
    <row r="132" spans="1:6" outlineLevel="2" x14ac:dyDescent="0.2">
      <c r="A132" s="4">
        <v>72501128</v>
      </c>
      <c r="B132" s="5" t="s">
        <v>98</v>
      </c>
      <c r="C132" s="6" t="s">
        <v>25</v>
      </c>
      <c r="D132" s="7">
        <v>5</v>
      </c>
      <c r="E132" t="s">
        <v>198</v>
      </c>
    </row>
    <row r="133" spans="1:6" outlineLevel="2" x14ac:dyDescent="0.2">
      <c r="A133" s="4">
        <v>72501129</v>
      </c>
      <c r="B133" s="5" t="s">
        <v>99</v>
      </c>
      <c r="C133" s="6" t="s">
        <v>25</v>
      </c>
      <c r="D133" s="7">
        <v>3</v>
      </c>
      <c r="E133" t="s">
        <v>198</v>
      </c>
    </row>
    <row r="134" spans="1:6" outlineLevel="2" x14ac:dyDescent="0.2">
      <c r="A134" s="4">
        <v>72501130</v>
      </c>
      <c r="B134" s="5" t="s">
        <v>100</v>
      </c>
      <c r="C134" s="6" t="s">
        <v>25</v>
      </c>
      <c r="D134" s="7">
        <v>3</v>
      </c>
      <c r="E134" t="s">
        <v>198</v>
      </c>
    </row>
    <row r="135" spans="1:6" outlineLevel="2" x14ac:dyDescent="0.2">
      <c r="A135" s="4">
        <v>72501131</v>
      </c>
      <c r="B135" s="5" t="s">
        <v>101</v>
      </c>
      <c r="C135" s="6" t="s">
        <v>25</v>
      </c>
      <c r="D135" s="7">
        <v>5</v>
      </c>
      <c r="E135" t="s">
        <v>198</v>
      </c>
    </row>
    <row r="136" spans="1:6" outlineLevel="2" x14ac:dyDescent="0.2">
      <c r="A136" s="4">
        <v>72701310</v>
      </c>
      <c r="B136" s="5" t="s">
        <v>102</v>
      </c>
      <c r="C136" s="6" t="s">
        <v>25</v>
      </c>
      <c r="D136" s="7">
        <v>3</v>
      </c>
      <c r="E136" t="s">
        <v>198</v>
      </c>
    </row>
    <row r="137" spans="1:6" outlineLevel="2" x14ac:dyDescent="0.2">
      <c r="A137" s="4">
        <v>72701312</v>
      </c>
      <c r="B137" s="5" t="s">
        <v>103</v>
      </c>
      <c r="C137" s="6" t="s">
        <v>25</v>
      </c>
      <c r="D137" s="7">
        <v>3</v>
      </c>
      <c r="E137" t="s">
        <v>198</v>
      </c>
    </row>
    <row r="138" spans="1:6" outlineLevel="2" x14ac:dyDescent="0.2">
      <c r="A138" s="4">
        <v>72701312</v>
      </c>
      <c r="B138" s="5" t="s">
        <v>103</v>
      </c>
      <c r="C138" s="6" t="s">
        <v>25</v>
      </c>
      <c r="D138" s="7">
        <v>3</v>
      </c>
      <c r="E138" t="s">
        <v>198</v>
      </c>
    </row>
    <row r="139" spans="1:6" outlineLevel="2" x14ac:dyDescent="0.2">
      <c r="A139" s="4">
        <v>72701315</v>
      </c>
      <c r="B139" s="5" t="s">
        <v>104</v>
      </c>
      <c r="C139" s="6" t="s">
        <v>25</v>
      </c>
      <c r="D139" s="7">
        <v>5</v>
      </c>
      <c r="E139" t="s">
        <v>198</v>
      </c>
    </row>
    <row r="140" spans="1:6" outlineLevel="2" x14ac:dyDescent="0.2">
      <c r="A140" s="4">
        <v>72701317</v>
      </c>
      <c r="B140" s="5" t="s">
        <v>105</v>
      </c>
      <c r="C140" s="6" t="s">
        <v>25</v>
      </c>
      <c r="D140" s="7">
        <v>3</v>
      </c>
      <c r="E140" t="s">
        <v>198</v>
      </c>
    </row>
    <row r="141" spans="1:6" outlineLevel="2" x14ac:dyDescent="0.2">
      <c r="A141" s="4">
        <v>72701319</v>
      </c>
      <c r="B141" s="5" t="s">
        <v>106</v>
      </c>
      <c r="C141" s="6" t="s">
        <v>25</v>
      </c>
      <c r="D141" s="7">
        <v>5</v>
      </c>
      <c r="E141" t="s">
        <v>198</v>
      </c>
    </row>
    <row r="142" spans="1:6" outlineLevel="2" x14ac:dyDescent="0.2">
      <c r="A142" s="4">
        <v>72701321</v>
      </c>
      <c r="B142" s="5" t="s">
        <v>107</v>
      </c>
      <c r="C142" s="6" t="s">
        <v>25</v>
      </c>
      <c r="D142" s="7">
        <v>5</v>
      </c>
      <c r="E142" t="s">
        <v>198</v>
      </c>
    </row>
    <row r="143" spans="1:6" outlineLevel="2" x14ac:dyDescent="0.2">
      <c r="A143" s="4">
        <v>72701326</v>
      </c>
      <c r="B143" s="5" t="s">
        <v>108</v>
      </c>
      <c r="C143" s="6" t="s">
        <v>25</v>
      </c>
      <c r="D143" s="7">
        <v>5</v>
      </c>
      <c r="E143" t="s">
        <v>198</v>
      </c>
    </row>
    <row r="144" spans="1:6" outlineLevel="2" x14ac:dyDescent="0.2">
      <c r="A144" s="4">
        <v>72701330</v>
      </c>
      <c r="B144" s="5" t="s">
        <v>109</v>
      </c>
      <c r="C144" s="6" t="s">
        <v>25</v>
      </c>
      <c r="D144" s="7">
        <v>5</v>
      </c>
      <c r="E144" t="s">
        <v>198</v>
      </c>
      <c r="F144" s="5"/>
    </row>
    <row r="145" spans="1:7" outlineLevel="2" x14ac:dyDescent="0.2">
      <c r="A145" s="4">
        <v>72701330</v>
      </c>
      <c r="B145" s="5" t="s">
        <v>109</v>
      </c>
      <c r="C145" s="6" t="s">
        <v>25</v>
      </c>
      <c r="D145" s="7">
        <v>10</v>
      </c>
      <c r="E145" t="s">
        <v>198</v>
      </c>
      <c r="F145" s="5"/>
    </row>
    <row r="146" spans="1:7" outlineLevel="2" x14ac:dyDescent="0.2">
      <c r="A146" s="4">
        <v>72701332</v>
      </c>
      <c r="B146" s="5" t="s">
        <v>110</v>
      </c>
      <c r="C146" s="6" t="s">
        <v>25</v>
      </c>
      <c r="D146" s="7">
        <v>3</v>
      </c>
      <c r="E146" t="s">
        <v>198</v>
      </c>
    </row>
    <row r="147" spans="1:7" outlineLevel="2" x14ac:dyDescent="0.2">
      <c r="A147" s="4">
        <v>72701333</v>
      </c>
      <c r="B147" s="5" t="s">
        <v>111</v>
      </c>
      <c r="C147" s="6" t="s">
        <v>25</v>
      </c>
      <c r="D147" s="7">
        <v>5</v>
      </c>
      <c r="E147" t="s">
        <v>198</v>
      </c>
    </row>
    <row r="148" spans="1:7" outlineLevel="2" x14ac:dyDescent="0.2">
      <c r="A148" s="4">
        <v>72701335</v>
      </c>
      <c r="B148" s="5" t="s">
        <v>112</v>
      </c>
      <c r="C148" s="6" t="s">
        <v>25</v>
      </c>
      <c r="D148" s="7">
        <v>3</v>
      </c>
      <c r="E148" t="s">
        <v>198</v>
      </c>
    </row>
    <row r="149" spans="1:7" outlineLevel="2" x14ac:dyDescent="0.2">
      <c r="A149" s="4">
        <v>72701337</v>
      </c>
      <c r="B149" s="5" t="s">
        <v>113</v>
      </c>
      <c r="C149" s="6" t="s">
        <v>25</v>
      </c>
      <c r="D149" s="7">
        <v>3</v>
      </c>
      <c r="E149" t="s">
        <v>198</v>
      </c>
    </row>
    <row r="150" spans="1:7" outlineLevel="2" x14ac:dyDescent="0.2">
      <c r="A150" s="4">
        <v>72701343</v>
      </c>
      <c r="B150" s="5" t="s">
        <v>114</v>
      </c>
      <c r="C150" s="6" t="s">
        <v>25</v>
      </c>
      <c r="D150" s="7">
        <v>5</v>
      </c>
      <c r="E150" t="s">
        <v>198</v>
      </c>
    </row>
    <row r="151" spans="1:7" outlineLevel="2" x14ac:dyDescent="0.2">
      <c r="A151" s="4">
        <v>72701344</v>
      </c>
      <c r="B151" s="5" t="s">
        <v>115</v>
      </c>
      <c r="C151" s="6" t="s">
        <v>25</v>
      </c>
      <c r="D151" s="7">
        <v>5</v>
      </c>
      <c r="E151" t="s">
        <v>198</v>
      </c>
    </row>
    <row r="152" spans="1:7" outlineLevel="2" x14ac:dyDescent="0.2">
      <c r="A152" s="4">
        <v>72701345</v>
      </c>
      <c r="B152" s="5" t="s">
        <v>116</v>
      </c>
      <c r="C152" s="6" t="s">
        <v>25</v>
      </c>
      <c r="D152" s="7">
        <v>5</v>
      </c>
      <c r="E152" t="s">
        <v>198</v>
      </c>
    </row>
    <row r="153" spans="1:7" outlineLevel="2" x14ac:dyDescent="0.2">
      <c r="A153" s="4">
        <v>73201072</v>
      </c>
      <c r="B153" s="5" t="s">
        <v>117</v>
      </c>
      <c r="C153" s="6" t="s">
        <v>25</v>
      </c>
      <c r="D153" s="7">
        <v>10</v>
      </c>
      <c r="E153" t="s">
        <v>198</v>
      </c>
    </row>
    <row r="154" spans="1:7" outlineLevel="2" x14ac:dyDescent="0.2">
      <c r="A154" s="4">
        <v>73201150</v>
      </c>
      <c r="B154" s="5" t="s">
        <v>118</v>
      </c>
      <c r="C154" s="6" t="s">
        <v>25</v>
      </c>
      <c r="D154" s="7">
        <v>10</v>
      </c>
      <c r="E154" t="s">
        <v>198</v>
      </c>
    </row>
    <row r="155" spans="1:7" outlineLevel="2" x14ac:dyDescent="0.2">
      <c r="A155" s="4">
        <v>73201150</v>
      </c>
      <c r="B155" s="5" t="s">
        <v>118</v>
      </c>
      <c r="C155" s="6" t="s">
        <v>25</v>
      </c>
      <c r="D155" s="7">
        <v>5</v>
      </c>
      <c r="E155" t="s">
        <v>198</v>
      </c>
    </row>
    <row r="156" spans="1:7" outlineLevel="2" x14ac:dyDescent="0.2">
      <c r="A156" s="4">
        <v>73301454</v>
      </c>
      <c r="B156" s="5" t="s">
        <v>119</v>
      </c>
      <c r="C156" s="6" t="s">
        <v>25</v>
      </c>
      <c r="D156" s="7">
        <v>10</v>
      </c>
      <c r="E156" t="s">
        <v>198</v>
      </c>
    </row>
    <row r="157" spans="1:7" outlineLevel="2" x14ac:dyDescent="0.2">
      <c r="A157" s="4">
        <v>73301455</v>
      </c>
      <c r="B157" s="5" t="s">
        <v>120</v>
      </c>
      <c r="C157" s="6" t="s">
        <v>25</v>
      </c>
      <c r="D157" s="7">
        <v>10</v>
      </c>
      <c r="E157" t="s">
        <v>198</v>
      </c>
    </row>
    <row r="158" spans="1:7" outlineLevel="2" x14ac:dyDescent="0.2">
      <c r="A158" s="4">
        <v>73301456</v>
      </c>
      <c r="B158" s="5" t="s">
        <v>121</v>
      </c>
      <c r="C158" s="6" t="s">
        <v>25</v>
      </c>
      <c r="D158" s="7">
        <v>5</v>
      </c>
      <c r="E158" t="s">
        <v>198</v>
      </c>
    </row>
    <row r="159" spans="1:7" outlineLevel="1" x14ac:dyDescent="0.2">
      <c r="A159" s="4"/>
      <c r="B159" s="5"/>
      <c r="C159" s="6"/>
      <c r="D159" s="7">
        <f>SUBTOTAL(9,D67:D158)</f>
        <v>866</v>
      </c>
      <c r="E159" s="12" t="s">
        <v>222</v>
      </c>
      <c r="G159">
        <v>185</v>
      </c>
    </row>
    <row r="160" spans="1:7" outlineLevel="2" x14ac:dyDescent="0.2">
      <c r="A160" s="4">
        <v>72004001</v>
      </c>
      <c r="B160" s="5" t="s">
        <v>78</v>
      </c>
      <c r="C160" s="6" t="s">
        <v>26</v>
      </c>
      <c r="D160" s="7">
        <v>20</v>
      </c>
      <c r="E160" t="s">
        <v>200</v>
      </c>
    </row>
    <row r="161" spans="1:5" outlineLevel="2" x14ac:dyDescent="0.2">
      <c r="A161" s="4">
        <v>72004004</v>
      </c>
      <c r="B161" s="5" t="s">
        <v>32</v>
      </c>
      <c r="C161" s="6" t="s">
        <v>26</v>
      </c>
      <c r="D161" s="7">
        <v>3</v>
      </c>
      <c r="E161" t="s">
        <v>200</v>
      </c>
    </row>
    <row r="162" spans="1:5" outlineLevel="2" x14ac:dyDescent="0.2">
      <c r="A162" s="4">
        <v>72004005</v>
      </c>
      <c r="B162" s="5" t="s">
        <v>79</v>
      </c>
      <c r="C162" s="6" t="s">
        <v>26</v>
      </c>
      <c r="D162" s="7">
        <v>20</v>
      </c>
      <c r="E162" t="s">
        <v>200</v>
      </c>
    </row>
    <row r="163" spans="1:5" outlineLevel="2" x14ac:dyDescent="0.2">
      <c r="A163" s="4">
        <v>72004014</v>
      </c>
      <c r="B163" s="5" t="s">
        <v>33</v>
      </c>
      <c r="C163" s="6" t="s">
        <v>26</v>
      </c>
      <c r="D163" s="7">
        <v>2</v>
      </c>
      <c r="E163" t="s">
        <v>200</v>
      </c>
    </row>
    <row r="164" spans="1:5" outlineLevel="2" x14ac:dyDescent="0.2">
      <c r="A164" s="4">
        <v>72004015</v>
      </c>
      <c r="B164" s="5" t="s">
        <v>34</v>
      </c>
      <c r="C164" s="6" t="s">
        <v>26</v>
      </c>
      <c r="D164" s="7">
        <v>1</v>
      </c>
      <c r="E164" t="s">
        <v>200</v>
      </c>
    </row>
    <row r="165" spans="1:5" outlineLevel="2" x14ac:dyDescent="0.2">
      <c r="A165" s="4">
        <v>72004018</v>
      </c>
      <c r="B165" s="5" t="s">
        <v>35</v>
      </c>
      <c r="C165" s="6" t="s">
        <v>26</v>
      </c>
      <c r="D165" s="7">
        <v>2</v>
      </c>
      <c r="E165" t="s">
        <v>200</v>
      </c>
    </row>
    <row r="166" spans="1:5" outlineLevel="2" x14ac:dyDescent="0.2">
      <c r="A166" s="4">
        <v>72004019</v>
      </c>
      <c r="B166" s="5" t="s">
        <v>36</v>
      </c>
      <c r="C166" s="6" t="s">
        <v>26</v>
      </c>
      <c r="D166" s="7">
        <v>1</v>
      </c>
      <c r="E166" t="s">
        <v>200</v>
      </c>
    </row>
    <row r="167" spans="1:5" outlineLevel="2" x14ac:dyDescent="0.2">
      <c r="A167" s="4">
        <v>72004024</v>
      </c>
      <c r="B167" s="5" t="s">
        <v>38</v>
      </c>
      <c r="C167" s="6" t="s">
        <v>26</v>
      </c>
      <c r="D167" s="7">
        <v>2</v>
      </c>
      <c r="E167" t="s">
        <v>200</v>
      </c>
    </row>
    <row r="168" spans="1:5" outlineLevel="2" x14ac:dyDescent="0.2">
      <c r="A168" s="4">
        <v>72004029</v>
      </c>
      <c r="B168" s="5" t="s">
        <v>39</v>
      </c>
      <c r="C168" s="6" t="s">
        <v>26</v>
      </c>
      <c r="D168" s="7">
        <v>1</v>
      </c>
      <c r="E168" t="s">
        <v>200</v>
      </c>
    </row>
    <row r="169" spans="1:5" outlineLevel="2" x14ac:dyDescent="0.2">
      <c r="A169" s="4">
        <v>72004040</v>
      </c>
      <c r="B169" s="5" t="s">
        <v>40</v>
      </c>
      <c r="C169" s="6" t="s">
        <v>26</v>
      </c>
      <c r="D169" s="7">
        <v>3</v>
      </c>
      <c r="E169" t="s">
        <v>200</v>
      </c>
    </row>
    <row r="170" spans="1:5" outlineLevel="2" x14ac:dyDescent="0.2">
      <c r="A170" s="4">
        <v>72004041</v>
      </c>
      <c r="B170" s="5" t="s">
        <v>41</v>
      </c>
      <c r="C170" s="6" t="s">
        <v>26</v>
      </c>
      <c r="D170" s="7">
        <v>1</v>
      </c>
      <c r="E170" t="s">
        <v>200</v>
      </c>
    </row>
    <row r="171" spans="1:5" outlineLevel="2" x14ac:dyDescent="0.2">
      <c r="A171" s="4">
        <v>72004047</v>
      </c>
      <c r="B171" s="5" t="s">
        <v>44</v>
      </c>
      <c r="C171" s="6" t="s">
        <v>26</v>
      </c>
      <c r="D171" s="7">
        <v>2</v>
      </c>
      <c r="E171" t="s">
        <v>200</v>
      </c>
    </row>
    <row r="172" spans="1:5" outlineLevel="2" x14ac:dyDescent="0.2">
      <c r="A172" s="4">
        <v>72004050</v>
      </c>
      <c r="B172" s="5" t="s">
        <v>45</v>
      </c>
      <c r="C172" s="6" t="s">
        <v>26</v>
      </c>
      <c r="D172" s="7">
        <v>2</v>
      </c>
      <c r="E172" t="s">
        <v>200</v>
      </c>
    </row>
    <row r="173" spans="1:5" outlineLevel="2" x14ac:dyDescent="0.2">
      <c r="A173" s="4">
        <v>72004064</v>
      </c>
      <c r="B173" s="5" t="s">
        <v>47</v>
      </c>
      <c r="C173" s="6" t="s">
        <v>26</v>
      </c>
      <c r="D173" s="7">
        <v>5</v>
      </c>
      <c r="E173" t="s">
        <v>200</v>
      </c>
    </row>
    <row r="174" spans="1:5" outlineLevel="2" x14ac:dyDescent="0.2">
      <c r="A174" s="4">
        <v>72004064</v>
      </c>
      <c r="B174" s="5" t="s">
        <v>47</v>
      </c>
      <c r="C174" s="6" t="s">
        <v>26</v>
      </c>
      <c r="D174" s="7">
        <v>3</v>
      </c>
      <c r="E174" t="s">
        <v>200</v>
      </c>
    </row>
    <row r="175" spans="1:5" outlineLevel="2" x14ac:dyDescent="0.2">
      <c r="A175" s="4">
        <v>72004070</v>
      </c>
      <c r="B175" s="5" t="s">
        <v>48</v>
      </c>
      <c r="C175" s="6" t="s">
        <v>26</v>
      </c>
      <c r="D175" s="7">
        <v>1</v>
      </c>
      <c r="E175" t="s">
        <v>200</v>
      </c>
    </row>
    <row r="176" spans="1:5" outlineLevel="2" x14ac:dyDescent="0.2">
      <c r="A176" s="4">
        <v>72004075</v>
      </c>
      <c r="B176" s="5" t="s">
        <v>49</v>
      </c>
      <c r="C176" s="6" t="s">
        <v>26</v>
      </c>
      <c r="D176" s="7">
        <v>3</v>
      </c>
      <c r="E176" t="s">
        <v>200</v>
      </c>
    </row>
    <row r="177" spans="1:7" outlineLevel="2" x14ac:dyDescent="0.2">
      <c r="A177" s="4">
        <v>72004082</v>
      </c>
      <c r="B177" s="5" t="s">
        <v>52</v>
      </c>
      <c r="C177" s="6" t="s">
        <v>26</v>
      </c>
      <c r="D177" s="7">
        <v>1</v>
      </c>
      <c r="E177" t="s">
        <v>200</v>
      </c>
    </row>
    <row r="178" spans="1:7" outlineLevel="2" x14ac:dyDescent="0.2">
      <c r="A178" s="4">
        <v>72004101</v>
      </c>
      <c r="B178" s="5" t="s">
        <v>80</v>
      </c>
      <c r="C178" s="6" t="s">
        <v>26</v>
      </c>
      <c r="D178" s="7">
        <v>20</v>
      </c>
      <c r="E178" t="s">
        <v>200</v>
      </c>
    </row>
    <row r="179" spans="1:7" outlineLevel="2" x14ac:dyDescent="0.2">
      <c r="A179" s="4">
        <v>72004105</v>
      </c>
      <c r="B179" s="5" t="s">
        <v>81</v>
      </c>
      <c r="C179" s="6" t="s">
        <v>26</v>
      </c>
      <c r="D179" s="7">
        <v>20</v>
      </c>
      <c r="E179" t="s">
        <v>200</v>
      </c>
    </row>
    <row r="180" spans="1:7" outlineLevel="2" x14ac:dyDescent="0.2">
      <c r="A180" s="4">
        <v>72004155</v>
      </c>
      <c r="B180" s="5" t="s">
        <v>82</v>
      </c>
      <c r="C180" s="6" t="s">
        <v>26</v>
      </c>
      <c r="D180" s="7">
        <v>1</v>
      </c>
      <c r="E180" t="s">
        <v>200</v>
      </c>
    </row>
    <row r="181" spans="1:7" outlineLevel="2" x14ac:dyDescent="0.2">
      <c r="A181" s="4">
        <v>72004163</v>
      </c>
      <c r="B181" s="5" t="s">
        <v>83</v>
      </c>
      <c r="C181" s="6" t="s">
        <v>26</v>
      </c>
      <c r="D181" s="7">
        <v>1</v>
      </c>
      <c r="E181" t="s">
        <v>200</v>
      </c>
    </row>
    <row r="182" spans="1:7" outlineLevel="2" x14ac:dyDescent="0.2">
      <c r="A182" s="4">
        <v>72004165</v>
      </c>
      <c r="B182" s="5" t="s">
        <v>84</v>
      </c>
      <c r="C182" s="6" t="s">
        <v>26</v>
      </c>
      <c r="D182" s="7">
        <v>1</v>
      </c>
      <c r="E182" t="s">
        <v>200</v>
      </c>
    </row>
    <row r="183" spans="1:7" outlineLevel="2" x14ac:dyDescent="0.2">
      <c r="A183" s="4">
        <v>72004166</v>
      </c>
      <c r="B183" s="5" t="s">
        <v>85</v>
      </c>
      <c r="C183" s="6" t="s">
        <v>26</v>
      </c>
      <c r="D183" s="7">
        <v>1</v>
      </c>
      <c r="E183" t="s">
        <v>200</v>
      </c>
    </row>
    <row r="184" spans="1:7" outlineLevel="2" x14ac:dyDescent="0.2">
      <c r="A184" s="4">
        <v>72004167</v>
      </c>
      <c r="B184" s="5" t="s">
        <v>55</v>
      </c>
      <c r="C184" s="6" t="s">
        <v>26</v>
      </c>
      <c r="D184" s="7">
        <v>1</v>
      </c>
      <c r="E184" t="s">
        <v>200</v>
      </c>
    </row>
    <row r="185" spans="1:7" outlineLevel="2" x14ac:dyDescent="0.2">
      <c r="A185" s="4">
        <v>72004171</v>
      </c>
      <c r="B185" s="5" t="s">
        <v>58</v>
      </c>
      <c r="C185" s="6" t="s">
        <v>26</v>
      </c>
      <c r="D185" s="7">
        <v>1</v>
      </c>
      <c r="E185" t="s">
        <v>200</v>
      </c>
      <c r="F185" s="5"/>
    </row>
    <row r="186" spans="1:7" outlineLevel="2" x14ac:dyDescent="0.2">
      <c r="A186" s="4">
        <v>72004172</v>
      </c>
      <c r="B186" s="5" t="s">
        <v>59</v>
      </c>
      <c r="C186" s="6" t="s">
        <v>26</v>
      </c>
      <c r="D186" s="7">
        <v>1</v>
      </c>
      <c r="E186" t="s">
        <v>200</v>
      </c>
    </row>
    <row r="187" spans="1:7" outlineLevel="2" x14ac:dyDescent="0.2">
      <c r="A187" s="4">
        <v>72004186</v>
      </c>
      <c r="B187" s="5" t="s">
        <v>67</v>
      </c>
      <c r="C187" s="6" t="s">
        <v>26</v>
      </c>
      <c r="D187" s="7">
        <v>1</v>
      </c>
      <c r="E187" t="s">
        <v>200</v>
      </c>
    </row>
    <row r="188" spans="1:7" outlineLevel="2" x14ac:dyDescent="0.2">
      <c r="A188" s="4">
        <v>72004189</v>
      </c>
      <c r="B188" s="5" t="s">
        <v>68</v>
      </c>
      <c r="C188" s="6" t="s">
        <v>26</v>
      </c>
      <c r="D188" s="7">
        <v>1</v>
      </c>
      <c r="E188" t="s">
        <v>200</v>
      </c>
    </row>
    <row r="189" spans="1:7" outlineLevel="2" x14ac:dyDescent="0.2">
      <c r="A189" s="4">
        <v>72004190</v>
      </c>
      <c r="B189" s="5" t="s">
        <v>69</v>
      </c>
      <c r="C189" s="6" t="s">
        <v>26</v>
      </c>
      <c r="D189" s="7">
        <v>1</v>
      </c>
      <c r="E189" t="s">
        <v>200</v>
      </c>
      <c r="F189" s="5"/>
      <c r="G189" s="7"/>
    </row>
    <row r="190" spans="1:7" outlineLevel="2" x14ac:dyDescent="0.2">
      <c r="A190" s="4">
        <v>72004191</v>
      </c>
      <c r="B190" s="5" t="s">
        <v>86</v>
      </c>
      <c r="C190" s="6" t="s">
        <v>26</v>
      </c>
      <c r="D190" s="7">
        <v>1</v>
      </c>
      <c r="E190" t="s">
        <v>200</v>
      </c>
      <c r="F190" s="5"/>
      <c r="G190" s="7"/>
    </row>
    <row r="191" spans="1:7" outlineLevel="2" x14ac:dyDescent="0.2">
      <c r="A191" s="4">
        <v>72004194</v>
      </c>
      <c r="B191" s="5" t="s">
        <v>87</v>
      </c>
      <c r="C191" s="6" t="s">
        <v>26</v>
      </c>
      <c r="D191" s="7">
        <v>1</v>
      </c>
      <c r="E191" t="s">
        <v>200</v>
      </c>
      <c r="F191" s="5"/>
      <c r="G191" s="7"/>
    </row>
    <row r="192" spans="1:7" outlineLevel="2" x14ac:dyDescent="0.2">
      <c r="A192" s="4">
        <v>72004197</v>
      </c>
      <c r="B192" s="5" t="s">
        <v>70</v>
      </c>
      <c r="C192" s="6" t="s">
        <v>26</v>
      </c>
      <c r="D192" s="7">
        <v>1</v>
      </c>
      <c r="E192" t="s">
        <v>200</v>
      </c>
      <c r="F192" s="5"/>
      <c r="G192" s="7"/>
    </row>
    <row r="193" spans="1:9" outlineLevel="2" x14ac:dyDescent="0.2">
      <c r="A193" s="4">
        <v>72004198</v>
      </c>
      <c r="B193" s="5" t="s">
        <v>88</v>
      </c>
      <c r="C193" s="6" t="s">
        <v>26</v>
      </c>
      <c r="D193" s="7">
        <v>1</v>
      </c>
      <c r="E193" t="s">
        <v>200</v>
      </c>
    </row>
    <row r="194" spans="1:9" outlineLevel="2" x14ac:dyDescent="0.2">
      <c r="A194" s="4">
        <v>73201150</v>
      </c>
      <c r="B194" s="5" t="s">
        <v>118</v>
      </c>
      <c r="C194" s="6" t="s">
        <v>26</v>
      </c>
      <c r="D194" s="7">
        <v>2</v>
      </c>
      <c r="E194" t="s">
        <v>200</v>
      </c>
      <c r="F194" s="5"/>
      <c r="G194" s="7"/>
    </row>
    <row r="195" spans="1:9" outlineLevel="1" x14ac:dyDescent="0.2">
      <c r="A195" s="4"/>
      <c r="B195" s="5"/>
      <c r="C195" s="6"/>
      <c r="D195" s="7">
        <f>SUBTOTAL(9,D160:D194)</f>
        <v>129</v>
      </c>
      <c r="E195" s="12" t="s">
        <v>224</v>
      </c>
      <c r="F195" s="5"/>
      <c r="G195" s="10">
        <v>129</v>
      </c>
      <c r="I195">
        <f>SUM(G159:G195)</f>
        <v>314</v>
      </c>
    </row>
    <row r="196" spans="1:9" outlineLevel="2" x14ac:dyDescent="0.2">
      <c r="A196" s="4" t="s">
        <v>146</v>
      </c>
      <c r="B196" s="5" t="s">
        <v>147</v>
      </c>
      <c r="C196" s="6"/>
      <c r="D196" s="7">
        <v>10</v>
      </c>
      <c r="E196" t="s">
        <v>212</v>
      </c>
      <c r="F196" s="5"/>
      <c r="G196" s="9"/>
    </row>
    <row r="197" spans="1:9" outlineLevel="1" x14ac:dyDescent="0.2">
      <c r="A197" s="4"/>
      <c r="B197" s="5"/>
      <c r="C197" s="6"/>
      <c r="D197" s="7">
        <f>SUBTOTAL(9,D196:D196)</f>
        <v>10</v>
      </c>
      <c r="E197" s="12" t="s">
        <v>236</v>
      </c>
      <c r="F197" s="13"/>
      <c r="G197" s="9">
        <v>10</v>
      </c>
    </row>
    <row r="198" spans="1:9" outlineLevel="2" x14ac:dyDescent="0.2">
      <c r="A198" s="4">
        <v>60001000</v>
      </c>
      <c r="B198" s="5" t="s">
        <v>24</v>
      </c>
      <c r="C198" s="6" t="s">
        <v>25</v>
      </c>
      <c r="D198" s="7">
        <v>50</v>
      </c>
      <c r="E198" t="s">
        <v>194</v>
      </c>
    </row>
    <row r="199" spans="1:9" outlineLevel="2" x14ac:dyDescent="0.2">
      <c r="A199" s="4">
        <v>60004000</v>
      </c>
      <c r="B199" s="5" t="s">
        <v>24</v>
      </c>
      <c r="C199" s="6" t="s">
        <v>26</v>
      </c>
      <c r="D199" s="7">
        <v>50</v>
      </c>
      <c r="E199" t="s">
        <v>194</v>
      </c>
      <c r="F199" s="5"/>
      <c r="G199" s="7"/>
    </row>
    <row r="200" spans="1:9" outlineLevel="2" x14ac:dyDescent="0.2">
      <c r="A200" s="4">
        <v>60501000</v>
      </c>
      <c r="B200" s="5" t="s">
        <v>27</v>
      </c>
      <c r="C200" s="6" t="s">
        <v>25</v>
      </c>
      <c r="D200" s="7">
        <v>30</v>
      </c>
      <c r="E200" t="s">
        <v>194</v>
      </c>
      <c r="F200" s="5"/>
      <c r="G200" s="7"/>
    </row>
    <row r="201" spans="1:9" outlineLevel="2" x14ac:dyDescent="0.2">
      <c r="A201" s="4">
        <v>60504000</v>
      </c>
      <c r="B201" s="5" t="s">
        <v>27</v>
      </c>
      <c r="C201" s="6" t="s">
        <v>26</v>
      </c>
      <c r="D201" s="7">
        <v>20</v>
      </c>
      <c r="E201" t="s">
        <v>194</v>
      </c>
    </row>
    <row r="202" spans="1:9" outlineLevel="2" x14ac:dyDescent="0.2">
      <c r="A202" s="4">
        <v>61001000</v>
      </c>
      <c r="B202" s="5" t="s">
        <v>28</v>
      </c>
      <c r="C202" s="6" t="s">
        <v>25</v>
      </c>
      <c r="D202" s="7">
        <v>30</v>
      </c>
      <c r="E202" t="s">
        <v>194</v>
      </c>
    </row>
    <row r="203" spans="1:9" outlineLevel="2" x14ac:dyDescent="0.2">
      <c r="A203" s="4">
        <v>61501000</v>
      </c>
      <c r="B203" s="5" t="s">
        <v>29</v>
      </c>
      <c r="C203" s="6" t="s">
        <v>25</v>
      </c>
      <c r="D203" s="7">
        <v>30</v>
      </c>
      <c r="E203" t="s">
        <v>194</v>
      </c>
    </row>
    <row r="204" spans="1:9" outlineLevel="1" x14ac:dyDescent="0.2">
      <c r="A204" s="4"/>
      <c r="B204" s="5"/>
      <c r="C204" s="6"/>
      <c r="D204" s="7">
        <f>SUBTOTAL(9,D198:D203)</f>
        <v>210</v>
      </c>
      <c r="E204" s="12" t="s">
        <v>219</v>
      </c>
      <c r="G204">
        <v>40</v>
      </c>
    </row>
    <row r="205" spans="1:9" outlineLevel="2" x14ac:dyDescent="0.2">
      <c r="A205" s="4">
        <v>61504000</v>
      </c>
      <c r="B205" s="5" t="s">
        <v>29</v>
      </c>
      <c r="C205" s="6" t="s">
        <v>26</v>
      </c>
      <c r="D205" s="7">
        <v>20</v>
      </c>
      <c r="E205" t="s">
        <v>195</v>
      </c>
    </row>
    <row r="206" spans="1:9" outlineLevel="2" x14ac:dyDescent="0.2">
      <c r="A206" s="4">
        <v>62001000</v>
      </c>
      <c r="B206" s="5" t="s">
        <v>30</v>
      </c>
      <c r="C206" s="6" t="s">
        <v>25</v>
      </c>
      <c r="D206" s="7">
        <v>100</v>
      </c>
      <c r="E206" t="s">
        <v>195</v>
      </c>
    </row>
    <row r="207" spans="1:9" outlineLevel="2" x14ac:dyDescent="0.2">
      <c r="A207" s="4">
        <v>62004000</v>
      </c>
      <c r="B207" s="5" t="s">
        <v>30</v>
      </c>
      <c r="C207" s="6" t="s">
        <v>26</v>
      </c>
      <c r="D207" s="7">
        <v>100</v>
      </c>
      <c r="E207" t="s">
        <v>195</v>
      </c>
    </row>
    <row r="208" spans="1:9" outlineLevel="1" x14ac:dyDescent="0.2">
      <c r="A208" s="14"/>
      <c r="B208" s="13"/>
      <c r="C208" s="15"/>
      <c r="D208" s="10">
        <f>SUBTOTAL(9,D205:D207)</f>
        <v>220</v>
      </c>
      <c r="E208" s="12" t="s">
        <v>220</v>
      </c>
      <c r="G208">
        <v>220</v>
      </c>
    </row>
    <row r="209" spans="1:5" x14ac:dyDescent="0.2">
      <c r="A209" s="14"/>
      <c r="B209" s="13"/>
      <c r="C209" s="15"/>
      <c r="D209" s="10">
        <f>SUBTOTAL(9,D2:D207)</f>
        <v>3155</v>
      </c>
      <c r="E209" s="12" t="s">
        <v>239</v>
      </c>
    </row>
    <row r="217" spans="1:5" x14ac:dyDescent="0.3">
      <c r="D217" t="s">
        <v>197</v>
      </c>
      <c r="E217">
        <v>19</v>
      </c>
    </row>
    <row r="218" spans="1:5" x14ac:dyDescent="0.3">
      <c r="D218" t="s">
        <v>242</v>
      </c>
      <c r="E218">
        <v>4</v>
      </c>
    </row>
  </sheetData>
  <sortState xmlns:xlrd2="http://schemas.microsoft.com/office/spreadsheetml/2017/richdata2" ref="A2:E207">
    <sortCondition ref="E2:E207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958B-A8A3-4ED9-ADA0-9F10EEAAA8A4}">
  <dimension ref="A1:L24"/>
  <sheetViews>
    <sheetView workbookViewId="0">
      <selection activeCell="B6" sqref="B6"/>
    </sheetView>
  </sheetViews>
  <sheetFormatPr defaultRowHeight="16.5" x14ac:dyDescent="0.3"/>
  <cols>
    <col min="1" max="1" width="25.625" customWidth="1"/>
  </cols>
  <sheetData>
    <row r="1" spans="1:12" x14ac:dyDescent="0.3">
      <c r="A1" s="7" t="s">
        <v>178</v>
      </c>
      <c r="B1">
        <v>10</v>
      </c>
      <c r="E1">
        <v>1</v>
      </c>
    </row>
    <row r="2" spans="1:12" x14ac:dyDescent="0.3">
      <c r="A2" s="7" t="s">
        <v>179</v>
      </c>
      <c r="B2">
        <v>10</v>
      </c>
      <c r="E2">
        <v>1</v>
      </c>
    </row>
    <row r="3" spans="1:12" x14ac:dyDescent="0.3">
      <c r="A3" t="s">
        <v>168</v>
      </c>
      <c r="B3">
        <v>90</v>
      </c>
      <c r="E3">
        <v>1</v>
      </c>
    </row>
    <row r="4" spans="1:12" x14ac:dyDescent="0.3">
      <c r="A4" t="s">
        <v>175</v>
      </c>
      <c r="B4">
        <v>40</v>
      </c>
      <c r="E4">
        <v>1</v>
      </c>
    </row>
    <row r="5" spans="1:12" x14ac:dyDescent="0.3">
      <c r="A5" t="s">
        <v>169</v>
      </c>
      <c r="B5">
        <v>685</v>
      </c>
      <c r="E5">
        <v>1</v>
      </c>
    </row>
    <row r="6" spans="1:12" x14ac:dyDescent="0.3">
      <c r="A6" t="s">
        <v>172</v>
      </c>
      <c r="B6">
        <v>181</v>
      </c>
      <c r="E6">
        <v>1</v>
      </c>
    </row>
    <row r="7" spans="1:12" x14ac:dyDescent="0.3">
      <c r="A7" t="s">
        <v>166</v>
      </c>
      <c r="B7">
        <v>240</v>
      </c>
      <c r="E7">
        <v>1</v>
      </c>
      <c r="F7">
        <f>SUM(B1:B7)</f>
        <v>1256</v>
      </c>
      <c r="G7">
        <f>1256*12/65</f>
        <v>231.87692307692308</v>
      </c>
      <c r="I7" t="s">
        <v>186</v>
      </c>
      <c r="K7">
        <v>2000</v>
      </c>
      <c r="L7" t="s">
        <v>188</v>
      </c>
    </row>
    <row r="8" spans="1:12" x14ac:dyDescent="0.3">
      <c r="A8" s="10" t="s">
        <v>180</v>
      </c>
      <c r="B8">
        <v>3</v>
      </c>
      <c r="E8">
        <v>4</v>
      </c>
      <c r="F8">
        <f>SUM(B8:B20)</f>
        <v>780</v>
      </c>
      <c r="G8">
        <v>7803</v>
      </c>
      <c r="I8" s="11" t="s">
        <v>187</v>
      </c>
      <c r="K8">
        <v>2012</v>
      </c>
      <c r="L8" t="s">
        <v>189</v>
      </c>
    </row>
    <row r="9" spans="1:12" x14ac:dyDescent="0.3">
      <c r="A9" t="s">
        <v>181</v>
      </c>
      <c r="B9">
        <v>3</v>
      </c>
      <c r="E9">
        <v>4</v>
      </c>
    </row>
    <row r="10" spans="1:12" x14ac:dyDescent="0.3">
      <c r="A10" t="s">
        <v>170</v>
      </c>
      <c r="B10">
        <v>20</v>
      </c>
      <c r="E10">
        <v>4</v>
      </c>
    </row>
    <row r="11" spans="1:12" x14ac:dyDescent="0.3">
      <c r="A11" t="s">
        <v>184</v>
      </c>
      <c r="B11">
        <v>10</v>
      </c>
      <c r="E11">
        <v>4</v>
      </c>
    </row>
    <row r="12" spans="1:12" x14ac:dyDescent="0.3">
      <c r="A12" t="s">
        <v>176</v>
      </c>
      <c r="B12">
        <v>5</v>
      </c>
      <c r="E12">
        <v>4</v>
      </c>
    </row>
    <row r="13" spans="1:12" x14ac:dyDescent="0.3">
      <c r="A13" t="s">
        <v>183</v>
      </c>
      <c r="B13">
        <v>120</v>
      </c>
      <c r="E13">
        <v>4</v>
      </c>
    </row>
    <row r="14" spans="1:12" x14ac:dyDescent="0.3">
      <c r="A14" t="s">
        <v>182</v>
      </c>
      <c r="B14">
        <v>60</v>
      </c>
      <c r="E14">
        <v>4</v>
      </c>
    </row>
    <row r="15" spans="1:12" x14ac:dyDescent="0.3">
      <c r="A15" t="s">
        <v>177</v>
      </c>
      <c r="B15">
        <v>50</v>
      </c>
      <c r="E15">
        <v>4</v>
      </c>
    </row>
    <row r="16" spans="1:12" x14ac:dyDescent="0.3">
      <c r="A16" t="s">
        <v>185</v>
      </c>
      <c r="B16">
        <v>20</v>
      </c>
      <c r="E16">
        <v>4</v>
      </c>
    </row>
    <row r="17" spans="1:8" x14ac:dyDescent="0.3">
      <c r="A17" t="s">
        <v>173</v>
      </c>
      <c r="B17">
        <v>150</v>
      </c>
      <c r="E17">
        <v>4</v>
      </c>
    </row>
    <row r="18" spans="1:8" x14ac:dyDescent="0.3">
      <c r="A18" t="s">
        <v>174</v>
      </c>
      <c r="B18">
        <v>20</v>
      </c>
      <c r="E18">
        <v>4</v>
      </c>
    </row>
    <row r="19" spans="1:8" x14ac:dyDescent="0.3">
      <c r="A19" t="s">
        <v>171</v>
      </c>
      <c r="B19">
        <v>129</v>
      </c>
      <c r="E19">
        <v>4</v>
      </c>
    </row>
    <row r="20" spans="1:8" x14ac:dyDescent="0.3">
      <c r="A20" t="s">
        <v>167</v>
      </c>
      <c r="B20">
        <v>190</v>
      </c>
      <c r="E20">
        <v>4</v>
      </c>
    </row>
    <row r="21" spans="1:8" x14ac:dyDescent="0.3">
      <c r="A21" t="s">
        <v>164</v>
      </c>
      <c r="B21">
        <v>76</v>
      </c>
      <c r="E21">
        <v>10</v>
      </c>
      <c r="F21">
        <f>SUM(B21:B22)</f>
        <v>107</v>
      </c>
      <c r="G21">
        <f>107*12/27</f>
        <v>47.555555555555557</v>
      </c>
      <c r="H21">
        <v>50</v>
      </c>
    </row>
    <row r="22" spans="1:8" x14ac:dyDescent="0.3">
      <c r="A22" t="s">
        <v>165</v>
      </c>
      <c r="B22">
        <v>31</v>
      </c>
      <c r="E22">
        <v>10</v>
      </c>
    </row>
    <row r="23" spans="1:8" x14ac:dyDescent="0.3">
      <c r="A23" s="10"/>
    </row>
    <row r="24" spans="1:8" x14ac:dyDescent="0.3">
      <c r="A24" s="10"/>
    </row>
  </sheetData>
  <sortState xmlns:xlrd2="http://schemas.microsoft.com/office/spreadsheetml/2017/richdata2" ref="A1:E179">
    <sortCondition ref="E1:E17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2020-07-20T05:36:57Z</dcterms:created>
  <dcterms:modified xsi:type="dcterms:W3CDTF">2020-07-27T10:15:35Z</dcterms:modified>
</cp:coreProperties>
</file>